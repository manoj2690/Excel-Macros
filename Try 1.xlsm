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360" windowWidth="19875" windowHeight="7710" activeTab="1"/>
  </bookViews>
  <sheets>
    <sheet name="Sheet1" sheetId="1" r:id="rId1"/>
    <sheet name="Sheet2" sheetId="2" r:id="rId2"/>
    <sheet name="Lookup" sheetId="3" r:id="rId3"/>
    <sheet name="Sheet4" sheetId="4" r:id="rId4"/>
    <sheet name="Sheet5" sheetId="6" r:id="rId5"/>
  </sheets>
  <functionGroups builtInGroupCount="17"/>
  <externalReferences>
    <externalReference r:id="rId6"/>
  </externalReferences>
  <calcPr calcId="144525"/>
</workbook>
</file>

<file path=xl/calcChain.xml><?xml version="1.0" encoding="utf-8"?>
<calcChain xmlns="http://schemas.openxmlformats.org/spreadsheetml/2006/main">
  <c r="AW2" i="2" l="1"/>
  <c r="AV2" i="2"/>
  <c r="E4" i="6"/>
  <c r="E3"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2" i="6"/>
  <c r="H3" i="6"/>
  <c r="AW381" i="2"/>
  <c r="AV381" i="2"/>
  <c r="AW380" i="2"/>
  <c r="AW379" i="2"/>
  <c r="AW378" i="2"/>
  <c r="AW377" i="2"/>
  <c r="AW376" i="2"/>
  <c r="AW375" i="2"/>
  <c r="AW374" i="2"/>
  <c r="AW373" i="2"/>
  <c r="AW372" i="2"/>
  <c r="AW371" i="2"/>
  <c r="AW370" i="2"/>
  <c r="AW369" i="2"/>
  <c r="AW368" i="2"/>
  <c r="AW367" i="2"/>
  <c r="AW366" i="2"/>
  <c r="AW365" i="2"/>
  <c r="AW364" i="2"/>
  <c r="AW363" i="2"/>
  <c r="AW362" i="2"/>
  <c r="AW361" i="2"/>
  <c r="AW360" i="2"/>
  <c r="AW359" i="2"/>
  <c r="AW358" i="2"/>
  <c r="AW357" i="2"/>
  <c r="AW356" i="2"/>
  <c r="AW355" i="2"/>
  <c r="AW354" i="2"/>
  <c r="AW353" i="2"/>
  <c r="AW352" i="2"/>
  <c r="AW351" i="2"/>
  <c r="AW350" i="2"/>
  <c r="AW349" i="2"/>
  <c r="AW348" i="2"/>
  <c r="AW347" i="2"/>
  <c r="AW346" i="2"/>
  <c r="AW345" i="2"/>
  <c r="AW344" i="2"/>
  <c r="AW343" i="2"/>
  <c r="AW342" i="2"/>
  <c r="AW341" i="2"/>
  <c r="AW340" i="2"/>
  <c r="AW339" i="2"/>
  <c r="AW338" i="2"/>
  <c r="AW337" i="2"/>
  <c r="AW336" i="2"/>
  <c r="AW335" i="2"/>
  <c r="AW334" i="2"/>
  <c r="AW333" i="2"/>
  <c r="AW332" i="2"/>
  <c r="AW331" i="2"/>
  <c r="AW330" i="2"/>
  <c r="AW328" i="2"/>
  <c r="AW329" i="2"/>
  <c r="AW327" i="2"/>
  <c r="AW326" i="2"/>
  <c r="AW325" i="2"/>
  <c r="AW324" i="2"/>
  <c r="AW323" i="2"/>
  <c r="AW322" i="2"/>
  <c r="AW321" i="2"/>
  <c r="AW320" i="2"/>
  <c r="AW319" i="2"/>
  <c r="AW318" i="2"/>
  <c r="AW317" i="2"/>
  <c r="AW316" i="2"/>
  <c r="AW315" i="2"/>
  <c r="AW314" i="2"/>
  <c r="AW313" i="2"/>
  <c r="AW312" i="2"/>
  <c r="AW311" i="2"/>
  <c r="AW310" i="2"/>
  <c r="AW309" i="2"/>
  <c r="AW308" i="2"/>
  <c r="AW307" i="2"/>
  <c r="AW306" i="2"/>
  <c r="AW305" i="2"/>
  <c r="AW304" i="2"/>
  <c r="AW303" i="2"/>
  <c r="AW302" i="2"/>
  <c r="AW301" i="2"/>
  <c r="AW300" i="2"/>
  <c r="AW299" i="2"/>
  <c r="AW298" i="2"/>
  <c r="AW297" i="2"/>
  <c r="AW296" i="2"/>
  <c r="AW295" i="2"/>
  <c r="AW294" i="2"/>
  <c r="AW293" i="2"/>
  <c r="AW292" i="2"/>
  <c r="AW291" i="2"/>
  <c r="AW290" i="2"/>
  <c r="AW289" i="2"/>
  <c r="AW288" i="2"/>
  <c r="AW287" i="2"/>
  <c r="AW286" i="2"/>
  <c r="AW285" i="2"/>
  <c r="AW284" i="2"/>
  <c r="AW283" i="2"/>
  <c r="AW282" i="2"/>
  <c r="AW281" i="2"/>
  <c r="AW280" i="2"/>
  <c r="AW279" i="2"/>
  <c r="AW278" i="2"/>
  <c r="AW277" i="2"/>
  <c r="AW276" i="2"/>
  <c r="AW274" i="2"/>
  <c r="AW275" i="2"/>
  <c r="AW273" i="2"/>
  <c r="AW272" i="2"/>
  <c r="AW271" i="2"/>
  <c r="AW270" i="2"/>
  <c r="AW269" i="2"/>
  <c r="AW268" i="2"/>
  <c r="AW267" i="2"/>
  <c r="AW266" i="2"/>
  <c r="AW265" i="2"/>
  <c r="AW264" i="2"/>
  <c r="AW263" i="2"/>
  <c r="AW262" i="2"/>
  <c r="AW261" i="2"/>
  <c r="AW260" i="2"/>
  <c r="AW259" i="2"/>
  <c r="AW258" i="2"/>
  <c r="AW257" i="2"/>
  <c r="AW256" i="2"/>
  <c r="AW255" i="2"/>
  <c r="AW254" i="2"/>
  <c r="AW253" i="2"/>
  <c r="AW252" i="2"/>
  <c r="AW251" i="2"/>
  <c r="AW250" i="2"/>
  <c r="AW249" i="2"/>
  <c r="AW248" i="2"/>
  <c r="AW247" i="2"/>
  <c r="AW246" i="2"/>
  <c r="AW245" i="2"/>
  <c r="AW244" i="2"/>
  <c r="AW243" i="2"/>
  <c r="AW242" i="2"/>
  <c r="AW241" i="2"/>
  <c r="AW240" i="2"/>
  <c r="AW239" i="2"/>
  <c r="AW238" i="2"/>
  <c r="AW237" i="2"/>
  <c r="AW236" i="2"/>
  <c r="AW235" i="2"/>
  <c r="AW234" i="2"/>
  <c r="AW233" i="2"/>
  <c r="AW232" i="2"/>
  <c r="AW231" i="2"/>
  <c r="AW230" i="2"/>
  <c r="AW229" i="2"/>
  <c r="AW228" i="2"/>
  <c r="AW227" i="2"/>
  <c r="AW226" i="2"/>
  <c r="AW225" i="2"/>
  <c r="AW224" i="2"/>
  <c r="AW223" i="2"/>
  <c r="AW222" i="2"/>
  <c r="AW221" i="2"/>
  <c r="AW220" i="2"/>
  <c r="AW219" i="2"/>
  <c r="AW218" i="2"/>
  <c r="AW217" i="2"/>
  <c r="AW216" i="2"/>
  <c r="AW215" i="2"/>
  <c r="AW214" i="2"/>
  <c r="AW213" i="2"/>
  <c r="AW212" i="2"/>
  <c r="AW211" i="2"/>
  <c r="AW210" i="2"/>
  <c r="AW209" i="2"/>
  <c r="AW208" i="2"/>
  <c r="AW207" i="2"/>
  <c r="AW206" i="2"/>
  <c r="AW205" i="2"/>
  <c r="AW204" i="2"/>
  <c r="AW203" i="2"/>
  <c r="AW202" i="2"/>
  <c r="AW201" i="2"/>
  <c r="AW200" i="2"/>
  <c r="AW199" i="2"/>
  <c r="AW198" i="2"/>
  <c r="AW196" i="2"/>
  <c r="AW197" i="2"/>
  <c r="AW195" i="2"/>
  <c r="AW194" i="2"/>
  <c r="AW193" i="2"/>
  <c r="AW192" i="2"/>
  <c r="AW191" i="2"/>
  <c r="AW190" i="2"/>
  <c r="AW189" i="2"/>
  <c r="AW188" i="2"/>
  <c r="AW187" i="2"/>
  <c r="AW186" i="2"/>
  <c r="AW185" i="2"/>
  <c r="AW184" i="2"/>
  <c r="AW183" i="2"/>
  <c r="AW182" i="2"/>
  <c r="AW181" i="2"/>
  <c r="AW180" i="2"/>
  <c r="AW179" i="2"/>
  <c r="AW178" i="2"/>
  <c r="AW177" i="2"/>
  <c r="AW176" i="2"/>
  <c r="AW175" i="2"/>
  <c r="AW174" i="2"/>
  <c r="AW173" i="2"/>
  <c r="AW172" i="2"/>
  <c r="AW171" i="2"/>
  <c r="AW170" i="2"/>
  <c r="AW169" i="2"/>
  <c r="AW168" i="2"/>
  <c r="AW167" i="2"/>
  <c r="AW166" i="2"/>
  <c r="AW165" i="2"/>
  <c r="AW164" i="2"/>
  <c r="AW163" i="2"/>
  <c r="AW162" i="2"/>
  <c r="AW161" i="2"/>
  <c r="AW160" i="2"/>
  <c r="AW159" i="2"/>
  <c r="AW158" i="2"/>
  <c r="AW157" i="2"/>
  <c r="AW156" i="2"/>
  <c r="AW155" i="2"/>
  <c r="AW154" i="2"/>
  <c r="AW153" i="2"/>
  <c r="AW152" i="2"/>
  <c r="AW151" i="2"/>
  <c r="AW150" i="2"/>
  <c r="AW149" i="2"/>
  <c r="AW148" i="2"/>
  <c r="AW147" i="2"/>
  <c r="AW146" i="2"/>
  <c r="AW145" i="2"/>
  <c r="AW144" i="2"/>
  <c r="AW143" i="2"/>
  <c r="AW142" i="2"/>
  <c r="AW141" i="2"/>
  <c r="AW140" i="2"/>
  <c r="AW139" i="2"/>
  <c r="AW138" i="2"/>
  <c r="AW137" i="2"/>
  <c r="AW136" i="2"/>
  <c r="AW135" i="2"/>
  <c r="AW134" i="2"/>
  <c r="AW133" i="2"/>
  <c r="AW132" i="2"/>
  <c r="AW131" i="2"/>
  <c r="AW130" i="2"/>
  <c r="AW129" i="2"/>
  <c r="AW128" i="2"/>
  <c r="AW127" i="2"/>
  <c r="AW126" i="2"/>
  <c r="AW125" i="2"/>
  <c r="AW124" i="2"/>
  <c r="AW123" i="2"/>
  <c r="AW122" i="2"/>
  <c r="AW121" i="2"/>
  <c r="AW120" i="2"/>
  <c r="AW118" i="2"/>
  <c r="AW119" i="2"/>
  <c r="AW117" i="2"/>
  <c r="AW116" i="2"/>
  <c r="AW115" i="2"/>
  <c r="AW114" i="2"/>
  <c r="AW113" i="2"/>
  <c r="AW112" i="2"/>
  <c r="AW111" i="2"/>
  <c r="AW110" i="2"/>
  <c r="AW109" i="2"/>
  <c r="AW108" i="2"/>
  <c r="AW107" i="2"/>
  <c r="AW106" i="2"/>
  <c r="AW105" i="2"/>
  <c r="AW104" i="2"/>
  <c r="AW103" i="2"/>
  <c r="AW102" i="2"/>
  <c r="AW101" i="2"/>
  <c r="AW100" i="2"/>
  <c r="AW99" i="2"/>
  <c r="AW98" i="2"/>
  <c r="AW97" i="2"/>
  <c r="AW96" i="2"/>
  <c r="AW95" i="2"/>
  <c r="AW94" i="2"/>
  <c r="AW93" i="2"/>
  <c r="AW92" i="2"/>
  <c r="AW91" i="2"/>
  <c r="AW90" i="2"/>
  <c r="AW89" i="2"/>
  <c r="AW88" i="2"/>
  <c r="AW87" i="2"/>
  <c r="AW86" i="2"/>
  <c r="AW85" i="2"/>
  <c r="AW84" i="2"/>
  <c r="AW83" i="2"/>
  <c r="AW82" i="2"/>
  <c r="AW81" i="2"/>
  <c r="AW80" i="2"/>
  <c r="AW79" i="2"/>
  <c r="AW78" i="2"/>
  <c r="AW77" i="2"/>
  <c r="AW76" i="2"/>
  <c r="AW74" i="2"/>
  <c r="AW75" i="2"/>
  <c r="AW73" i="2"/>
  <c r="AW72" i="2"/>
  <c r="AW71" i="2"/>
  <c r="AW70" i="2"/>
  <c r="AW69" i="2"/>
  <c r="AW68" i="2"/>
  <c r="AW67" i="2"/>
  <c r="AW66" i="2"/>
  <c r="AW65" i="2"/>
  <c r="AW64" i="2"/>
  <c r="AW63" i="2"/>
  <c r="AW62" i="2"/>
  <c r="AW61" i="2"/>
  <c r="AW60" i="2"/>
  <c r="AW59" i="2"/>
  <c r="AW58" i="2"/>
  <c r="AW57" i="2"/>
  <c r="AW56" i="2"/>
  <c r="AW55" i="2"/>
  <c r="AW54" i="2"/>
  <c r="AW53" i="2"/>
  <c r="AW52" i="2"/>
  <c r="AW51" i="2"/>
  <c r="AW50" i="2"/>
  <c r="AW49" i="2"/>
  <c r="AW48" i="2"/>
  <c r="AW47" i="2"/>
  <c r="AW46" i="2"/>
  <c r="AW45" i="2"/>
  <c r="AW44" i="2"/>
  <c r="AW43" i="2"/>
  <c r="AW42" i="2"/>
  <c r="AW41" i="2"/>
  <c r="AW40" i="2"/>
  <c r="AW39" i="2"/>
  <c r="AW38" i="2"/>
  <c r="AW37" i="2"/>
  <c r="AW36" i="2"/>
  <c r="AW35" i="2"/>
  <c r="AW34" i="2"/>
  <c r="AW33" i="2"/>
  <c r="AW32" i="2"/>
  <c r="AW31" i="2"/>
  <c r="AW30" i="2"/>
  <c r="AW29" i="2"/>
  <c r="AW28" i="2"/>
  <c r="AW27" i="2"/>
  <c r="AW26" i="2"/>
  <c r="AW25" i="2"/>
  <c r="AW24" i="2"/>
  <c r="AW23" i="2"/>
  <c r="AW22" i="2"/>
  <c r="AW21" i="2"/>
  <c r="AW20" i="2"/>
  <c r="AW19" i="2"/>
  <c r="AW18" i="2"/>
  <c r="AW17" i="2"/>
  <c r="AW16" i="2"/>
  <c r="AW15" i="2"/>
  <c r="AW14" i="2"/>
  <c r="AW13" i="2"/>
  <c r="AW12" i="2"/>
  <c r="AW11" i="2"/>
  <c r="AW10" i="2"/>
  <c r="AW9" i="2"/>
  <c r="AW8" i="2"/>
  <c r="AW7" i="2"/>
  <c r="AW6" i="2"/>
  <c r="AW5" i="2"/>
  <c r="AW4" i="2"/>
  <c r="AW3" i="2"/>
  <c r="AV380" i="2"/>
  <c r="AV379" i="2"/>
  <c r="AV378" i="2"/>
  <c r="AV377" i="2"/>
  <c r="AV376" i="2"/>
  <c r="AV375" i="2"/>
  <c r="AV374" i="2"/>
  <c r="AV373" i="2"/>
  <c r="AV372" i="2"/>
  <c r="AV371" i="2"/>
  <c r="AV370" i="2"/>
  <c r="AV369" i="2"/>
  <c r="AV368" i="2"/>
  <c r="AV367" i="2"/>
  <c r="AV366" i="2"/>
  <c r="AV365" i="2"/>
  <c r="AV364" i="2"/>
  <c r="AV363" i="2"/>
  <c r="AV362" i="2"/>
  <c r="AV361" i="2"/>
  <c r="AV360" i="2"/>
  <c r="AV359" i="2"/>
  <c r="AV358" i="2"/>
  <c r="AV357" i="2"/>
  <c r="AV356" i="2"/>
  <c r="AV355" i="2"/>
  <c r="AV354" i="2"/>
  <c r="AV353" i="2"/>
  <c r="AV352" i="2"/>
  <c r="AV351" i="2"/>
  <c r="AV350" i="2"/>
  <c r="AV349" i="2"/>
  <c r="AV348" i="2"/>
  <c r="AV347" i="2"/>
  <c r="AV346" i="2"/>
  <c r="AV345" i="2"/>
  <c r="AV344" i="2"/>
  <c r="AV343" i="2"/>
  <c r="AV342" i="2"/>
  <c r="AV341" i="2"/>
  <c r="AV340" i="2"/>
  <c r="AV339" i="2"/>
  <c r="AV338" i="2"/>
  <c r="AV337" i="2"/>
  <c r="AV336" i="2"/>
  <c r="AV335" i="2"/>
  <c r="AV334" i="2"/>
  <c r="AV333" i="2"/>
  <c r="AV332" i="2"/>
  <c r="AV331" i="2"/>
  <c r="AV330" i="2"/>
  <c r="AV328" i="2"/>
  <c r="AV329" i="2"/>
  <c r="AV327" i="2"/>
  <c r="AV326" i="2"/>
  <c r="AV325" i="2"/>
  <c r="AV324" i="2"/>
  <c r="AV323" i="2"/>
  <c r="AV322" i="2"/>
  <c r="AV321" i="2"/>
  <c r="AV320" i="2"/>
  <c r="AV319" i="2"/>
  <c r="AV318" i="2"/>
  <c r="AV317" i="2"/>
  <c r="AV316" i="2"/>
  <c r="AV315" i="2"/>
  <c r="AV314" i="2"/>
  <c r="AV313" i="2"/>
  <c r="AV312" i="2"/>
  <c r="AV311" i="2"/>
  <c r="AV310" i="2"/>
  <c r="AV309" i="2"/>
  <c r="AV308" i="2"/>
  <c r="AV307" i="2"/>
  <c r="AV306" i="2"/>
  <c r="AV305" i="2"/>
  <c r="AV304" i="2"/>
  <c r="AV303" i="2"/>
  <c r="AV302" i="2"/>
  <c r="AV301" i="2"/>
  <c r="AV300" i="2"/>
  <c r="AV299" i="2"/>
  <c r="AV298" i="2"/>
  <c r="AV297" i="2"/>
  <c r="AV296" i="2"/>
  <c r="AV295" i="2"/>
  <c r="AV294" i="2"/>
  <c r="AV293" i="2"/>
  <c r="AV292" i="2"/>
  <c r="AV291" i="2"/>
  <c r="AV290" i="2"/>
  <c r="AV289" i="2"/>
  <c r="AV288" i="2"/>
  <c r="AV287" i="2"/>
  <c r="AV286" i="2"/>
  <c r="AV285" i="2"/>
  <c r="AV284" i="2"/>
  <c r="AV283" i="2"/>
  <c r="AV282" i="2"/>
  <c r="AV281" i="2"/>
  <c r="AV280" i="2"/>
  <c r="AV279" i="2"/>
  <c r="AV278" i="2"/>
  <c r="AV277" i="2"/>
  <c r="AV276" i="2"/>
  <c r="AV274" i="2"/>
  <c r="AV275" i="2"/>
  <c r="AV273" i="2"/>
  <c r="AV272" i="2"/>
  <c r="AV271" i="2"/>
  <c r="AV270" i="2"/>
  <c r="AV269" i="2"/>
  <c r="AV268" i="2"/>
  <c r="AV267" i="2"/>
  <c r="AV266" i="2"/>
  <c r="AV265" i="2"/>
  <c r="AV264" i="2"/>
  <c r="AV263" i="2"/>
  <c r="AV262" i="2"/>
  <c r="AV261" i="2"/>
  <c r="AV260" i="2"/>
  <c r="AV259" i="2"/>
  <c r="AV258" i="2"/>
  <c r="AV257" i="2"/>
  <c r="AV256" i="2"/>
  <c r="AV255" i="2"/>
  <c r="AV254" i="2"/>
  <c r="AV253" i="2"/>
  <c r="AV252" i="2"/>
  <c r="AV251" i="2"/>
  <c r="AV250" i="2"/>
  <c r="AV249" i="2"/>
  <c r="AV248" i="2"/>
  <c r="AV247" i="2"/>
  <c r="AV246" i="2"/>
  <c r="AV245" i="2"/>
  <c r="AV244" i="2"/>
  <c r="AV243" i="2"/>
  <c r="AV242" i="2"/>
  <c r="AV241" i="2"/>
  <c r="AV240" i="2"/>
  <c r="AV239" i="2"/>
  <c r="AV238" i="2"/>
  <c r="AV237" i="2"/>
  <c r="AV236" i="2"/>
  <c r="AV235" i="2"/>
  <c r="AV234" i="2"/>
  <c r="AV233" i="2"/>
  <c r="AV232" i="2"/>
  <c r="AV231" i="2"/>
  <c r="AV230" i="2"/>
  <c r="AV229" i="2"/>
  <c r="AV228" i="2"/>
  <c r="AV227" i="2"/>
  <c r="AV226" i="2"/>
  <c r="AV225" i="2"/>
  <c r="AV224" i="2"/>
  <c r="AV223" i="2"/>
  <c r="AV222" i="2"/>
  <c r="AV221" i="2"/>
  <c r="AV220" i="2"/>
  <c r="AV219" i="2"/>
  <c r="AV218" i="2"/>
  <c r="AV217" i="2"/>
  <c r="AV216" i="2"/>
  <c r="AV215" i="2"/>
  <c r="AV214" i="2"/>
  <c r="AV213" i="2"/>
  <c r="AV212" i="2"/>
  <c r="AV211" i="2"/>
  <c r="AV210" i="2"/>
  <c r="AV209" i="2"/>
  <c r="AV208" i="2"/>
  <c r="AV207" i="2"/>
  <c r="AV206" i="2"/>
  <c r="AV205" i="2"/>
  <c r="AV204" i="2"/>
  <c r="AV203" i="2"/>
  <c r="AV202" i="2"/>
  <c r="AV201" i="2"/>
  <c r="AV200" i="2"/>
  <c r="AV199" i="2"/>
  <c r="AV198" i="2"/>
  <c r="AV196" i="2"/>
  <c r="AV197" i="2"/>
  <c r="AV195" i="2"/>
  <c r="AV194" i="2"/>
  <c r="AV193" i="2"/>
  <c r="AV192" i="2"/>
  <c r="AV191" i="2"/>
  <c r="AV190" i="2"/>
  <c r="AV189" i="2"/>
  <c r="AV188" i="2"/>
  <c r="AV187" i="2"/>
  <c r="AV186" i="2"/>
  <c r="AV185" i="2"/>
  <c r="AV184" i="2"/>
  <c r="AV183" i="2"/>
  <c r="AV182" i="2"/>
  <c r="AV181" i="2"/>
  <c r="AV180" i="2"/>
  <c r="AV179" i="2"/>
  <c r="AV178" i="2"/>
  <c r="AV177" i="2"/>
  <c r="AV176" i="2"/>
  <c r="AV175" i="2"/>
  <c r="AV174" i="2"/>
  <c r="AV173" i="2"/>
  <c r="AV172" i="2"/>
  <c r="AV171" i="2"/>
  <c r="AV170" i="2"/>
  <c r="AV169" i="2"/>
  <c r="AV168" i="2"/>
  <c r="AV167" i="2"/>
  <c r="AV166" i="2"/>
  <c r="AV165" i="2"/>
  <c r="AV164" i="2"/>
  <c r="AV163" i="2"/>
  <c r="AV162" i="2"/>
  <c r="AV161" i="2"/>
  <c r="AV160" i="2"/>
  <c r="AV159" i="2"/>
  <c r="AV158" i="2"/>
  <c r="AV157" i="2"/>
  <c r="AV156" i="2"/>
  <c r="AV155" i="2"/>
  <c r="AV154" i="2"/>
  <c r="AV153" i="2"/>
  <c r="AV152" i="2"/>
  <c r="AV151" i="2"/>
  <c r="AV150" i="2"/>
  <c r="AV149" i="2"/>
  <c r="AV148" i="2"/>
  <c r="AV147" i="2"/>
  <c r="AV146" i="2"/>
  <c r="AV145" i="2"/>
  <c r="AV144" i="2"/>
  <c r="AV143" i="2"/>
  <c r="AV142" i="2"/>
  <c r="AV141" i="2"/>
  <c r="AV140" i="2"/>
  <c r="AV139" i="2"/>
  <c r="AV138" i="2"/>
  <c r="AV137" i="2"/>
  <c r="AV136" i="2"/>
  <c r="AV135" i="2"/>
  <c r="AV134" i="2"/>
  <c r="AV133" i="2"/>
  <c r="AV132" i="2"/>
  <c r="AV131" i="2"/>
  <c r="AV130" i="2"/>
  <c r="AV129" i="2"/>
  <c r="AV128" i="2"/>
  <c r="AV127" i="2"/>
  <c r="AV126" i="2"/>
  <c r="AV125" i="2"/>
  <c r="AV124" i="2"/>
  <c r="AV123" i="2"/>
  <c r="AV122" i="2"/>
  <c r="AV121" i="2"/>
  <c r="AV120" i="2"/>
  <c r="AV118" i="2"/>
  <c r="AV119" i="2"/>
  <c r="AV117" i="2"/>
  <c r="AV116" i="2"/>
  <c r="AV115" i="2"/>
  <c r="AV114" i="2"/>
  <c r="AV113" i="2"/>
  <c r="AV112" i="2"/>
  <c r="AV111" i="2"/>
  <c r="AV110" i="2"/>
  <c r="AV109" i="2"/>
  <c r="AV108" i="2"/>
  <c r="AV107" i="2"/>
  <c r="AV106" i="2"/>
  <c r="AV105" i="2"/>
  <c r="AV104" i="2"/>
  <c r="AV103" i="2"/>
  <c r="AV102" i="2"/>
  <c r="AV101" i="2"/>
  <c r="AV100" i="2"/>
  <c r="AV99" i="2"/>
  <c r="AV98" i="2"/>
  <c r="AV97" i="2"/>
  <c r="AV96" i="2"/>
  <c r="AV95" i="2"/>
  <c r="AV94" i="2"/>
  <c r="AV93" i="2"/>
  <c r="AV92" i="2"/>
  <c r="AV91" i="2"/>
  <c r="AV90" i="2"/>
  <c r="AV89" i="2"/>
  <c r="AV88" i="2"/>
  <c r="AV87" i="2"/>
  <c r="AV86" i="2"/>
  <c r="AV85" i="2"/>
  <c r="AV84" i="2"/>
  <c r="AV83" i="2"/>
  <c r="AV82" i="2"/>
  <c r="AV81" i="2"/>
  <c r="AV80" i="2"/>
  <c r="AV79" i="2"/>
  <c r="AV78" i="2"/>
  <c r="AV77" i="2"/>
  <c r="AV76" i="2"/>
  <c r="AV74" i="2"/>
  <c r="AV75" i="2"/>
  <c r="AV73" i="2"/>
  <c r="AV72" i="2"/>
  <c r="AV71" i="2"/>
  <c r="AV70" i="2"/>
  <c r="AV69" i="2"/>
  <c r="AV68" i="2"/>
  <c r="AV67" i="2"/>
  <c r="AV66" i="2"/>
  <c r="AV65" i="2"/>
  <c r="AV64" i="2"/>
  <c r="AV63" i="2"/>
  <c r="AV62" i="2"/>
  <c r="AV61" i="2"/>
  <c r="AV60" i="2"/>
  <c r="AV59" i="2"/>
  <c r="AV58" i="2"/>
  <c r="AV57" i="2"/>
  <c r="AV56" i="2"/>
  <c r="AV55" i="2"/>
  <c r="AV54" i="2"/>
  <c r="AV53" i="2"/>
  <c r="AV52" i="2"/>
  <c r="AV51" i="2"/>
  <c r="AV50" i="2"/>
  <c r="AV49" i="2"/>
  <c r="AV48" i="2"/>
  <c r="AV47" i="2"/>
  <c r="AV46" i="2"/>
  <c r="AV45" i="2"/>
  <c r="AV44" i="2"/>
  <c r="AV43" i="2"/>
  <c r="AV42" i="2"/>
  <c r="AV41" i="2"/>
  <c r="AV40" i="2"/>
  <c r="AV39" i="2"/>
  <c r="AV38" i="2"/>
  <c r="AV37" i="2"/>
  <c r="AV36" i="2"/>
  <c r="AV35" i="2"/>
  <c r="AV34" i="2"/>
  <c r="AV33" i="2"/>
  <c r="AV32" i="2"/>
  <c r="AV31" i="2"/>
  <c r="AV30" i="2"/>
  <c r="AV29" i="2"/>
  <c r="AV28" i="2"/>
  <c r="AV27" i="2"/>
  <c r="AV26" i="2"/>
  <c r="AV25" i="2"/>
  <c r="AV24" i="2"/>
  <c r="AV23" i="2"/>
  <c r="AV22" i="2"/>
  <c r="AV21" i="2"/>
  <c r="AV20" i="2"/>
  <c r="AV19" i="2"/>
  <c r="AV18" i="2"/>
  <c r="AV17" i="2"/>
  <c r="AV16" i="2"/>
  <c r="AV15" i="2"/>
  <c r="AV14" i="2"/>
  <c r="AV13" i="2"/>
  <c r="AV12" i="2"/>
  <c r="AV11" i="2"/>
  <c r="AV10" i="2"/>
  <c r="AV9" i="2"/>
  <c r="AV8" i="2"/>
  <c r="AV7" i="2"/>
  <c r="AV6" i="2"/>
  <c r="AV5" i="2"/>
  <c r="AV4" i="2"/>
  <c r="AV3" i="2"/>
  <c r="AU2" i="2"/>
  <c r="AU3" i="2"/>
  <c r="AU4" i="2"/>
  <c r="AU5" i="2"/>
  <c r="AU6" i="2"/>
  <c r="AU7"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5" i="2"/>
  <c r="AU74" i="2"/>
  <c r="AU76" i="2"/>
  <c r="AU77" i="2"/>
  <c r="AU78" i="2"/>
  <c r="AU79" i="2"/>
  <c r="AU80" i="2"/>
  <c r="AU81" i="2"/>
  <c r="AU82" i="2"/>
  <c r="AU83" i="2"/>
  <c r="AU84" i="2"/>
  <c r="AU85" i="2"/>
  <c r="AU86" i="2"/>
  <c r="AU87" i="2"/>
  <c r="AU88" i="2"/>
  <c r="AU89" i="2"/>
  <c r="AU90" i="2"/>
  <c r="AU91" i="2"/>
  <c r="AU92" i="2"/>
  <c r="AU93" i="2"/>
  <c r="AU94" i="2"/>
  <c r="AU95" i="2"/>
  <c r="AU96" i="2"/>
  <c r="AU97" i="2"/>
  <c r="AU98" i="2"/>
  <c r="AU99" i="2"/>
  <c r="AU100" i="2"/>
  <c r="AU101" i="2"/>
  <c r="AU102" i="2"/>
  <c r="AU103" i="2"/>
  <c r="AU104" i="2"/>
  <c r="AU105" i="2"/>
  <c r="AU106" i="2"/>
  <c r="AU107" i="2"/>
  <c r="AU108" i="2"/>
  <c r="AU109" i="2"/>
  <c r="AU110" i="2"/>
  <c r="AU111" i="2"/>
  <c r="AU112" i="2"/>
  <c r="AU113" i="2"/>
  <c r="AU114" i="2"/>
  <c r="AU115" i="2"/>
  <c r="AU116" i="2"/>
  <c r="AU117" i="2"/>
  <c r="AU119" i="2"/>
  <c r="AU118" i="2"/>
  <c r="AU120" i="2"/>
  <c r="AU121" i="2"/>
  <c r="AU122" i="2"/>
  <c r="AU123" i="2"/>
  <c r="AU124" i="2"/>
  <c r="AU125" i="2"/>
  <c r="AU126" i="2"/>
  <c r="AU127" i="2"/>
  <c r="AU128"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5" i="2"/>
  <c r="AU274"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81" i="4" l="1"/>
  <c r="AU380" i="4"/>
  <c r="AU379" i="4"/>
  <c r="AU378" i="4"/>
  <c r="AU377" i="4"/>
  <c r="AU376" i="4"/>
  <c r="AU375" i="4"/>
  <c r="AU374" i="4"/>
  <c r="AU373" i="4"/>
  <c r="AU372" i="4"/>
  <c r="AU371" i="4"/>
  <c r="AU370" i="4"/>
  <c r="AU369" i="4"/>
  <c r="AU368" i="4"/>
  <c r="AU367" i="4"/>
  <c r="AU366" i="4"/>
  <c r="AU365" i="4"/>
  <c r="AU364" i="4"/>
  <c r="AU363" i="4"/>
  <c r="AU362" i="4"/>
  <c r="AU361" i="4"/>
  <c r="AU360" i="4"/>
  <c r="AU359" i="4"/>
  <c r="AU358" i="4"/>
  <c r="AU357" i="4"/>
  <c r="AU356" i="4"/>
  <c r="AU355" i="4"/>
  <c r="AU354" i="4"/>
  <c r="AU353" i="4"/>
  <c r="AU352" i="4"/>
  <c r="AU351" i="4"/>
  <c r="AU350" i="4"/>
  <c r="AU349" i="4"/>
  <c r="AU348" i="4"/>
  <c r="AU347" i="4"/>
  <c r="AU346" i="4"/>
  <c r="AU345" i="4"/>
  <c r="AU344" i="4"/>
  <c r="AU343" i="4"/>
  <c r="AU342" i="4"/>
  <c r="AU341" i="4"/>
  <c r="AU340" i="4"/>
  <c r="AU339" i="4"/>
  <c r="AU338" i="4"/>
  <c r="AU337" i="4"/>
  <c r="AU336" i="4"/>
  <c r="AU335" i="4"/>
  <c r="AU334" i="4"/>
  <c r="AU333" i="4"/>
  <c r="AU332" i="4"/>
  <c r="AU331" i="4"/>
  <c r="AU330" i="4"/>
  <c r="AU329" i="4"/>
  <c r="AU328" i="4"/>
  <c r="AU327" i="4"/>
  <c r="AU326" i="4"/>
  <c r="AU325" i="4"/>
  <c r="AU324" i="4"/>
  <c r="AU323" i="4"/>
  <c r="AU322" i="4"/>
  <c r="AU321" i="4"/>
  <c r="AU320" i="4"/>
  <c r="AU319" i="4"/>
  <c r="AU318" i="4"/>
  <c r="AU317" i="4"/>
  <c r="AU316" i="4"/>
  <c r="AU315" i="4"/>
  <c r="AU314" i="4"/>
  <c r="AU313" i="4"/>
  <c r="AU312" i="4"/>
  <c r="AU311" i="4"/>
  <c r="AU310" i="4"/>
  <c r="AU309" i="4"/>
  <c r="AU308" i="4"/>
  <c r="AU307" i="4"/>
  <c r="AU306" i="4"/>
  <c r="AU305" i="4"/>
  <c r="AU304" i="4"/>
  <c r="AU303" i="4"/>
  <c r="AU302" i="4"/>
  <c r="AU301" i="4"/>
  <c r="AU300" i="4"/>
  <c r="AU299" i="4"/>
  <c r="AU298" i="4"/>
  <c r="AU297" i="4"/>
  <c r="AU296" i="4"/>
  <c r="AU295" i="4"/>
  <c r="AU294" i="4"/>
  <c r="AU293" i="4"/>
  <c r="AU292" i="4"/>
  <c r="AU291" i="4"/>
  <c r="AU290" i="4"/>
  <c r="AU289" i="4"/>
  <c r="AU288" i="4"/>
  <c r="AU287" i="4"/>
  <c r="AU286" i="4"/>
  <c r="AU285" i="4"/>
  <c r="AU284" i="4"/>
  <c r="AU283" i="4"/>
  <c r="AU282" i="4"/>
  <c r="AU281" i="4"/>
  <c r="AU280" i="4"/>
  <c r="AU279" i="4"/>
  <c r="AU278" i="4"/>
  <c r="AU277" i="4"/>
  <c r="AU276" i="4"/>
  <c r="AU275" i="4"/>
  <c r="AU274" i="4"/>
  <c r="AU273" i="4"/>
  <c r="AU272" i="4"/>
  <c r="AU271" i="4"/>
  <c r="AU270" i="4"/>
  <c r="AU269" i="4"/>
  <c r="AU268" i="4"/>
  <c r="AU267" i="4"/>
  <c r="AU266" i="4"/>
  <c r="AU265" i="4"/>
  <c r="AU264" i="4"/>
  <c r="AU263" i="4"/>
  <c r="AU262" i="4"/>
  <c r="AU261" i="4"/>
  <c r="AU260" i="4"/>
  <c r="AU259" i="4"/>
  <c r="AU258" i="4"/>
  <c r="AU257" i="4"/>
  <c r="AU256" i="4"/>
  <c r="AU255" i="4"/>
  <c r="AU254" i="4"/>
  <c r="AU253" i="4"/>
  <c r="AU252" i="4"/>
  <c r="AU251" i="4"/>
  <c r="AU250" i="4"/>
  <c r="AU249" i="4"/>
  <c r="AU248" i="4"/>
  <c r="AU247" i="4"/>
  <c r="AU246" i="4"/>
  <c r="AU245" i="4"/>
  <c r="AU244" i="4"/>
  <c r="AU243" i="4"/>
  <c r="AU242" i="4"/>
  <c r="AU241" i="4"/>
  <c r="AU240" i="4"/>
  <c r="AU239" i="4"/>
  <c r="AU238" i="4"/>
  <c r="AU237" i="4"/>
  <c r="AU236" i="4"/>
  <c r="AU235" i="4"/>
  <c r="AU234" i="4"/>
  <c r="AU233" i="4"/>
  <c r="AU232" i="4"/>
  <c r="AU231" i="4"/>
  <c r="AU230" i="4"/>
  <c r="AU229" i="4"/>
  <c r="AU228" i="4"/>
  <c r="AU227" i="4"/>
  <c r="AU226" i="4"/>
  <c r="AU225" i="4"/>
  <c r="AU224" i="4"/>
  <c r="AU223" i="4"/>
  <c r="AU222" i="4"/>
  <c r="AU221" i="4"/>
  <c r="AU220" i="4"/>
  <c r="AU219" i="4"/>
  <c r="AU218" i="4"/>
  <c r="AU217" i="4"/>
  <c r="AU216" i="4"/>
  <c r="AU215" i="4"/>
  <c r="AU214" i="4"/>
  <c r="AU213" i="4"/>
  <c r="AU212" i="4"/>
  <c r="AU211" i="4"/>
  <c r="AU210" i="4"/>
  <c r="AU209" i="4"/>
  <c r="AU208" i="4"/>
  <c r="AU207" i="4"/>
  <c r="AU206" i="4"/>
  <c r="AU205" i="4"/>
  <c r="AU204" i="4"/>
  <c r="AU203" i="4"/>
  <c r="AU202" i="4"/>
  <c r="AU201" i="4"/>
  <c r="AU200" i="4"/>
  <c r="AU199" i="4"/>
  <c r="AU198" i="4"/>
  <c r="AU197" i="4"/>
  <c r="AU196" i="4"/>
  <c r="AU195" i="4"/>
  <c r="AU194" i="4"/>
  <c r="AU193" i="4"/>
  <c r="AU192" i="4"/>
  <c r="AU191" i="4"/>
  <c r="AU190" i="4"/>
  <c r="AU189" i="4"/>
  <c r="AU188" i="4"/>
  <c r="AU186" i="4"/>
  <c r="AU185" i="4"/>
  <c r="AU184" i="4"/>
  <c r="AU183" i="4"/>
  <c r="AU182" i="4"/>
  <c r="AU181" i="4"/>
  <c r="AU180" i="4"/>
  <c r="AU179" i="4"/>
  <c r="AU178" i="4"/>
  <c r="AU177" i="4"/>
  <c r="AU176" i="4"/>
  <c r="AU175" i="4"/>
  <c r="AU174" i="4"/>
  <c r="AU173" i="4"/>
  <c r="AU172" i="4"/>
  <c r="AU171" i="4"/>
  <c r="AU170" i="4"/>
  <c r="AU169" i="4"/>
  <c r="AU168" i="4"/>
  <c r="AU167" i="4"/>
  <c r="AU166" i="4"/>
  <c r="AU165" i="4"/>
  <c r="AU164" i="4"/>
  <c r="AU163" i="4"/>
  <c r="AU162" i="4"/>
  <c r="AU161" i="4"/>
  <c r="AU160" i="4"/>
  <c r="AU159" i="4"/>
  <c r="AU158" i="4"/>
  <c r="AU157" i="4"/>
  <c r="AU156" i="4"/>
  <c r="AU155" i="4"/>
  <c r="AU154" i="4"/>
  <c r="AU153" i="4"/>
  <c r="AU152" i="4"/>
  <c r="AU151" i="4"/>
  <c r="AU150" i="4"/>
  <c r="AU149" i="4"/>
  <c r="AU148" i="4"/>
  <c r="AU147" i="4"/>
  <c r="AU146" i="4"/>
  <c r="AU145" i="4"/>
  <c r="AU144" i="4"/>
  <c r="AU143" i="4"/>
  <c r="AU142" i="4"/>
  <c r="AU141" i="4"/>
  <c r="AU140" i="4"/>
  <c r="AU139" i="4"/>
  <c r="AU138" i="4"/>
  <c r="AU137" i="4"/>
  <c r="AU136" i="4"/>
  <c r="AU135" i="4"/>
  <c r="AU134" i="4"/>
  <c r="AU133" i="4"/>
  <c r="AU132" i="4"/>
  <c r="AU131" i="4"/>
  <c r="AU130" i="4"/>
  <c r="AU129" i="4"/>
  <c r="AU128" i="4"/>
  <c r="AU127" i="4"/>
  <c r="AU126" i="4"/>
  <c r="AU125" i="4"/>
  <c r="AU124" i="4"/>
  <c r="AU123" i="4"/>
  <c r="AU122" i="4"/>
  <c r="AU121" i="4"/>
  <c r="AU120" i="4"/>
  <c r="AU119" i="4"/>
  <c r="AU118" i="4"/>
  <c r="AU117" i="4"/>
  <c r="AU116" i="4"/>
  <c r="AU115" i="4"/>
  <c r="AU114" i="4"/>
  <c r="AU113" i="4"/>
  <c r="AU112" i="4"/>
  <c r="AU111" i="4"/>
  <c r="AU110" i="4"/>
  <c r="AU109" i="4"/>
  <c r="AU108" i="4"/>
  <c r="AU107" i="4"/>
  <c r="AU106" i="4"/>
  <c r="AU105" i="4"/>
  <c r="AU104" i="4"/>
  <c r="AU103" i="4"/>
  <c r="AU102" i="4"/>
  <c r="AU101" i="4"/>
  <c r="AU100" i="4"/>
  <c r="AU99" i="4"/>
  <c r="AU98" i="4"/>
  <c r="AU97" i="4"/>
  <c r="AU96" i="4"/>
  <c r="AU95" i="4"/>
  <c r="AU94" i="4"/>
  <c r="AU93" i="4"/>
  <c r="AU92" i="4"/>
  <c r="AU91" i="4"/>
  <c r="AU90" i="4"/>
  <c r="AU89" i="4"/>
  <c r="AU88" i="4"/>
  <c r="AU87" i="4"/>
  <c r="AU86" i="4"/>
  <c r="AU85" i="4"/>
  <c r="AU84" i="4"/>
  <c r="AU83" i="4"/>
  <c r="AU82" i="4"/>
  <c r="AU81" i="4"/>
  <c r="AU80" i="4"/>
  <c r="AU79" i="4"/>
  <c r="AU78" i="4"/>
  <c r="AU77" i="4"/>
  <c r="AU76" i="4"/>
  <c r="AU75" i="4"/>
  <c r="AU74" i="4"/>
  <c r="AU73" i="4"/>
  <c r="AU72" i="4"/>
  <c r="AU71" i="4"/>
  <c r="AU70" i="4"/>
  <c r="AU69" i="4"/>
  <c r="AU68" i="4"/>
  <c r="AU67" i="4"/>
  <c r="AU66" i="4"/>
  <c r="AU65" i="4"/>
  <c r="AU64" i="4"/>
  <c r="AU63" i="4"/>
</calcChain>
</file>

<file path=xl/sharedStrings.xml><?xml version="1.0" encoding="utf-8"?>
<sst xmlns="http://schemas.openxmlformats.org/spreadsheetml/2006/main" count="16356" uniqueCount="2033">
  <si>
    <t>Name</t>
  </si>
  <si>
    <t>Dept</t>
  </si>
  <si>
    <t>Murali Ottappalam Subramaniam SHANKAR</t>
  </si>
  <si>
    <t>BTS-BA</t>
  </si>
  <si>
    <t>Kalarickal Rameshan PILLAI Renjith</t>
  </si>
  <si>
    <t>BTS-Deploy</t>
  </si>
  <si>
    <t>Ranjana KIRAN</t>
  </si>
  <si>
    <t>BTS-Dev</t>
  </si>
  <si>
    <t>Sritam SAMBIT</t>
  </si>
  <si>
    <t>Thiruppathi DURAISAMY</t>
  </si>
  <si>
    <t>BTS-Platform</t>
  </si>
  <si>
    <t>Jasmeet Singh BIRGI</t>
  </si>
  <si>
    <t>KANG Cheng Hong</t>
  </si>
  <si>
    <t>DMO</t>
  </si>
  <si>
    <t>Kavitha YEDUGURU</t>
  </si>
  <si>
    <t>SRC-EPM</t>
  </si>
  <si>
    <t>Philippe GRENIER</t>
  </si>
  <si>
    <t>TD-Dev</t>
  </si>
  <si>
    <t>KIM Sang Chul</t>
  </si>
  <si>
    <t>GANGARAJU Kaluvapalli</t>
  </si>
  <si>
    <t>Test-SIT</t>
  </si>
  <si>
    <t>PANDA Mahesh</t>
  </si>
  <si>
    <t>PIDIKITI Abhiram</t>
  </si>
  <si>
    <t>PRAVEEN KUMAR Manda</t>
  </si>
  <si>
    <t>THANT OO Myo</t>
  </si>
  <si>
    <t>Jayaprakash BALASUBRAMANIAN</t>
  </si>
  <si>
    <t>SRC-BWC</t>
  </si>
  <si>
    <t>NEW Lay Hong</t>
  </si>
  <si>
    <t>SHEIKH MOHD Rafik</t>
  </si>
  <si>
    <t>RAMAMOORTHY Gopalakrishnan</t>
  </si>
  <si>
    <t>SURYA TEJA Bonagiri</t>
  </si>
  <si>
    <t>Agnes Sok Koon CHUA</t>
  </si>
  <si>
    <t>SRC-CFR</t>
  </si>
  <si>
    <t>Rhys Hazel RAQUIPISO</t>
  </si>
  <si>
    <t>SRC-GCF</t>
  </si>
  <si>
    <t>Catherine NG Xiu Wen</t>
  </si>
  <si>
    <t>Eugene YANG Jiahao</t>
  </si>
  <si>
    <t>LIN Wei Ling</t>
  </si>
  <si>
    <t>Robert CHEAH Tong Ngee</t>
  </si>
  <si>
    <t>TAN Tian Wen</t>
  </si>
  <si>
    <t>Charles BERNARD</t>
  </si>
  <si>
    <t>CHAN Kit Mun</t>
  </si>
  <si>
    <t>Project</t>
  </si>
  <si>
    <t>Key</t>
  </si>
  <si>
    <t>Summary</t>
  </si>
  <si>
    <t>Component</t>
  </si>
  <si>
    <t>Defect Category</t>
  </si>
  <si>
    <t>UAT Status</t>
  </si>
  <si>
    <t>Fix Version/s</t>
  </si>
  <si>
    <t>TD Comments</t>
  </si>
  <si>
    <t>SIT4 Status</t>
  </si>
  <si>
    <t>Issue Type</t>
  </si>
  <si>
    <t>Status</t>
  </si>
  <si>
    <t>Priority</t>
  </si>
  <si>
    <t>Resolution</t>
  </si>
  <si>
    <t>Assignee</t>
  </si>
  <si>
    <t>Reporter</t>
  </si>
  <si>
    <t>Created</t>
  </si>
  <si>
    <t>Updated</t>
  </si>
  <si>
    <t>Resolved</t>
  </si>
  <si>
    <t>Affects Version/s</t>
  </si>
  <si>
    <t>Component/s</t>
  </si>
  <si>
    <t>Due Date</t>
  </si>
  <si>
    <t>Votes</t>
  </si>
  <si>
    <t>Watchers</t>
  </si>
  <si>
    <t>Images</t>
  </si>
  <si>
    <t>Original Estimate</t>
  </si>
  <si>
    <t>Remaining Estimate</t>
  </si>
  <si>
    <t>Time Spent</t>
  </si>
  <si>
    <t>Work Ratio</t>
  </si>
  <si>
    <t>Sub-Tasks</t>
  </si>
  <si>
    <t>Linked Issues</t>
  </si>
  <si>
    <t>Environment</t>
  </si>
  <si>
    <t>Description</t>
  </si>
  <si>
    <t>Security Level</t>
  </si>
  <si>
    <t>Progress</t>
  </si>
  <si>
    <t>Σ Progress</t>
  </si>
  <si>
    <t>Σ Time Spent</t>
  </si>
  <si>
    <t>Σ Remaining Estimate</t>
  </si>
  <si>
    <t>Σ Original Estimate</t>
  </si>
  <si>
    <t>Labels</t>
  </si>
  <si>
    <t>Root Cause</t>
  </si>
  <si>
    <t>Country</t>
  </si>
  <si>
    <t>Reference ID</t>
  </si>
  <si>
    <t>Test Category</t>
  </si>
  <si>
    <t>Raised Dept</t>
  </si>
  <si>
    <t>EDAG Project Phase 1</t>
  </si>
  <si>
    <t>PEDAGML-432</t>
  </si>
  <si>
    <t>DL_B1:Ingestion failed for few files for CN,TH,SG</t>
  </si>
  <si>
    <t>EDF</t>
  </si>
  <si>
    <t>Ingestion Failure</t>
  </si>
  <si>
    <t>Bug</t>
  </si>
  <si>
    <t>Open</t>
  </si>
  <si>
    <t>High</t>
  </si>
  <si>
    <t>Unresolved</t>
  </si>
  <si>
    <t>EDF1.01.15</t>
  </si>
  <si>
    <t>DL</t>
  </si>
  <si>
    <t>SIT</t>
  </si>
  <si>
    <t xml:space="preserve">CFAIDX,CFMASX-- CN. 
CFBSCE,CFMASX,CFDOCT -- TH 
CFCONN,CFKYCC --- SG 
Ingestion failed 
</t>
  </si>
  <si>
    <t>Ingestion_failure</t>
  </si>
  <si>
    <t>PEDAGML-431</t>
  </si>
  <si>
    <t>CEL - Missing previous cycle data (eda_cel_trsmlimit_d)</t>
  </si>
  <si>
    <t>Missing Data</t>
  </si>
  <si>
    <t>Medium</t>
  </si>
  <si>
    <t>UAT2</t>
  </si>
  <si>
    <t xml:space="preserve">_thumb_252715.png _thumb_252711.png </t>
  </si>
  <si>
    <t>Batch 1 UAT 2</t>
  </si>
  <si>
    <t>Missing previous cycle data (eda_cel_trsmlimit_d) 
Only 1 business date found.</t>
  </si>
  <si>
    <t>PEDAGML-430</t>
  </si>
  <si>
    <t>DL_GCF:Ingestion Failure</t>
  </si>
  <si>
    <t>In Progress</t>
  </si>
  <si>
    <t>KUMAR Singh Indra</t>
  </si>
  <si>
    <t>SIT4, EDF1.01.14</t>
  </si>
  <si>
    <t>Ingestion has been failed due to threshold error for the file SFSPOS 
Please find more details in the attachment</t>
  </si>
  <si>
    <t>INGESTION_FAILURE</t>
  </si>
  <si>
    <t>PEDAGML-429</t>
  </si>
  <si>
    <t>TAS: Export jobs Failed</t>
  </si>
  <si>
    <t>TAS</t>
  </si>
  <si>
    <t>TAS_export_Error</t>
  </si>
  <si>
    <t xml:space="preserve">Execution of Export scripts failed in UAT thru Control-M. Please help to check. 
Error: 
+ echo 'Usage : export.sh -f(optional) -e PROC_NAME BIZ_DT COUNTRY_CODE' 
Usage : export.sh -f(optional) -e PROC_NAME BIZ_DT COUNTRY_CODE 
+ echo 'please input all necessary parameters' 
please input all necessary parameters 
+ echo 'program exit with error: please input all necessary parameters' 
program exit with error: please input all necessary parameters 
+ exit 99 
</t>
  </si>
  <si>
    <t>TAS_Export_Error</t>
  </si>
  <si>
    <t>PEDAGML-427</t>
  </si>
  <si>
    <t>BWC_SG, BWC_RG, BWC_CBS - discrepancy between date field with same description</t>
  </si>
  <si>
    <t>Incorrect_Data</t>
  </si>
  <si>
    <t>Critical</t>
  </si>
  <si>
    <t xml:space="preserve">_thumb_251758.png _thumb_251757.png _thumb_251755.png _thumb_251756.png </t>
  </si>
  <si>
    <t>Batch 1 UAT</t>
  </si>
  <si>
    <t>Date field with same description contains different dates.</t>
  </si>
  <si>
    <t>PEDAGML-425</t>
  </si>
  <si>
    <t>All system - query error in HIVE</t>
  </si>
  <si>
    <t>Platform</t>
  </si>
  <si>
    <t>Env_setup</t>
  </si>
  <si>
    <t>Fixed</t>
  </si>
  <si>
    <t xml:space="preserve">_thumb_251406.png </t>
  </si>
  <si>
    <t>Hit unknown error when querying in HIVE</t>
  </si>
  <si>
    <t>Yarn Queue Issue</t>
  </si>
  <si>
    <t>PEDAGML-424</t>
  </si>
  <si>
    <t>TAS: CORE_BALANCE_SHEET_TC transaction amount not matched with FAGLFLEXT</t>
  </si>
  <si>
    <t>Data_issues</t>
  </si>
  <si>
    <t>SIT2</t>
  </si>
  <si>
    <t>TAS1.01.03.02</t>
  </si>
  <si>
    <t xml:space="preserve">_thumb_251692.png _thumb_251694.png </t>
  </si>
  <si>
    <t>PEDAGML-333</t>
  </si>
  <si>
    <t>SIT-TAS</t>
  </si>
  <si>
    <t xml:space="preserve">Transaction Amount Reconciliation between FAGLFLEXT and CORE_BALANCE_SHEET_TC is not matched. Please check for below two sample scenarios: 
--Scenario 1 
select TSL12 from S01_TAS_RPL_U30.FAGLFLEXT 
where RYEAR=2014 and RACCT='1011650081' and RTCUR='SGD' 
select TC_POSTED_BALANCE_AMOUNT from S01_TAS_COR.CORE_BALANCE_SHEET_TC 
where GL_ACCOUNT_ID='1011650081' and CURRENCY_ID='SGD' 
and FISCAL_YEAR=2014 and BALANCE_SHEET_PERIOD=12 
--Scenario 2 
select TSL12 from S01_TAS_RPL_U30.FAGLFLEXT 
where RYEAR=2014 and RACCT='1011062001' and RTCUR='SGD' 
select TC_POSTED_BALANCE_AMOUNT from S01_TAS_COR.CORE_BALANCE_SHEET_TC 
where GL_ACCOUNT_ID='1011062001' and CURRENCY_ID='SGD' 
and FISCAL_YEAR=2014 and BALANCE_SHEET_PERIOD=12 
</t>
  </si>
  <si>
    <t>data_issues</t>
  </si>
  <si>
    <t>Singapore</t>
  </si>
  <si>
    <t>PEDAGML-423</t>
  </si>
  <si>
    <t>SSS(TH, SG &amp; MY) - Language issue on these table (10 - FEGAPRM, 18 - GLINT1, 14 - FEOSOFC, 37 - JHCOUN)</t>
  </si>
  <si>
    <t>EDF_Char_set</t>
  </si>
  <si>
    <t>PEDAGML-414</t>
  </si>
  <si>
    <t xml:space="preserve">Language issue found on these table: 
10 - FEGAPRM - country - SG, field - gafdes, some data found - "Susp Liabilities Clearing��" 
18 - GLINT1 - country - MY, field - gdesc, data found - "Withdrawal Interest � Dr Old Branch" 
14 - FEOSOFC, country - TH, field - All null 
37 - JHCOUN, country - TH, field - jhcnam, thai language wrongly converted to �� 
</t>
  </si>
  <si>
    <t>PEDAGML-422</t>
  </si>
  <si>
    <t>TAS: Data Type Mismatch between TD and HIVE - CORE_WORK_CENTER_HIERARCHY.LEAF_LEVEL</t>
  </si>
  <si>
    <t>DB_Structure_issues</t>
  </si>
  <si>
    <t>No Release Date</t>
  </si>
  <si>
    <t>TAS-SIT</t>
  </si>
  <si>
    <t>Data type mismatch one case identified while validating TAS CORE data against HIVE tables. CORE_WORK_CENTER_HIERARCHY.LEAF_LEVEL is integer in TD but decimal(20,0) in HIVE. 
Details in attached.</t>
  </si>
  <si>
    <t>DB_Structure_Issue</t>
  </si>
  <si>
    <t>PEDAGML-421</t>
  </si>
  <si>
    <t>BWC_Parameter (TH) - All data with thai language is NULL in these tables (29 - CFZPEL, 33 - CFZPJD, 34 - CFZPLC, 40 - CFZPOC, 51 - CFZPSA_RG, 59 - CFZPXS)</t>
  </si>
  <si>
    <t>Batch 1 Uat 2</t>
  </si>
  <si>
    <t>All data with thai language is NULL in these tables: 
29 - CFZPEL 
33 - CFZPJD 
34 - CFZPLC 
40 - CFZPOC 
51 - CFZPSA_RG 
59 - CFZPXS 
Same as defect 414.</t>
  </si>
  <si>
    <t>Thailand</t>
  </si>
  <si>
    <t>PEDAGML-420</t>
  </si>
  <si>
    <t>BWC_RG, Typo in interface file (file spec)</t>
  </si>
  <si>
    <t>Interface Specs</t>
  </si>
  <si>
    <t>Low</t>
  </si>
  <si>
    <t xml:space="preserve">_thumb_251297.png </t>
  </si>
  <si>
    <t>Primary key CFZESQ in file spec for table CFZEDU should be CFZSEQ.</t>
  </si>
  <si>
    <t>Specs udpated.</t>
  </si>
  <si>
    <t>PEDAGML-419</t>
  </si>
  <si>
    <t>TAS: unable to Replicate SAP to RDB in UAT</t>
  </si>
  <si>
    <t>TDR</t>
  </si>
  <si>
    <t>Ready for Testing</t>
  </si>
  <si>
    <t xml:space="preserve">_thumb_252303.png </t>
  </si>
  <si>
    <t>TAS-UAT</t>
  </si>
  <si>
    <t xml:space="preserve">tdr_batch.sh script got failed in UAT environment. 
Error: 
A Server Manager session is not active. Connect to the Server Manager and then run the command again. 
</t>
  </si>
  <si>
    <t>File system is running full I was and are enable to connect.</t>
  </si>
  <si>
    <t>PEDAGML-418</t>
  </si>
  <si>
    <t>BWC_RG - Multiple tables with character not recognised in HIVE</t>
  </si>
  <si>
    <t xml:space="preserve">_thumb_251273.png _thumb_251402.png _thumb_251403.png _thumb_251404.png </t>
  </si>
  <si>
    <t>Unknown character in HIVE tables for BWC_RG</t>
  </si>
  <si>
    <t>PEDAGML-415</t>
  </si>
  <si>
    <t>TAS: Export/Import cannot tested for CORE_FINANCIAL_POSTING due to no data</t>
  </si>
  <si>
    <t>While running TAS export process, there is no records exported from table S01_TAS_COR.CORE_FINANCIAL_POSTING due to table is empty. Initial sync was done last week and somehow data get truncated. 
Without data, export/import data validation cannot be done. 
Please assist.</t>
  </si>
  <si>
    <t>BWC_RG - CFACCT, CFAIDN, CFALIA, CFBLST, CFZMAS, CFOFFL ,CFZBLR PK is null</t>
  </si>
  <si>
    <t>Wilbert Bedor LIM</t>
  </si>
  <si>
    <t xml:space="preserve">_thumb_251303.png _thumb_251304.png _thumb_250999.png _thumb_250996.png _thumb_250997.png _thumb_250998.png _thumb_250980.png </t>
  </si>
  <si>
    <t>PEDAGML-421, PEDAGML-423, PEDAGML-418</t>
  </si>
  <si>
    <t>PK field is null for CFACCT in BWC_Regional.</t>
  </si>
  <si>
    <t>PEDAGML-412</t>
  </si>
  <si>
    <t>TAS: TAS_SITE_ID missing column in Interface Spec Registration</t>
  </si>
  <si>
    <t>Registration</t>
  </si>
  <si>
    <t xml:space="preserve">TAS_SITE_ID missing column in Interface Spec for the below tables. 
1. CORE_FINANCIAL_GL_ITEM 
2. CORE_FINANCIAL_POSTING 
3. CORE_BALANCE_SHEET 
</t>
  </si>
  <si>
    <t>PEDAGML-411</t>
  </si>
  <si>
    <t>TAS: CORE_FINANCIAL_GL_ITEM Table Structure mismatch betwee TAS CORE and HIVE</t>
  </si>
  <si>
    <t>TAS1.01.05</t>
  </si>
  <si>
    <t>There is column called "LEDGER_ID" in S01_TAS_COR.CORE_FINANCIAL_GL_ITEM but not in HIVE table S01_tas.eda_tas_core_financial_gl_item_d01. 
Structure should be same.</t>
  </si>
  <si>
    <t>PEDAGML-410</t>
  </si>
  <si>
    <t>BWC_SG, BWC_Regional - CFACCT field description discrepancy</t>
  </si>
  <si>
    <t>Not a Bug</t>
  </si>
  <si>
    <t>LEE Choon Lan</t>
  </si>
  <si>
    <t>UAT1</t>
  </si>
  <si>
    <t>Not A Defect</t>
  </si>
  <si>
    <t xml:space="preserve">_thumb_250879.png _thumb_251292.png </t>
  </si>
  <si>
    <t>"'" to be removed, not replaced by space.</t>
  </si>
  <si>
    <t>Not a defect. Please refer to the latest specs in the share point.</t>
  </si>
  <si>
    <t>PEDAGML-409</t>
  </si>
  <si>
    <t>TAS: To provide export and ingestion program for CORE_BALANCE_SHEET_TC and CORE_UOB_SB_BOOK_CTRL_RNG tables</t>
  </si>
  <si>
    <t>TAS1.01.05.05</t>
  </si>
  <si>
    <t>As discussed on TAS meeting (13-Mar-17), please provide CORE_BALANCE_SHEET_TC and CORE_UOB_SB_BOOK_CTRL_RNG export and ingestion processes to copy data from TAS CORE to HIVE.</t>
  </si>
  <si>
    <t>PEDAGML-408</t>
  </si>
  <si>
    <t>DL_Operational Report is picking up some duplicate and worng data</t>
  </si>
  <si>
    <t>Code Issue</t>
  </si>
  <si>
    <t xml:space="preserve">Raising this defect on behalf of Gopal 
-------------------------------------- 
Report extracted from UAT. Looks like Biz operational report has some duplicate and wrong data on 
DATE_TIME_FILE_ARRIVAL - 08/03/2017 22:52 
DATE_TIME_HIVE_TABLE_LOAD - always show me 08/03/2017 18:48 
</t>
  </si>
  <si>
    <t>Coding_Issue</t>
  </si>
  <si>
    <t>PEDAGML-407</t>
  </si>
  <si>
    <t>DL_BWC-MASTER : ingestion failed for the files like CFAGRP ,CFZEMH ,CFMAST ,CFADDR ,CFCONN &amp; for the countries like GB/HK/MY</t>
  </si>
  <si>
    <t>EDF1.01.14</t>
  </si>
  <si>
    <t xml:space="preserve">following files failed in ingestion : 
3) BWC-MASTER – CFAGRP –for GB/HK/MY -- Number of fields in file is less than expected , delimiter:\u0007, Number of fields:1 , Expected Number of Fields:133 
4) BWC-MASTER – CFZEMH –for GB/HK/MY -- Number of fields in file is less than expected , delimiter:\u0007, Number of fields:1 , Expected Number of Fields:21 
5) BWC-MASTER – CFMAST –for GB/HK/MY -- Number of fields in file is less than expected , delimiter:\u0007, Number of fields:1 , Expected Number of Fields:120 
6) BWC-MASTER – CFADDR –for GB/HK/MY -- Number of fields in file is less than expected , delimiter:\u0007, Number of fields:1 , Expected Number of Fields:33 
7) BWC-MASTER – CFCONN –for GB/HK/MY -- Number of fields in file is less than expected , delimiter:\u0007, Number of fields:1 , Expected Number of Fields:15 
</t>
  </si>
  <si>
    <t>Coding Issue</t>
  </si>
  <si>
    <t>PEDAGML-406</t>
  </si>
  <si>
    <t>DL_BWC-PARAM - CISICC -for TH ::Ingestion issue in UAT</t>
  </si>
  <si>
    <t>PEDAGML-285</t>
  </si>
  <si>
    <t xml:space="preserve">Ingestion getting failed for all the countries except SG for 
BWC-PARAM - CISICC &amp; below error message coming up : 
Number of Records in Control Line(1) is less than expected(3) 
Error log : 
java.lang.NullPointerException 
at com.uob.edag.utils.FileUtils.parseDelimitedLine(FileUtils.java:215) 
at com.uob.edag.processor.FileIngestionProcessor.parseControlInfo(FileIngestionProcessor.java:1113) 
at com.uob.edag.processor.FileIngestionProcessor.parseControlInformation(FileIngestionProcessor.java:909) 
at com.uob.edag.processor.FileIngestionProcessor.runFileIngestion(FileIngestionProcessor.java:1229) 
at com.uob.edag.processor.BaseProcessor.runIngestion(BaseProcessor.java:535) 
at com.uob.edag.processor.BaseProcessor.main(BaseProcessor.java:109) 
Exception in thread "main" java.lang.NullPointerException 
at com.uob.edag.utils.FileUtils.parseDelimitedLine(FileUtils.java:215) 
at com.uob.edag.processor.FileIngestionProcessor.parseControlInfo(FileIngestionProcessor.java:1113) 
at com.uob.edag.processor.FileIngestionProcessor.parseControlInformation(FileIngestionProcessor.java:909) 
at com.uob.edag.processor.FileIngestionProcessor.runFileIngestion(FileIngestionProcessor.java:1229) 
at com.uob.edag.processor.BaseProcessor.runIngestion(BaseProcessor.java:535) 
at com.uob.edag.processor.BaseProcessor.main(BaseProcessor.java:109) 
</t>
  </si>
  <si>
    <t>Preprocessing Issue</t>
  </si>
  <si>
    <t>PEDAGML-402</t>
  </si>
  <si>
    <t>TAS: Data Export with space padding</t>
  </si>
  <si>
    <t>Clarification</t>
  </si>
  <si>
    <t>When export TAS CORE data, noticed there are space padded in some character columns, like country_code in CORE_COUNTRY and business_area_id in CORE_BUSINESS_AREA data files. (Files attached fore reference) 
Is data cleansing process of removing spaces done before loading to TAS? 
Or is it data export issue? Please clarify</t>
  </si>
  <si>
    <t>PEDAGML-401</t>
  </si>
  <si>
    <t>TAS: Table Naming Standard in HIVE is not following with other modules</t>
  </si>
  <si>
    <t>Req_spec</t>
  </si>
  <si>
    <t>There is new table naming standard defined in other source system files which TAS HIVE tables are using previous naming standard. 
Per UOB team, TAS needs to follow the same naming standard. 
Please check and confirm.</t>
  </si>
  <si>
    <t>Req_Spec</t>
  </si>
  <si>
    <t>PEDAGML-400</t>
  </si>
  <si>
    <t>TAS: edag_business_date data is not updated in TAS process flow</t>
  </si>
  <si>
    <t>We ran tdr_batch.sh and execute_tas.sh to load data from SAP-RDB-CORE but SAP completion date is not updated in edag_business_date table. Manual update is required to run tech recon and export/import processes. 
Please advise how edag_business_date table data will be updated.</t>
  </si>
  <si>
    <t>PEDAGML-399</t>
  </si>
  <si>
    <t>BWC Parameter(SG) - Special Language found on CFZPIT table</t>
  </si>
  <si>
    <t>Source</t>
  </si>
  <si>
    <t>DL, Source</t>
  </si>
  <si>
    <t xml:space="preserve">_thumb_250328.png _thumb_250859.png _thumb_250860.png </t>
  </si>
  <si>
    <t>Blank found on mandatory field. 
Table - CFIDDF_SG, fieldname - CFIDDT 
Table - CFIDDF_RG, fieldname - CFIDDT 
Code to reproduce 
select * from eda_bwc_CFIDDF_sg_d01 where length(CFIDDT) = 0;</t>
  </si>
  <si>
    <t>Updated the spec. Removed this column as mandatory.</t>
  </si>
  <si>
    <t>PEDAGML-398</t>
  </si>
  <si>
    <t>BWC Parameter (SG,HK,TW) - Blank found of mandatory field - CFIDDT on CFIDDF_SG &amp; CFIDDF_RG table</t>
  </si>
  <si>
    <t xml:space="preserve">_thumb_250319.png </t>
  </si>
  <si>
    <t>Ingestion Error on CFZPRM table, see attachment</t>
  </si>
  <si>
    <t>Malaysia</t>
  </si>
  <si>
    <t>PEDAGML-396</t>
  </si>
  <si>
    <t>BWC_Parameter (MY) - Ingestion Error on CFZPRM table</t>
  </si>
  <si>
    <t>UAT-TAS-TechRecon</t>
  </si>
  <si>
    <t>Due to TAS folder location @UAT, Aldon could not deploy tech recon scripts to UAT. 
TAS application is in installer folder and was setup in installation stage, not with Aldon. Release note mentions to copy Tech Recon scripts/codes to same TAS installation folder which Aldon doesn't have access to deploy. Had discussed with Sang and Laurnet in details. 
Please assist.</t>
  </si>
  <si>
    <t>Permission_Access</t>
  </si>
  <si>
    <t>PEDAGML-393</t>
  </si>
  <si>
    <t>TAS: Tech Recon deployment Issue</t>
  </si>
  <si>
    <t>Permission Issue</t>
  </si>
  <si>
    <t xml:space="preserve">_thumb_250022.png </t>
  </si>
  <si>
    <t>Count discrepancy between HIVE and Source. 
Please ignore the SFTDTA count, BTS have confirm it is a typo, source is having 9 file. 
see attachment.</t>
  </si>
  <si>
    <t>Documentation</t>
  </si>
  <si>
    <t>Counts entered wrong</t>
  </si>
  <si>
    <t>PEDAGML-392</t>
  </si>
  <si>
    <t>GRP - Count Discrepancy</t>
  </si>
  <si>
    <t>SIT4, EDF1.01.13</t>
  </si>
  <si>
    <t>Tablename renamed to BWC for all SSS tables</t>
  </si>
  <si>
    <t xml:space="preserve">Tablename's in the hive for all the SSS tables in SIT are changed to BWC . 
Expected TableName in hive : 
1) eda_sss_cfpar5_d 
2) eda_sss_cfptl_d 
Tablename present in hive : 
1) eda_bwc_cfpar5_d 
2) eda_bwc_cfptl_d 
</t>
  </si>
  <si>
    <t>tables are modified for SSS and GRP systems</t>
  </si>
  <si>
    <t>PEDAGML-391</t>
  </si>
  <si>
    <t>DL_SSS: Tablename for all SSS tables changed to BWC</t>
  </si>
  <si>
    <t>TAS-SIT-Master Tech Recon</t>
  </si>
  <si>
    <t>After initial run @SIT, master tech recon is not matched for TCURR and RFBLG table. (TVARVC is also not matched but this is exceptional case and not issue). This is TDR issue which is not copying all records from SAP to RDB. 
Detail in attached screenshot.</t>
  </si>
  <si>
    <t>PEDAGML-390</t>
  </si>
  <si>
    <t>TAS: Master Tech Recon not matched for TCURR and RFBLG table</t>
  </si>
  <si>
    <t>Closed</t>
  </si>
  <si>
    <t xml:space="preserve">_thumb_249807.png </t>
  </si>
  <si>
    <t>Inconsistent field name in CFR_EDAC_ADJ due to backslash 
Hue: dr_cr_indicator 
Interface File Specs: Dr/Cr_indicator</t>
  </si>
  <si>
    <t xml:space="preserve">not a defect 
</t>
  </si>
  <si>
    <t>PEDAGML-389</t>
  </si>
  <si>
    <t>CFR - Special Character (underscore_) in CFR_EDAC_ADJ</t>
  </si>
  <si>
    <t xml:space="preserve">_thumb_249793.png </t>
  </si>
  <si>
    <t>Inconsistent field name in CFR_EDAC_COA_MAP due to addition of underscore 
Data Lake: hfm_acct_no 
Interface File Spec: HFM_ACCT_NO_</t>
  </si>
  <si>
    <t>clarifcation</t>
  </si>
  <si>
    <t>Not a defeat</t>
  </si>
  <si>
    <t>PEDAGML-388</t>
  </si>
  <si>
    <t>CFR - Special Character (underscore_) in CFR_EDAC_COA_MAP</t>
  </si>
  <si>
    <t>GCF table missing in the system - "eda_gcf_SFSPOSTX_d"</t>
  </si>
  <si>
    <t>Re-Deployed as part of V01.01.14.</t>
  </si>
  <si>
    <t>PEDAGML-387</t>
  </si>
  <si>
    <t>GCF - Missing table "eda_gcf_SFSPOSTX_d"</t>
  </si>
  <si>
    <t xml:space="preserve">_thumb_249764.png _thumb_249765.png _thumb_249766.png _thumb_249767.png </t>
  </si>
  <si>
    <t>Tables ending with 01 not removed from systems in HUE.</t>
  </si>
  <si>
    <t>PEDAGML-386</t>
  </si>
  <si>
    <t>All system - Tables ending with 01 not removed from HUE</t>
  </si>
  <si>
    <t xml:space="preserve">_thumb_249761.png _thumb_249762.png </t>
  </si>
  <si>
    <t>Inconsistent file name labeling 
Given in Hue: eda_cfr_cfr_edac_maturity_grp_m 
Correct: eda_cfr_CFR_EDAC_MATURITY_GRP_MAP_m</t>
  </si>
  <si>
    <t>The table is not ready for testing yet.</t>
  </si>
  <si>
    <t>PEDAGML-385</t>
  </si>
  <si>
    <t>CFR - Incorrect file name: eda_cfr_cfr_edac_maturity_grp_m</t>
  </si>
  <si>
    <t>GRP - Batch 1 UAT 2</t>
  </si>
  <si>
    <t>Some group number of these tables (GCRACCM, GCROPT, GCRACC) does not exist in the Groups Master File (GCACCM) 
code to reproduce: 
Select * from eda_grp_GCRACC_d01 As a where a.GMACNO Not In ( Select GMACNO From eda_grp_GCACCM_d01); 
Select * from eda_grp_GCRACCM_d01 As a where a.GRMRCF Not In ( Select GMACNO From eda_grp_GCACCM_d01); 
Select * from eda_grp_GCROPT_d01 As a where a.GMACNO Not In ( Select GMACNO From eda_grp_GCACCM_d01); 
Select * from eda_grp_GCROPT_d01 As a where concat(cast(a.GOSCIF as string), cast(a.GMACNO as string)) Not In ( Select concat(cast(GRMSCF as string), cast(GRMRCF as string)) From eda_grp_GCRACCM_d01);</t>
  </si>
  <si>
    <t>Test_Data</t>
  </si>
  <si>
    <t>UAT Test Data</t>
  </si>
  <si>
    <t>PEDAGML-384</t>
  </si>
  <si>
    <t>GRP - Group number of sub-table doesn't exist in Groups Master File</t>
  </si>
  <si>
    <t xml:space="preserve">_thumb_249756.png _thumb_249757.png </t>
  </si>
  <si>
    <t>Inconsistent file name labeling 
Given in Hue: eda_cfr_cfr_edac_ind_class_m 
Correct: eda_cfr_CFR_EDAC_IND_CLASS_MAP_m</t>
  </si>
  <si>
    <t>registration</t>
  </si>
  <si>
    <t>The table is not ready for testing.</t>
  </si>
  <si>
    <t>PEDAGML-383</t>
  </si>
  <si>
    <t>CFR - Incorrect file name: eda_cfr_cfr_edac_ind_class_m</t>
  </si>
  <si>
    <t>EDF1.01.12</t>
  </si>
  <si>
    <t>Record rejections for the BWC parameter file CFZPRG in HK and GB.</t>
  </si>
  <si>
    <t>Loaded in UAT and records are being loaded without any rejection</t>
  </si>
  <si>
    <t>UK, Hong Kong</t>
  </si>
  <si>
    <t>PEDAGML-382</t>
  </si>
  <si>
    <t>DL_UAT2_BWC_Param CFZPRG record rejection</t>
  </si>
  <si>
    <t>UnniKrishnan V NAIR</t>
  </si>
  <si>
    <t xml:space="preserve">_thumb_249640.png </t>
  </si>
  <si>
    <t>Language table in TAS Core but not in Semantic view. Language table required in Semantic view.</t>
  </si>
  <si>
    <t>PEDAGML-381</t>
  </si>
  <si>
    <t>TAS - Language table in TAS Core but not in Semantic view</t>
  </si>
  <si>
    <t>Reopened</t>
  </si>
  <si>
    <t>TAS1.01.05.04</t>
  </si>
  <si>
    <t>TAS-SIT-Export</t>
  </si>
  <si>
    <t>Please provide TAS Export Process for below features/scenarios: 
1. Parallel export run 
2. Initial data export (not by business date)</t>
  </si>
  <si>
    <t>TAS v1.1.5.4 deployed</t>
  </si>
  <si>
    <t>PEDAGML-380</t>
  </si>
  <si>
    <t>TAS: Export Processing Missing features</t>
  </si>
  <si>
    <t>SIT4, EDF1.01.12</t>
  </si>
  <si>
    <t>Tablename is not altered</t>
  </si>
  <si>
    <t>Tablename in hive for the table EDA_GCF_SFSPOSTX_D01 is not renamed and still exists with _D01 
Expected table name is EDA_GCF_SFSPOSTX_D</t>
  </si>
  <si>
    <t>Table was not created.</t>
  </si>
  <si>
    <t>PEDAGML-379</t>
  </si>
  <si>
    <t>DL_GCF: Tablename is not renamed</t>
  </si>
  <si>
    <t>TAS-SIT-Ingestion</t>
  </si>
  <si>
    <t>NULL values from TAS CORE data are loaded to HIVE as empty string (''). 
Test Case 1 returns 5 records; Test Case 2 returns 0 record and Test Case 3 returns 5 records. 
Test Case 1(TD): select * from S01_TAS_COR.CORE_BAL_SHEET_REC_TYPE 
where dwh_deletion_flag is null 
Test Case 2(HIVE): select * from S01_tas.eda_tas_core_bal_sheet_rec_type_d01 
where dwh_deletion_flag is null 
Test Case 3(HIVE): select * from S01_tas.eda_tas_core_bal_sheet_rec_type_d01 
where dwh_deletion_flag = '' 
Please clarify.</t>
  </si>
  <si>
    <t>PEDAGML-378</t>
  </si>
  <si>
    <t>TAS: Data Ingestion from NULL to empty string</t>
  </si>
  <si>
    <t>Tablename's in the hive for the below two tables are not as per the specification document 
TableName in hive : 
1) eda_cfr_cfr_edac_ind_class_m 
2) eda_cfr_cfr_edac_maturity_grp_m 
Expected HIve table Name: 
eda_cfr_cfr_edac_ind_class_map_m 
eda_cfr_cfr_edac_maturity_grp_Map_m 
Tablename in spec : 
1)cfr_edac_ind_class_map 
2)cfr_edac_maturity_grp_map</t>
  </si>
  <si>
    <t>Table was not properly created before.</t>
  </si>
  <si>
    <t>PEDAGML-377</t>
  </si>
  <si>
    <t>DL_CFR: Tablename Mismatch</t>
  </si>
  <si>
    <t>TAS1.01.04</t>
  </si>
  <si>
    <t>SIT-TAS-Export</t>
  </si>
  <si>
    <t xml:space="preserve">While running TAS export for site (TW, HK, GB, SG, TH, CN) data tables CORE_FINANCIAL_POSTING, CORE_FINANCIAL_GL_ITEM and CORE_BALANCE_SHEET, processes failed except CORE_FINANCIAL_POSTING for CN, CORE_FINANCIAL_GL_ITEM for SG and CORE_BALANCE_SHEET for SG. 
Process Error Text in attached sheet. 
Please assist. 
</t>
  </si>
  <si>
    <t>Issue in registration. Fixed in 1.01.05.01 release.</t>
  </si>
  <si>
    <t>PEDAGML-376</t>
  </si>
  <si>
    <t>TAS: Export processes failed for site specific data tables</t>
  </si>
  <si>
    <t>TAS-SIT Ingestion</t>
  </si>
  <si>
    <t>While processing TAS ingestion process FI_TAS_CORE_GL_ACCOUNT_L_D01, it failed. Process Error Text enclosed. 
"### Error updating database. Cause: java.sql.SQLException: Could not open client transport with JDBC Uri: jdbc:hive2://apledatsg98.sg.uobnet.com:10000/default;principal=hive/_HOST@TST.UOBNET.COM: java.net.ConnectException: Connection timed out" 
"### Cause: java.sql.SQLException: Could not open client transport with JDBC Uri: jdbc:hive2://apledatsg98.sg.uobnet.com:10000/default;principal=hive/_HOST@TST.UOBNET.COM: java.net.ConnectException: Connection timed out"</t>
  </si>
  <si>
    <t>Ingestion error</t>
  </si>
  <si>
    <t>PEDAGML-375</t>
  </si>
  <si>
    <t>TAS: CORE_GL_ACCOUNT_L file ingestion failed</t>
  </si>
  <si>
    <t xml:space="preserve">_thumb_248909.png _thumb_250701.png </t>
  </si>
  <si>
    <t>Count mismatch between source and hive on jhparc table 
Source - 48 count for MY 
HIVE - 0 count for MY 
see attachment</t>
  </si>
  <si>
    <t>Counts are mentioned wrong in the excel. Updated the counts</t>
  </si>
  <si>
    <t>PEDAGML-374</t>
  </si>
  <si>
    <t>SSS(MY) - count mismatch between source and hive on jhparc table</t>
  </si>
  <si>
    <t xml:space="preserve">_thumb_248810.png </t>
  </si>
  <si>
    <t>Unable to locate U01_TAS_COR_V.CORE_BALACE_SHEET_TC to do reconciliation with U01_TAS_SEM.VW_CFA_BALANCE_SHEET_FULL in Teradata Studio.</t>
  </si>
  <si>
    <t>TAS_Data_Mismatch</t>
  </si>
  <si>
    <t>New view crated to installation pack</t>
  </si>
  <si>
    <t>PEDAGML-373</t>
  </si>
  <si>
    <t>TAS - CORE_BALANCE_SHEET_TC not available in TAS CORE view folder</t>
  </si>
  <si>
    <t>TAS_Data_mismatch</t>
  </si>
  <si>
    <t xml:space="preserve">_thumb_248676.png </t>
  </si>
  <si>
    <t>Field description discrepancy on DDACPAR - table, acttrq - fieldname 
See attachedment</t>
  </si>
  <si>
    <t>FS_Update</t>
  </si>
  <si>
    <t>Functional spec update</t>
  </si>
  <si>
    <t>PEDAGML-372</t>
  </si>
  <si>
    <t>SSS - field description discrepancy on DDACPAR - table</t>
  </si>
  <si>
    <t>EDF1.01.11</t>
  </si>
  <si>
    <t>PEDAGML-288</t>
  </si>
  <si>
    <t xml:space="preserve">NULLS's are being populated in the mentioned table for 'TH' region. 
Source file has junk data . 
Tablename : s01_bwc.eda_bwc_CFZpsa_rg_d01 
Please find more details in the attachment 
</t>
  </si>
  <si>
    <t>It should be go as a Bell delimted char. So closing this defect &amp; keeping defect # 288 as OPEN state.</t>
  </si>
  <si>
    <t>PEDAGML-371</t>
  </si>
  <si>
    <t>DL_BWC_CFZPSA:NULL's IN TARGET</t>
  </si>
  <si>
    <t xml:space="preserve">_thumb_248653.png </t>
  </si>
  <si>
    <t>Branch Name truncated 
Table - FEDRAWE, fieldname - drdrshotnm</t>
  </si>
  <si>
    <t>Not a defect</t>
  </si>
  <si>
    <t>PEDAGML-370</t>
  </si>
  <si>
    <t>SSS(SG) - Branch Name truncated on FEDRAWE table</t>
  </si>
  <si>
    <t xml:space="preserve">_thumb_248753.png _thumb_248630.png </t>
  </si>
  <si>
    <t>Branch Name truncated, see attachment. 
Table - FEACBRN, fieldname - ABDESC 
code to reproduce 
- SELECT * FROM eda_sss_FEACBRN_d01</t>
  </si>
  <si>
    <t>Not a defect.</t>
  </si>
  <si>
    <t>PEDAGML-369</t>
  </si>
  <si>
    <t>SSS(TH) - Branch Name truncated on FEACBRN table</t>
  </si>
  <si>
    <t>CBS file doesn't have separate SRC_SYS_CD in edag_process_master, it is under BWC. 
Impact: CBS file will run only when BWC SG files and CBS file has same biz_date otherwise it will fail with biz_date mismatch. 
PROC_ID PROC_NM PROC_TYPE_CD PROC_GRP_ID PROC_DESC PROC_FREQ_CD SRC_SYS_CD 
FI_BWC_CJMAST_D01 FI_BWC_CJMAST_D01 21 1 CBS Master File D BWC 
Please advice.</t>
  </si>
  <si>
    <t>PEDAGML-368</t>
  </si>
  <si>
    <t>DL:B1_CBS_File doesn't have separate SRC_SYS_CD in edag_process_master.</t>
  </si>
  <si>
    <t>UAT2, EDF1.01.15</t>
  </si>
  <si>
    <t xml:space="preserve">_thumb_248610.png </t>
  </si>
  <si>
    <t xml:space="preserve">Data from Cycle 1 should be remain in the Cycle 2 system. 
</t>
  </si>
  <si>
    <t>Processing_error</t>
  </si>
  <si>
    <t>PEDAGML-367</t>
  </si>
  <si>
    <t>All Systems - Cycle 1 data not in Cycle 2</t>
  </si>
  <si>
    <t>Processing Failure</t>
  </si>
  <si>
    <t>The file FEDRAWE for SG faced rejections during UAT-2 run. 
The columns ‘DRAMAKERDT’ and ‘DRACHKERDT’ are not matching the date format as per spec.</t>
  </si>
  <si>
    <t>Interface spec and hive table column date formats are matching .Hence can be closed.</t>
  </si>
  <si>
    <t>PEDAGML-366</t>
  </si>
  <si>
    <t>DL_UAT2_SSS- FEDRAWE file getting rejections due to improper date formats</t>
  </si>
  <si>
    <t>SIT and UAT</t>
  </si>
  <si>
    <t xml:space="preserve">The source system is GLN. Please change application ID to GLN. 
Below are some of the places to change: 
1. Landing area in Edge noted 
/data/cdtransfer/edaiau/glncc 
2. Business date table 
3. .... 
</t>
  </si>
  <si>
    <t>PEDAGML-365</t>
  </si>
  <si>
    <t>TAS Application code is GLN</t>
  </si>
  <si>
    <t>we have successfully executed execute_tas.sh, still data is not loaded into S01_TAS_COR.CORE_BALANCE_SHEET_TC.</t>
  </si>
  <si>
    <t>Env_Setup</t>
  </si>
  <si>
    <t>synchronized the systems and replicated changes</t>
  </si>
  <si>
    <t>PEDAGML-364</t>
  </si>
  <si>
    <t>TAS: No Data in CORE_BALANCE_SHEET_TC</t>
  </si>
  <si>
    <t>DL, EDF</t>
  </si>
  <si>
    <t xml:space="preserve">_thumb_248360.png _thumb_248361.png _thumb_248362.png </t>
  </si>
  <si>
    <t>Batch 1 UAT Cycle 2</t>
  </si>
  <si>
    <t xml:space="preserve">Discrepancy of Converted Field Length on GSRECLMM 
HIVE 
Table - GSRECLM, fieldname - glesky [decimal(28,0)], gleoky [decimal(28,0)] 
Table - GSRECLMM, fieldname - glesky [decimal(28,0)], gleoky [decimal(28,0)] 
FileSpec 
Table - GSRECLM, fieldname - GLESKY [Field_Lenght 32], gleoky [Field_Lenght 32] 
Table - GSRECLMM, fieldname - GLESKY [Field_Lenght 32], gleoky [Field_Lenght 32] 
</t>
  </si>
  <si>
    <t>Limitation</t>
  </si>
  <si>
    <t>Source team confirmed the data won't exceed 28 bytes</t>
  </si>
  <si>
    <t>PEDAGML-363</t>
  </si>
  <si>
    <t>GCF - Discrepancy of Converted Field Length on GSRECLMM</t>
  </si>
  <si>
    <t xml:space="preserve">_thumb_248228.png </t>
  </si>
  <si>
    <t xml:space="preserve">
Null value record found on GSRECLMM table. 
Code to Reproduce 
SELECT * FROM eda_gcf_GSRECLMM_d01 AS a WHERE (GLMCOU is null or GLEOKY is null or GLMSCF is null or GLESKY is null); 
</t>
  </si>
  <si>
    <t>PEDAGML-362</t>
  </si>
  <si>
    <t>GCF - NULL value on GSRECLMM table (Multi charset file) (Cycle 2) Reference Jira 183</t>
  </si>
  <si>
    <t>Multi Char set</t>
  </si>
  <si>
    <t>Noticed that UAT control-m run for execute_tas.sh is not successfully. Please log the error details and resolution if it is already fixed.</t>
  </si>
  <si>
    <t>Deployment_failure</t>
  </si>
  <si>
    <t>PEDAGML-361</t>
  </si>
  <si>
    <t>TAS: Informatica loading data from RDB to TAS CORE failed</t>
  </si>
  <si>
    <t>Deployment Failure</t>
  </si>
  <si>
    <t>We ran for transaction tech recon for 2017-02-02 and found some of posting dates not matched for FAGLFLEXA and not data found for BKPF. 
Attached is FAGLFLEXA recon report.</t>
  </si>
  <si>
    <t>TAS_Tech_Recon</t>
  </si>
  <si>
    <t>Fix release on 1.01.04.01</t>
  </si>
  <si>
    <t>PEDAGML-360</t>
  </si>
  <si>
    <t>TAS: Transaction Technical Recon not match</t>
  </si>
  <si>
    <t>Tech_Recon</t>
  </si>
  <si>
    <t>TAS 3-Mar?</t>
  </si>
  <si>
    <t>Transaction tech recon not working</t>
  </si>
  <si>
    <t>UAT2, EDF1.01.11</t>
  </si>
  <si>
    <t xml:space="preserve">_thumb_247910.png _thumb_249028.png </t>
  </si>
  <si>
    <t>Batch 1 cycle 2</t>
  </si>
  <si>
    <t>There are double underscore in the found in the below fieldname 
Filespec 
Table - celbu, fieldname - business_unit_short_name 
Table - celbu, fieldname - business_unit_long_name 
In Hive 
Table - celbu, fieldname - business_unit__short_name 
Table - celbu, fieldname - business_unit__long_name</t>
  </si>
  <si>
    <t>extra "_" in column Names</t>
  </si>
  <si>
    <t>PEDAGML-359</t>
  </si>
  <si>
    <t>CEL - fieldname descripancy on celbu table</t>
  </si>
  <si>
    <t>Pending delivery</t>
  </si>
  <si>
    <t>Need registraction</t>
  </si>
  <si>
    <t>We are not able to tie the balances between SAP and TAS core for GL 1076700030 (1011). Please help. Thanks.</t>
  </si>
  <si>
    <t>Clarifications only</t>
  </si>
  <si>
    <t>PEDAGML-358</t>
  </si>
  <si>
    <t>TAS - Cannot tie the balances for 1011</t>
  </si>
  <si>
    <t>EDF1.01.10</t>
  </si>
  <si>
    <t>PEDAGML-228</t>
  </si>
  <si>
    <t>Source Data issue.</t>
  </si>
  <si>
    <t>CBS file CJMAST for the columns CJSMDT8 in the source file doesn't have data as per Spec, so many records are going to ERR table. 
Already discussed with Sritam and he is working on this.</t>
  </si>
  <si>
    <t>Incorrect_Data, Registration</t>
  </si>
  <si>
    <t>Specs updated.</t>
  </si>
  <si>
    <t>PEDAGML-357</t>
  </si>
  <si>
    <t>DL_B1:CBS file CJMAST for the columns CJSMDT8 in the source file doesn't have data as per Spec.</t>
  </si>
  <si>
    <t>We are not able to tie the balance for 1076700030. It seems to have double entries created in TAS. 
Please see attached email.</t>
  </si>
  <si>
    <t>PEDAGML-356</t>
  </si>
  <si>
    <t>TAS - 28th Feb has reconciliation issue</t>
  </si>
  <si>
    <t>Unable to start testing ingested global systems (EOM, CEL, CFR) as final interface files have not been uploaded.</t>
  </si>
  <si>
    <t>PEDAGML-355</t>
  </si>
  <si>
    <t>EPM, CEL, CFR final interface file not ready</t>
  </si>
  <si>
    <t>Pending user to close</t>
  </si>
  <si>
    <t>EDF1.02.00</t>
  </si>
  <si>
    <t>For three EPM tables, we faced rejections for the UAT-2 run. Attached are the sample records. 
EPMCEBGT - 39 records 
EPMHCBGT - 117 records 
EPMGLBGT - 1824 records 
Initial observation suggests that the field CORP and BR despite defined as Numeric has string values.</t>
  </si>
  <si>
    <t>View</t>
  </si>
  <si>
    <t>The below files were generated when there was other UAT testing being done in EPM. 
Please ignore such data. The field CORP and BR will have Numeric data only. 
Reloaded the data.</t>
  </si>
  <si>
    <t>PEDAGML-354</t>
  </si>
  <si>
    <t>DL_UAT2_EPM record rejections for 3 EPM tables</t>
  </si>
  <si>
    <t>NA</t>
  </si>
  <si>
    <t>For CFR &amp; EPM we are encountering below issue : 
Error attempting to get column 'ISHASHSUMFIELD' from result set. Cause: java.sql.SQLException: Fail to convert to internal representation 
this might be for either of any below reasons : 
1) Improper deployment 
2) Incorrect handover from SIT to UAT 
3) Insufficient documentation</t>
  </si>
  <si>
    <t>Ingestion is working fine now.</t>
  </si>
  <si>
    <t>PEDAGML-353</t>
  </si>
  <si>
    <t>DL_UAT ingestion failed for Deployment issue</t>
  </si>
  <si>
    <t>Deployment</t>
  </si>
  <si>
    <t>Pending TD &amp; Tech team investigation</t>
  </si>
  <si>
    <t>Tracking Defect, EDF1.01.12</t>
  </si>
  <si>
    <t>UAT</t>
  </si>
  <si>
    <t>During Deployment through control-M, passing 3 params to execute 
hivedb_exec_all.sh or oracle metadata script doesnt work. 
script is transposing `pwd` and expects "cd" to that directory before execution. 
Through Control M it fails. 
In a different defect, Shuan confirmed that they are doing for checking multiple environments. we need to re-visit that design. 
Please fix asap, so that control-M can trigger sql deployments.</t>
  </si>
  <si>
    <t>deployment</t>
  </si>
  <si>
    <t>TD setenv.sh file was doing transpose on pwd command, which is rectified and deployed into SIT and UAT.</t>
  </si>
  <si>
    <t>PEDAGML-352</t>
  </si>
  <si>
    <t>UAT Deployment Issue: Control M cannot trigger the Hive SQL/ Oracle SQL deployment script</t>
  </si>
  <si>
    <t>Deployment team using the temporary ID to execute the Registration script and Hive creation script - which they are not supposed to use</t>
  </si>
  <si>
    <t>CTRL+M</t>
  </si>
  <si>
    <t>PEDAGML-351</t>
  </si>
  <si>
    <t>DL_ Deployment team using the temporary ID to execute the Registration script and Hive creation script.</t>
  </si>
  <si>
    <t>Env_Control_Issue</t>
  </si>
  <si>
    <t>Noticed that SIT environment is open to many parties with full access for changes. As a result, environment is not stable with changes without track and cases which were successfully are failing later point of time. 
Sample case 1: Master tech recon was tested and passed on 27-Feb but failing on 28-Feb. 
Sample case 2: TAS Informatica defect is found fix in SIT directly without deployment procedure.</t>
  </si>
  <si>
    <t>PEDAGML-350</t>
  </si>
  <si>
    <t>TAS: SIT Environment Control Issue</t>
  </si>
  <si>
    <t>Data validation</t>
  </si>
  <si>
    <t>for GRP CN,GB and SG : NULL is populating for the time related columns like sfcrtj,sfcmtm,sfcptm. 
Please find the sample records in the attachment.</t>
  </si>
  <si>
    <t>Registration has not happened as per the business rule for time coulmns.</t>
  </si>
  <si>
    <t>PEDAGML-349</t>
  </si>
  <si>
    <t>DL_B1: GRP for CN,GB and SG are populating NULL for date and time columns</t>
  </si>
  <si>
    <t>Rule_Issue</t>
  </si>
  <si>
    <t>Pending TD investigation</t>
  </si>
  <si>
    <t>SIT - Not OK. TD to investigate</t>
  </si>
  <si>
    <t>SIT3, EDF1.01.10</t>
  </si>
  <si>
    <t>Data validation failed for the below files. 
CFADDR 
CFMAST 
CFAGRP 
CFCONN 
CFZEMH 
Data is nulled out for the rows where chinese cahracters are available.</t>
  </si>
  <si>
    <t>Charset issue resolved with BEL Delimited character.</t>
  </si>
  <si>
    <t>PEDAGML-348</t>
  </si>
  <si>
    <t>DL_Data validation failed for BWC Regional CN</t>
  </si>
  <si>
    <t>Char Set</t>
  </si>
  <si>
    <t>Pending TD reply (Char set)</t>
  </si>
  <si>
    <t>SIT - Not OK. Special Char + Char set.  Workaround - to add a preprocessor</t>
  </si>
  <si>
    <t>SIT4</t>
  </si>
  <si>
    <t>1. 1 interface impacted out of the 12 interfaces in scope; CFR_EDAC_PLBSBAL 
2. Update specification on the required changes 
a. Removal of Account filter criteria; extraction will be solely on Actual scenario and reporting period 
b. Added new column – View which holds value Periodic, YTD, HYTD,QTD 
Refer attachment for more info.</t>
  </si>
  <si>
    <t>Source added a new column. Need to run the re-registration and Hive table creation</t>
  </si>
  <si>
    <t>Char_Set</t>
  </si>
  <si>
    <t>PEDAGML-347</t>
  </si>
  <si>
    <t>CFR_DL_Finance application data for data lake</t>
  </si>
  <si>
    <t>UAT2 (2Mar)</t>
  </si>
  <si>
    <t>Pending TD - Registration</t>
  </si>
  <si>
    <t>SIT1</t>
  </si>
  <si>
    <t xml:space="preserve">Raising issue on behalf of Gopal 
--------------------------------- 
IDM Plus integration allowing users to raise request to create users, add groups to users, modify groups to users. 
We received the file from IDM team in SIT, TD will test by EOD and include in the build tomorrow 
</t>
  </si>
  <si>
    <t>Integration_issue</t>
  </si>
  <si>
    <t>Code Fix</t>
  </si>
  <si>
    <t>PEDAGML-346</t>
  </si>
  <si>
    <t>DL_IDM Plus Integration with Hadoop</t>
  </si>
  <si>
    <t>Intergration_issue</t>
  </si>
  <si>
    <t>Pending TD reply (IDM Plus)</t>
  </si>
  <si>
    <t>Not part of UAT 2</t>
  </si>
  <si>
    <t>Pending TD</t>
  </si>
  <si>
    <t>EDF1.01.09</t>
  </si>
  <si>
    <t>Ingestion</t>
  </si>
  <si>
    <t>CEL,CFR ingestion went well 
CFR,GCF,SSS failed, so I am not running rest of files. 
error: 
### Error updating database. Cause: java.sql.SQLException: [Simba][ImpalaJDBCDriver](500051) ERROR processing query/statement. Error Code: 0, SQL state: TStatus(statusCode:ERROR_STATUS, sqlState:HY000, errorMessage:IllegalArgumentException: Value cannot be empty 
), Query: INVALIDATE METADATA s01_SSS.eda_SSS_LNPARR_D01. 
### The error may involve com.uob.edag.mappers.ImpalaMapper.runRefresh-Inline 
### The error occurred while setting parameters 
### SQL: INVALIDATE METADATA s01_SSS.eda_SSS_LNPARR_D01 
### Cause: java.sql.SQLException: [Simba][ImpalaJDBCDriver](500051) ERROR processing query/statement. Error Code: 0, SQL state: TStatus(statusCode:ERROR_STATUS, sqlState:HY000, errorMessage:IllegalArgumentException: Value cannot be empty 
), Query: INVALIDATE METADATA s01_SSS.eda_SSS_LNPARR_D01.</t>
  </si>
  <si>
    <t>PEDAGML-345</t>
  </si>
  <si>
    <t>DL_B1: Ingestion Failure for version 1.01.09</t>
  </si>
  <si>
    <t>SIT2, TAS1.01.04</t>
  </si>
  <si>
    <t>Job got failed when i Run the TAS ETL job to load from RDB to CDB using Control-M. 
Log: /home/ctmadm/ctm/sysout</t>
  </si>
  <si>
    <t>TAS_Informatica_Error</t>
  </si>
  <si>
    <t>PEDAGML-344</t>
  </si>
  <si>
    <t>TAS: Informatica RDB to TAS CORE Processing Failed</t>
  </si>
  <si>
    <t xml:space="preserve"> TAS01.01.05.01</t>
  </si>
  <si>
    <t>6th Mar</t>
  </si>
  <si>
    <t>Some values in GL_ACCOUNT_ID of this table are not valid GL Account no.</t>
  </si>
  <si>
    <t>Not an issue as these values exist in SAP only not visible for the user in SAP GUI</t>
  </si>
  <si>
    <t>Processing_Failure</t>
  </si>
  <si>
    <t>PEDAGML-343</t>
  </si>
  <si>
    <t>TAS - non-GL no existing in GL_ACCOUNT_ID (CORE_GL_ACCOUNT_L)</t>
  </si>
  <si>
    <t>TAS 6 Mar</t>
  </si>
  <si>
    <t>No View script. But in UAT. Need script</t>
  </si>
  <si>
    <t xml:space="preserve">_thumb_246251.png </t>
  </si>
  <si>
    <t>Kindly clarify why is the old data still remain in the system when new one is loaded. 
Our understanding is that old file in hadoop should be replace when reloaded with the new set of data.</t>
  </si>
  <si>
    <t>TAS_Process</t>
  </si>
  <si>
    <t>Data validation Check</t>
  </si>
  <si>
    <t>PEDAGML-342</t>
  </si>
  <si>
    <t>Clarification - Old data not Cleared in the System</t>
  </si>
  <si>
    <t>Can proceed UAT</t>
  </si>
  <si>
    <t>There are missing records in CORE. Please check.</t>
  </si>
  <si>
    <t>Can't reproduce the issue as data is not in SAP. Can check it in the SAP GUI as I don't have access to SAP UAT U80.</t>
  </si>
  <si>
    <t>Taiwan</t>
  </si>
  <si>
    <t>Data Ingestion Check</t>
  </si>
  <si>
    <t>PEDAGML-341</t>
  </si>
  <si>
    <t>TAS - Missing records</t>
  </si>
  <si>
    <t>In SIT. Not in UAT yet. But there is no script - Informatica &amp; Table script &amp; View script</t>
  </si>
  <si>
    <t>Dexter TEH Young Minh</t>
  </si>
  <si>
    <t xml:space="preserve">Record count mismatch for the following TAS CORE TABLE: 
CORE_CHART_OF_ACCOUNTS 
CORE_COMPANY 
CORE_CONTROLLING_AREA 
CORE_CONTROLLING_VERSION 
CORE_CONTROLLING_VERSION_L 
CORE_COST_ACTIVITY_TYPE 
CORE_COST_CENTER_CATEGORY 
CORE_COST_ELEMENT 
CORE_COST_ELEMENT_CATEGORY 
CORE_COST_ELEMENT_CATEGORY_L 
CORE_COST_ELEMENT_L 
CORE_DIVISION_L 
CORE_EMPLOYEE 
CORE_FI_LEDGER 
CORE_FINANCIAL_ACCOUNT 
CORE_GL_ACCOUNT 
CORE_GL_ACCOUNT_GROUP 
CORE_INTERNAL_ORDER 
CORE_INTERNAL_ORDER_TYPE 
CORE_POSTING_KEY 
CORE_PRODUCT_HIERARCHY 
CORE_PURCHASE_CONDITION 
CORE_PURCHASE_CONDITION_L 
CORE_SALES_CONDITION 
CORE_SALES_CONDITION_L 
CORE_SALES_DOC_ITEM_CATEGORY 
CORE_SALES_OBJECT_L 
CORE_SALES_ORGANISATION 
CORE_SAP_FISCAL_PERIODS 
CORE_SOURCE_ID 
CORE_TIME_DIMENSION 
CORE_UNIT_OF_MEASURE 
CORE_BAL_SHEET_REC_TYPE 
CORE_BAL_SHEET_REC_TYPE_L 
CORE_BALANCE_SHEET 
CORE_FINANCIAL_GL_ITEM 
CORE_FINANCIAL_POSTING 
CORE_FINANCIAL_STAT_VERSION 
</t>
  </si>
  <si>
    <t>Stated in FS that TAS Core are transformed tables which cannot be reconciled directly to SAP</t>
  </si>
  <si>
    <t>Data_Validation</t>
  </si>
  <si>
    <t>PEDAGML-340</t>
  </si>
  <si>
    <t>TAS - Record count mismatch between TAS CORE and SAP GL</t>
  </si>
  <si>
    <t>There are null value in some additional columns for in some table, kindly see the attachment and verify.</t>
  </si>
  <si>
    <t>I don't see any problem as Deletion Flag is always null and has been this in DEV, SIT and also in UAT. 
Please close the issue as this is not an issue everything works as designed. 
Was issue with worng mapping in Informatica for the CORE_BUSINESS_AREA_L this s fixed.</t>
  </si>
  <si>
    <t>PEDAGML-339</t>
  </si>
  <si>
    <t>TAS CORE - Null value found in 6 additional columns</t>
  </si>
  <si>
    <t>CORE BALANCE SHEET is not able to tie to SAP GL because of missing carry forward balance. Please confirm whether carry forward balance has been brought over to TAS CORE.</t>
  </si>
  <si>
    <t>Carry Forward balance created in Semantic Database</t>
  </si>
  <si>
    <t>PEDAGML-338</t>
  </si>
  <si>
    <t>TAS - Carry Forward Balance</t>
  </si>
  <si>
    <t>Complete data is loaded into first column and NULL into rest of teh columns. 
select * from s01_bwc.eda_bwc_cfAddr_d02 
where site_id='CN' and Proc_ts like '2017-02-22%' limit 10</t>
  </si>
  <si>
    <t>EDF_Char_set, Ingestion_failure</t>
  </si>
  <si>
    <t>working as expected</t>
  </si>
  <si>
    <t>PEDAGML-337</t>
  </si>
  <si>
    <t>DL_Data Ingestion: Data lodaing into First column and Rest of the columns are injected Null</t>
  </si>
  <si>
    <t>Missing MISSING_NAME and/or LONG_ NAME records in table CORE_GL_ACCOUNT_L.</t>
  </si>
  <si>
    <t>not a bug</t>
  </si>
  <si>
    <t>PEDAGML-336</t>
  </si>
  <si>
    <t>TAS - Missing MISSING_NAME/LONG_ NAME in CORE_GL_ACCOUNT_L</t>
  </si>
  <si>
    <t>There are missing GL_ACCOUNT_GROUP_NAME records in table CORE_GL_ACCOUNT_GROUP_L. Please check, thanks.</t>
  </si>
  <si>
    <t>Not a bug works as designed</t>
  </si>
  <si>
    <t>Registration Check</t>
  </si>
  <si>
    <t>PEDAGML-335</t>
  </si>
  <si>
    <t>TAS - Missing GL_ACCOUNT_GROUP_NAME in CORE_GL_ACCOUNT_GROUP_L</t>
  </si>
  <si>
    <t>The following 3 tables cannot be found in TAS CORE 
1. CORE_ADDRESS 
2. CORE_JOB_STATUS_OVERVIEW 
3. CORE_POSTING_PERIODS 
FS Reference - UOB_EDAG_Phase1_TAS_FunctionalSpecifications_v0.18_20170215 -TD.xlsx</t>
  </si>
  <si>
    <t>FS updated and attached.</t>
  </si>
  <si>
    <t>PEDAGML-334</t>
  </si>
  <si>
    <t>TAS: Missing TAS CORE table as compare to FS</t>
  </si>
  <si>
    <t>There are some difference in the amount and record between SAP and TAS CORE. See attached for the differences. 
This is my query. 
select * from U01_TAS_COR.CORE_BALANCE_SHEET 
where fiscal_year = 2016 
and company_id = 1531 
and balance_sheet_period =1 
and gl_account_id = '1089102850' 
;</t>
  </si>
  <si>
    <t>Data_Validation_Error</t>
  </si>
  <si>
    <t>In Excel file, please choose RLDNR as 'U0' and then amount will be matched (93761446.93) 
Logic is made for Company and Transaction Currency</t>
  </si>
  <si>
    <t>Data Quality Check</t>
  </si>
  <si>
    <t>Difference in TAS and SAP (CORE BALANCE SHEET)</t>
  </si>
  <si>
    <t>Testing cannot proceed due to informatica issue</t>
  </si>
  <si>
    <t xml:space="preserve">_thumb_245817.png _thumb_245818.png </t>
  </si>
  <si>
    <t>7 tables provided by Layhong not found in list provided by SAP team. 
133 out of the remaining 138 tables have record count discrepancy</t>
  </si>
  <si>
    <t>Confirmed that tables has no record</t>
  </si>
  <si>
    <t>PEDAGML-332</t>
  </si>
  <si>
    <t>TAS - Table and record count discrepancy between SAP team and Lay hong</t>
  </si>
  <si>
    <t>For the failed ingestions , the metadata table edag_process_log couldn't ab;le to capture the failed error message in "proc_error_text" column" rather than it is coming as "NULL"</t>
  </si>
  <si>
    <t>Working as expected</t>
  </si>
  <si>
    <t>PEDAGML-331</t>
  </si>
  <si>
    <t>DL_EDAG_Process_log table : doesn't show any error message for failed INGESTIONS</t>
  </si>
  <si>
    <t>To close</t>
  </si>
  <si>
    <t>SIT OK - Can close</t>
  </si>
  <si>
    <t>PEDAGML-262, PEDAGML-150, PEDAGML-309</t>
  </si>
  <si>
    <t>Date Mismatch</t>
  </si>
  <si>
    <t xml:space="preserve">Date conversions has to be as per the attachment 
</t>
  </si>
  <si>
    <t>PEDAGML-330</t>
  </si>
  <si>
    <t>DL_BWC_All countries : Default values for the date fields</t>
  </si>
  <si>
    <t>EDF1.01.13</t>
  </si>
  <si>
    <t>Deployment Script : All rename table is hardcoded with sysdate and time. 
During deployment failure on sepcific tables, renamed table is already exist and we end up with dead lock situation</t>
  </si>
  <si>
    <t>New Deployment Script provided as part of V01.01.15</t>
  </si>
  <si>
    <t>PEDAGML-329</t>
  </si>
  <si>
    <t>DL_Deployment failure for hardcoded sysdate and time</t>
  </si>
  <si>
    <t>Pending TD  (Deployment script - alter tables)</t>
  </si>
  <si>
    <t>10th Mar</t>
  </si>
  <si>
    <t>PEDAGML-239</t>
  </si>
  <si>
    <t>1. Add a field to capture the view name in EDAG_FILE_DTLS and add column to maintain WHERE CLause 
2. Add a exclusion flag at Field level and dynamically generate the view based on the exclusion criteria</t>
  </si>
  <si>
    <t>Duplicate</t>
  </si>
  <si>
    <t>PEDAGML-328</t>
  </si>
  <si>
    <t>DL_View creation and Role creation</t>
  </si>
  <si>
    <t>Pending TD reply (View)</t>
  </si>
  <si>
    <t>DDS Phase</t>
  </si>
  <si>
    <t>During Mass failure of ingestion jobs, we need to copy the source files back into staging and re-start ingestion.Currently operators will not assist to run many jobs</t>
  </si>
  <si>
    <t>backup</t>
  </si>
  <si>
    <t>Operational Menu</t>
  </si>
  <si>
    <t>PEDAGML-327</t>
  </si>
  <si>
    <t>DL_Unavailability of Ingestion File backup</t>
  </si>
  <si>
    <t>File_Backup</t>
  </si>
  <si>
    <t>Pending TD reply (rerun mass)</t>
  </si>
  <si>
    <t>Pending TD - Rerun</t>
  </si>
  <si>
    <t xml:space="preserve">1) backup the original file name appending with bizdate (filename.&lt;bizdate&gt;) 
without any time stamp. 
2) Backup file purging the header &amp; trailer info 
3) Once successfully processed compress the backup file 
</t>
  </si>
  <si>
    <t>Code fixed</t>
  </si>
  <si>
    <t>File_backup</t>
  </si>
  <si>
    <t>PEDAGML-326</t>
  </si>
  <si>
    <t>DL_Backup file is created with .orig in landing area</t>
  </si>
  <si>
    <t>SIT4, EDF1.01.09</t>
  </si>
  <si>
    <t xml:space="preserve">_thumb_245880.png </t>
  </si>
  <si>
    <t>V01.01.09</t>
  </si>
  <si>
    <t>select * from edag_process_log where Proc_id like '%CFMAST%' and ctry_cd = 'CN' 
order by proc_start_dt desc 
bc0cd5d6-9ca3-4fc6-93be-8e81f94170f9 06-FEB-17 FI_BWC_CFMAST_D02 BWC CN /data/cdtransfer/edaicn/bwccn/processing/CFMAST.2017-02-06.20170222144208_1 22-FEB-17 22-FEB-17 F UOB07 "STDOUT:[ICMD_10033] Command [RunMapping] failed with error [[LDTMEXP_0029] Failed to process mapping because of following reason [null].]. 
;" 
20d7ff7f-bf2b-411c-9fec-e1d8607da237 06-FEB-17 FI_BWC_CFMAST_D02 BWC CN /data/cdtransfer/edaicn/bwccn/processing/FI_BWC_CFMAST_D02.&lt;biz_dt&gt;.20170222015240 22-FEB-17 22-FEB-17 F UOB99 
Still the data is loaded into Hive. 
select distinct proc_instance_id 
from s01_bwc.eda_bwc_cfmast_d02 
where site_id='CN' 
20d7ff7f-bf2b-411c-9fec-e1d8607da237</t>
  </si>
  <si>
    <t>PEDAGML-325</t>
  </si>
  <si>
    <t>DL_Ingestion Failed, still data loaded into Hive</t>
  </si>
  <si>
    <t>NULL IN TARGET COLUMN</t>
  </si>
  <si>
    <t>Null records are populated for the columns C9DAT9 ,C9DAT6 ,C9TIME for below table in SG region 
Tablename : eda_bwc_CFZPRL_D01 
Please find more details in the attachment</t>
  </si>
  <si>
    <t>NULLS</t>
  </si>
  <si>
    <t>DATE Columns are displayed as expected</t>
  </si>
  <si>
    <t>PEDAGML-324</t>
  </si>
  <si>
    <t>DL_BWC_CFZPRL:NULL's IN TARGET COLUMN</t>
  </si>
  <si>
    <t xml:space="preserve">Today, I cannot connect to Teradata UAT database using wired connection. Yesterday, I was able to do so. In fact, I could only connect to Teradata UAT database using Wired connection yesterday. 
Today, I can only connect to Teradata UAT database using Wireless connection. 
</t>
  </si>
  <si>
    <t>Issue resolved by Thirup</t>
  </si>
  <si>
    <t>PEDAGML-323</t>
  </si>
  <si>
    <t>UAT Testing - Network Connection</t>
  </si>
  <si>
    <t>Client_setup</t>
  </si>
  <si>
    <t>Tracking Defect</t>
  </si>
  <si>
    <t>SIT3</t>
  </si>
  <si>
    <t>The file has got HEX-25 character hence when we CDSEND we get new line characters and there is count mismatch or record goes to error table.</t>
  </si>
  <si>
    <t>Special_Charset</t>
  </si>
  <si>
    <t>Special char set</t>
  </si>
  <si>
    <t>PEDAGML-322</t>
  </si>
  <si>
    <t>BWC_SG_CFKYCC - Records having HEX-25 characters.</t>
  </si>
  <si>
    <t>Pending TD reply (Hex 25)</t>
  </si>
  <si>
    <t>I am raising this defect on behalf of Thirups: 
---------------------------------------------- 
Charles and Shaun, 
In UAT our ingestion process is taking long time, find below are the screen shot FYR. Almost taking more than 35 mins in UAT. Last week we have checked in the log, there were particular oracle update and some insert script was taking time. I have requested Jasmeet to Analyze the oracle table and it was moving slightly faster. However 35 mins per file is not acceptable SLA, Can you pls take look at it. 
Regards, 
Thirups 
for more details please see the attachment</t>
  </si>
  <si>
    <t>Env_Setup, Performance</t>
  </si>
  <si>
    <t>PEDAGML-321</t>
  </si>
  <si>
    <t>DL_UAT_Ingestion : Performance Issue: UAT -ingestion run took long time to load HIVE table</t>
  </si>
  <si>
    <t>Performance</t>
  </si>
  <si>
    <t>Pending TD reply (Performance)</t>
  </si>
  <si>
    <t xml:space="preserve">Below directories missing for informatica installation. 
/opt/Informatica/dev/infa101/server/infa_shared/ParamFiles 
/opt/Informatica/dev/infa101/server/infa_shared/ParamFiles/TAS24 
/opt/Informatica/dev/infa101/server/infa_shared/ParamFiles/TAS24/Session_PRM 
/opt/Informatica/dev/infa101/server/infa_shared/Scripts 
/opt/Informatica/dev/infa101/server/infa_shared/Scripts/config 
</t>
  </si>
  <si>
    <t>TAS Informatica installation procedures not complete. Required directories missing from installation guide.</t>
  </si>
  <si>
    <t>PEDAGML-320</t>
  </si>
  <si>
    <t>TAS_Missing Unix directories for Informatica installation</t>
  </si>
  <si>
    <t>Installation</t>
  </si>
  <si>
    <t>Pending TD (Installation Doc)</t>
  </si>
  <si>
    <t>9th mar</t>
  </si>
  <si>
    <t xml:space="preserve">Below tables are missing in ini file provided for initial sync 
ZFGLD000 
ZFGLU08 
ZFGLD000T 
</t>
  </si>
  <si>
    <t>Missed in earlier package added to ini file.</t>
  </si>
  <si>
    <t>PEDAGML-319</t>
  </si>
  <si>
    <t>TAS_Teradata missing table in ini file</t>
  </si>
  <si>
    <t xml:space="preserve">The initial sync for 3 tables failed as IDR user don't have select access to SAP oracle tables 
TCURF 
TVGRT 
TVKGR 
</t>
  </si>
  <si>
    <t>TD .sql list of tables to grant access is incomplete</t>
  </si>
  <si>
    <t>PEDAGML-318</t>
  </si>
  <si>
    <t>TAS_Oracle SAP select access issue</t>
  </si>
  <si>
    <t>The ODBC connection is failing to Teradata from Informatica. 
Error: 
Memory Fault(core dump) while connecting to Teradata</t>
  </si>
  <si>
    <t>Teradata driver out of sync</t>
  </si>
  <si>
    <t>PEDAGML-317</t>
  </si>
  <si>
    <t>TAS_Teradata connectivity</t>
  </si>
  <si>
    <t>Env setup</t>
  </si>
  <si>
    <t xml:space="preserve">The access for below tables are required for initial sync 
GRANT SELECT sys.INDPART$ to &lt;TDR USER&gt; 
GRANT SELECT sys.TABSUPART$ to &lt;TDR USER&gt; 
GRANT SELECT sys.TABPART$ to &lt;TDR USER&gt; 
</t>
  </si>
  <si>
    <t>Missing grant statement</t>
  </si>
  <si>
    <t>PEDAGML-316</t>
  </si>
  <si>
    <t>TAS_Oracle SAP system tables access required</t>
  </si>
  <si>
    <t xml:space="preserve">_thumb_245140.png _thumb_245139.png </t>
  </si>
  <si>
    <t>Related records in CFACCT not found in CFAGRP for both BWC_SG and BWC_Regional.</t>
  </si>
  <si>
    <t>In UAT environment, out-of-sync data might happen as there are a lot of testing going on in the environment. These are only test data in SIT/UAT.</t>
  </si>
  <si>
    <t>PEDAGML-315</t>
  </si>
  <si>
    <t>BWC_Regional, BWC_SG - CFACCT related record not in CFAGRP</t>
  </si>
  <si>
    <t xml:space="preserve">_thumb_245134.png </t>
  </si>
  <si>
    <t>Injection issue on table FEGAPRM. 
code to reproduce 
select * from eda_sss_FEGAPRM_d01</t>
  </si>
  <si>
    <t>Incorrect data from source.</t>
  </si>
  <si>
    <t>PEDAGML-314</t>
  </si>
  <si>
    <t>SSS(TW) - Injection issue on table FEGAPRM</t>
  </si>
  <si>
    <t xml:space="preserve">_thumb_245133.png </t>
  </si>
  <si>
    <t>Related records in CFCONNX not found in CFCONN for both BWC_SG.</t>
  </si>
  <si>
    <t>PEDAGML-313</t>
  </si>
  <si>
    <t>BWC_SG - CFCONNX related records not in CFCONN</t>
  </si>
  <si>
    <t xml:space="preserve">_thumb_245131.png _thumb_245132.png </t>
  </si>
  <si>
    <t xml:space="preserve">Related records in CFMASX not found in CFMAST for both BWC_SG and BWC_Regional. 
</t>
  </si>
  <si>
    <t>Test records at source</t>
  </si>
  <si>
    <t>PEDAGML-312</t>
  </si>
  <si>
    <t>BWC_Regional, BWC_SG - CFMASX related records not in CFMAST</t>
  </si>
  <si>
    <t>eda_BWC_CFAGRP_D01 is not available in SIT Environment.</t>
  </si>
  <si>
    <t>Deployment miss.</t>
  </si>
  <si>
    <t>PEDAGML-311</t>
  </si>
  <si>
    <t>DL_B1 : Table (eda_BWC_CFAGRP_D01) is not available in SIT environment.</t>
  </si>
  <si>
    <t>Deployment_miss</t>
  </si>
  <si>
    <t>UAT1, SIT4</t>
  </si>
  <si>
    <t xml:space="preserve">_thumb_244975.png _thumb_244976.png </t>
  </si>
  <si>
    <t>2 of the related files in the filespec of BWC_Regional cannot be found in the interface file. See attached. 
Please kindly check with source on whether these are missing files or typo error. Thank you.</t>
  </si>
  <si>
    <t>Typo Error</t>
  </si>
  <si>
    <t>PEDAGML-310</t>
  </si>
  <si>
    <t>BWC_Regional - related file not in interface file</t>
  </si>
  <si>
    <t>PEDAGML-262, PEDAGML-330</t>
  </si>
  <si>
    <t>JDCUTT column in JHZRCD table displaying 1900-01-01 00:00:00.0 instead of 1901-01-01 00:00:00.0 in SSS Parameter for all countries.</t>
  </si>
  <si>
    <t>Default_Value</t>
  </si>
  <si>
    <t>PEDAGML-309</t>
  </si>
  <si>
    <t>DL_Data validation_Wrong date</t>
  </si>
  <si>
    <t>TAS-SIT Transaction Tech Recon</t>
  </si>
  <si>
    <t xml:space="preserve">Run Transaction Tech Recon script "/prodlib/EDA/inf/scripts/TAS/execute_recon.sh" and it failed with error: 
reconciliation is running for the country : SG and business date : 20170220 
SELECT COUNT(1) (title '') FROM S01_TAS_COR.CORE_UOBM_EOD_DEF_CTRL_PARAM WHERE EOD_ID='SG' AND BACKGROUND_EVENT_PARAMETERS LIKE '%COMPLETED%' AND PREVIOUS_PROCESSING_DATE=TO_DATE('20170220','YYYYMMDD') 
./execute_recon.sh: line 93: /app/EDA/inf/logs/GL_RECON.log: No such file or directory 
^C 
[ownedasg@lxedatsgv95 TAS]$ 
</t>
  </si>
  <si>
    <t>TAS_Tech_Recon_Error</t>
  </si>
  <si>
    <t>Since Transactional Tech Recon script runs fine, this ticket is closed. For recon mismatch, will raise as new Jira and track the same.</t>
  </si>
  <si>
    <t>PEDAGML-308</t>
  </si>
  <si>
    <t>TAS: Transaction Data Tech Recon Failed</t>
  </si>
  <si>
    <t>TAS 3-Mar</t>
  </si>
  <si>
    <t>TAS-SIT-Master Data Tech Recon</t>
  </si>
  <si>
    <t>Run the master tech recon script "/prodlib/EDA/inf/scripts/execute_mst_recon.sh" and it failed with script error as: 
[ownedasg@lxedatsgv95 TAS]$ execute_mst_recon.sh 
S 01 
20170220 
cp: cannot stat `s_recon_MST_ora_to_td.prm': No such file or directory 
./execute_mst_recon.sh: line 49: /app/EDA/inf/logs/MST_RECON1251020170220170454. log: No such file or directory 
The Master Recon for Oracle is failed. please check the log file: /app/EDA/inf/l ogs/MST_RECON1251020170220170454.log</t>
  </si>
  <si>
    <t>Deployment issue. Redeployed also configuration issue. Run initial sync and now tech recon is matched except TVARVC which has additional records per TAS installation.</t>
  </si>
  <si>
    <t>PEDAGML-307</t>
  </si>
  <si>
    <t>TAS: Master Tech Recon script execution failure</t>
  </si>
  <si>
    <t>Ingestion processes failed while processing TAS export files, error text "STDOUT:[ICMD_10033] Command [RunMapping] failed with error [[JSF_0047] The following error has occurred: [Metaspace]]. 
;" 
Please assist.</t>
  </si>
  <si>
    <t>Framework issue deployed in 1.01.09.</t>
  </si>
  <si>
    <t>PEDAGML-306</t>
  </si>
  <si>
    <t>TAS: Ingestion failed while running tas export files</t>
  </si>
  <si>
    <t>Export_failure</t>
  </si>
  <si>
    <t>7th Mar</t>
  </si>
  <si>
    <t xml:space="preserve">_thumb_244521.png _thumb_246145.png </t>
  </si>
  <si>
    <t>BATCH 1 UAT</t>
  </si>
  <si>
    <t>The following table have duplicate record found only on Julian date that start with (2011xxx), and Jhccur = EUR and site_id = SG. 
Table - JHCHOL 
code to reproduce 
- SELECT JHCCUR,JHCHL7, site_id, COUNT(*) FROM eda_sss_JHCHOL_d01 GROUP BY proc_ts, JHCCUR,JHCHL7, site_id HAVING (COUNT(*) &gt; 1)</t>
  </si>
  <si>
    <t>Test Data issue</t>
  </si>
  <si>
    <t>PEDAGML-305</t>
  </si>
  <si>
    <t>SSS(SG) - Duplicate record found on JHCHOL table</t>
  </si>
  <si>
    <t>TAS File ingestion process run for file "CORE_COST_CENTER_CATEGORY" failed with error text "Number of fields in file is less than expected , delimiter:\|, Number of fields:2 , Expected Number of Fields:9" 
Error screenshot attached.</t>
  </si>
  <si>
    <t>EDF issue, fixed already deployed. To retest on v1.01.05.</t>
  </si>
  <si>
    <t>PEDAGML-304</t>
  </si>
  <si>
    <t>TAS: Ingestion Job failed with field number differences</t>
  </si>
  <si>
    <t>Export Process Framework runs sequentially even though multiple process ID are submitted at the same time, resulting slower performance. 
Please review and provide same configuration as ingestion process which we can run ~30 processes in parallel.</t>
  </si>
  <si>
    <t>Testing on TAS 1.1.05 release.</t>
  </si>
  <si>
    <t>PEDAGML-303</t>
  </si>
  <si>
    <t>TAS: Export Process Running Sequentially, slow down performance</t>
  </si>
  <si>
    <t>TAS-SIT-IDR</t>
  </si>
  <si>
    <t>TAS SIT Informatica Data Replicator is not configured correctly, pointing to DEV environment. 
Please re-configure.</t>
  </si>
  <si>
    <t>TAS_Replicator_Issue</t>
  </si>
  <si>
    <t>Re-sync the data by Richard</t>
  </si>
  <si>
    <t>PEDAGML-302</t>
  </si>
  <si>
    <t>TAS: Informatica Data Replicator Configuration Issue</t>
  </si>
  <si>
    <t>Replicator</t>
  </si>
  <si>
    <t xml:space="preserve">_thumb_244550.png </t>
  </si>
  <si>
    <t>eda_bwc_CFZPSA_D01 table is not available in HIVE.</t>
  </si>
  <si>
    <t>Table was present. Not a defect.</t>
  </si>
  <si>
    <t>PEDAGML-301</t>
  </si>
  <si>
    <t>DL_B1: eda_bwc_CFZPSA_D01 is not available in SIT Hive</t>
  </si>
  <si>
    <t xml:space="preserve">_thumb_244460.png _thumb_244461.png </t>
  </si>
  <si>
    <t>Weird character found in JHOFFX table. 
Code to Reproduce 
- select * from eda_sss_JHOFFX_d01</t>
  </si>
  <si>
    <t>Test Data</t>
  </si>
  <si>
    <t>Hong Kong</t>
  </si>
  <si>
    <t>PEDAGML-300</t>
  </si>
  <si>
    <t>SSS(HK) - Data ingestion Error on JHOFFX table</t>
  </si>
  <si>
    <t xml:space="preserve">file CFDOCT failed for countries TH,TW,GB,MY,CN,HK with below error 
"STDOUT:[ICMD_10033] Command [RunMapping] failed with error [[LDTM_0042] The mapping cannot be validated because of the following errors: [The transformation instance [Standardization] has the port [dccdt7_OUT] of the datatype [date/time]. This port cannot be linked to the transformation instance [Write_T1_1_Hive] port [dccdt7] of the datatype [decimal]. 
The transformation instance [Standardization] has the port [dcldt7_OUT] of the datatype [date/time]. This port cannot be linked to the transformation instance [Write_T1_1_Hive] port [dcldt7] of the datatype [decimal]. 
[Hive Validation] Hive target [Write_T1_1_Hive] is configured to truncate target tables. To write data to a partitioned Hive table for Hive version less than [0.11] , you must not configure the target to truncate target tables. 
[Hive Validation] Hive target [Write_T1_Err] is configured to truncate target tables. To write data to a partitioned Hive table for Hive version less than [0.11] , you must not configure the target to truncate target tables. 
].]. 
;" 
</t>
  </si>
  <si>
    <t>Re-ingestion.</t>
  </si>
  <si>
    <t>PEDAGML-299</t>
  </si>
  <si>
    <t>DL_B1: Ingestion Fail for the file CFDOCT for coutries (TH,TW,GB,MY,CN,HK)</t>
  </si>
  <si>
    <t xml:space="preserve">_thumb_244380.png _thumb_246330.png _thumb_246333.png </t>
  </si>
  <si>
    <t xml:space="preserve">Following tables have PK issues (multiple records found): 
Table FEGAPRM: GAFTYP, GATBNK, GATBRN (As define in v1.1.1) 
Code to reproduce 
SELECT GAFTYP,GATBRN,GASBNK, COUNT(*) FROM eda_sss_FEGAPRM_d01 GROUP BY proc_ts, GAFTYP,GATBRN,GASBNK HAVING (COUNT(*) &gt; 1) 
</t>
  </si>
  <si>
    <t>PK_Violatiom</t>
  </si>
  <si>
    <t>data issue</t>
  </si>
  <si>
    <t>PEDAGML-298</t>
  </si>
  <si>
    <t>SSS (All Countries) - PK Violation on FEGAPRM table</t>
  </si>
  <si>
    <t>Data Issue</t>
  </si>
  <si>
    <t xml:space="preserve">Ingestion is getting fail for GRP files for the country 'GB' 
Below is the error message. 
proc_id SRC_SYS_CD ctry_cd proc_error_txt 
FI_GRP_SFSAUX_A01 GRP GB For input string: "0_x0007_000_x0007_0_x0007_0" 
FI_GRP_SFTDTV_A01 GRP GB Unparseable date: "B2013_x0007_11" 
FI_GRP_SFTDTA_A01 GRP GB For input string: "0_x0007_0000000" 
FI_GRP_GCACCM_D01 GRP GB Number of fields in file is less than expected , delimiter:_x0007_, Number of fields:92 , Expected Number of Fields:47 
FI_GRP_GCRACCM_D01 GRP GB Number of fields in file is less than expected , delimiter:_x0007_, Number of fields:37 , Expected Number of Fields:19 
FI_BWC_CFZMAS_D02 BWC GB Number of fields in file is less than expected , delimiter:_x0007_, Number of fields:30 , Expected Number of Fields:16 
Files are at edge node: 
/data/cdtransfer/edaigb/grpgb 
</t>
  </si>
  <si>
    <t>PEDAGML-297</t>
  </si>
  <si>
    <t>DL_B1: GRP parameters and Master files failed ingestion</t>
  </si>
  <si>
    <t>Below mentioned correspoding TAS CORE tables Missing in HIVE. 
1. CORE_FINANCIAL_GL_ITEM_ORG 
2. CORE_CUSTOMER 
3. CORE_CUSTOMER_DEF_DIVISION 
4. CORE_CUSTOMER_HIERARCHY 
5. CORE_CUSTOMER_SALES 
6. CORE_DISTRIBUTION_CHANNEL 
7. CORE_DISTRIBUTION_CHANNEL_L 
8. CORE_DIVISION 
9. CORE_DIVISION_L 
10. CORE_EMPLOYEE 
11. CORE_EXCHANGE_RATE 
12. CORE_EXCHANGE_RATE_L</t>
  </si>
  <si>
    <t>PEDAGML-296</t>
  </si>
  <si>
    <t>TAS Missing HIVE Tables</t>
  </si>
  <si>
    <t xml:space="preserve">Duplicate data found in eda_sss_FEBROP_d01 table. Kindly see attachment 
Code to reproduce 
- select * from eda_sss_FEBROP_d01 where bappcode = 'RBK' and bbankno = 24 and bbranchhx = 299 and bdeptcod = 599 
</t>
  </si>
  <si>
    <t>Test Data only</t>
  </si>
  <si>
    <t>PEDAGML-295</t>
  </si>
  <si>
    <t>SSS(TH) - PK Violation for eda_sss_FEBROP_d01</t>
  </si>
  <si>
    <t xml:space="preserve">Ingestion is getting fail after removing "-f". 
Getting different error for different files. 
I am attaching the document with error for sample record. 
</t>
  </si>
  <si>
    <t>Ingestion correction</t>
  </si>
  <si>
    <t>PEDAGML-294</t>
  </si>
  <si>
    <t>DL_B1: Ingestion failed when using edag_business_date for Biz_Date for BWC param,SSS,Regional files.</t>
  </si>
  <si>
    <t>Ingestion Failure (-f option)</t>
  </si>
  <si>
    <t>Pending TD reply (-f option)</t>
  </si>
  <si>
    <t xml:space="preserve">_thumb_244208.png _thumb_246213.png </t>
  </si>
  <si>
    <t>Interface entry affects (GTYPE) field is all blank for Taiwan, On GLINT3 table. 
GTYPE is stated as PK/Mandatory field in interface file spec. 
Code to reproduce 
- select * from eda_sss_glint3_d01 where length(gtype) = 0; 
Note this happen for Taiwan only.</t>
  </si>
  <si>
    <t>PEDAGML-293</t>
  </si>
  <si>
    <t>SSS(TW) - Blank found in mandatory/PK field (gtype) on GLINT3 table</t>
  </si>
  <si>
    <t xml:space="preserve">_thumb_244206.png </t>
  </si>
  <si>
    <t xml:space="preserve">For BWC parameter, tables are not created as per interspec document based on the frequency. Interspec is mentioned frequency is daily 
In technical spec: 
Each Hive table will be named after the name of the file it sits on top of: 
eda_&lt;source_system&gt;_&lt;filename&gt;_&lt;frequency&gt; 
Please find the Attached document for more details. 
</t>
  </si>
  <si>
    <t>RE-deployed the hive structure</t>
  </si>
  <si>
    <t>PEDAGML-292</t>
  </si>
  <si>
    <t>DL_B1: BWC parameter table are not created as per the frequency in HIVE</t>
  </si>
  <si>
    <t xml:space="preserve">_thumb_244119.png </t>
  </si>
  <si>
    <t>BK in filespec cannot be found</t>
  </si>
  <si>
    <t>BK typo</t>
  </si>
  <si>
    <t>PEDAGML-291</t>
  </si>
  <si>
    <t>BWC_Regional - CFBLST BK typo</t>
  </si>
  <si>
    <t>UAT1 Batch 1</t>
  </si>
  <si>
    <t>There is no data in the this file. Can we confirm with source on the reason for this? Is it because it is not used in BWC or is it because there is no such data in UAT? Can we request for some sample data in Production just to know whether we will be receiving this file in Production?</t>
  </si>
  <si>
    <t>PEDAGML-290</t>
  </si>
  <si>
    <t>BWC PARM (CFZPCO) - All countries</t>
  </si>
  <si>
    <t xml:space="preserve">_thumb_246195.png _thumb_244054.png _thumb_243976.png </t>
  </si>
  <si>
    <t>Injection Error found on GLGREF table for Taiwan only. Data not injected properly into the field, data overflow to another field. 
code to reproduce 
- SELECT * FROM eda_sss_GLGREF_d01 where site_id = 'TW' 
See attachment.</t>
  </si>
  <si>
    <t>PEDAGML-289</t>
  </si>
  <si>
    <t>SSS(TW) - Injection Error on GLGREF table</t>
  </si>
  <si>
    <t xml:space="preserve">_thumb_243793.png _thumb_243782.png </t>
  </si>
  <si>
    <t>PEDAGML-199, PEDAGML-371</t>
  </si>
  <si>
    <t>For CFZPSA (Salutation Code Parameter) table, the field CFZSAC(Salutation code) &amp; CFZSAD(Salutation description) field are overflowing to the next next field respectively. 
Referring to attached image label 1. 
The meaning make more sense when combined with the overflow character. 
ท่านผู้หญิ - Those for Jihad 
ท่านผู้หญิง - lady 
Code to reproduce 
- select * from eda_bwc_CFZPSA_a01 where site_id = 'TH' 
Updated, kindly see attachment</t>
  </si>
  <si>
    <t>Registration, Req_Spec</t>
  </si>
  <si>
    <t>BWC Parameter (All Countries) - Data overflow to next field on CFZPSA table</t>
  </si>
  <si>
    <t>SIT - Not OK. Pending TD - Registration</t>
  </si>
  <si>
    <t>Count mismatch for CFZPOR table 
Hive - 34 
Soruce- 15</t>
  </si>
  <si>
    <t>PEDAGML-287</t>
  </si>
  <si>
    <t>BWC Parameter (HK) - Count mismatch for CFZPOR table</t>
  </si>
  <si>
    <t>EDF, Source</t>
  </si>
  <si>
    <t xml:space="preserve">_thumb_243692.png </t>
  </si>
  <si>
    <t xml:space="preserve">Filler should be a reserve space for further enhancement, but data was found in this specific table CFIDDF. 
And in version V1.1.1 interface filespec (Inside transit folder) specify CFIDCT (ID Issue Country) should be a Mandatory PK field however it is totally blank. Kindly Investigate. 
code to reproduce 
- SELECT * FROM eda_bwc_CFIDDF_a01 where length(filler) &lt;&gt; 0; 
</t>
  </si>
  <si>
    <t>Fixed as part of EDF1.01.14 . Data is properly populated in to CFDICT column .</t>
  </si>
  <si>
    <t>PEDAGML-286</t>
  </si>
  <si>
    <t>BWC Parameter (All Countries) - Data found in Filler field, but PK CFIDCT field is blank for CFIDDF table</t>
  </si>
  <si>
    <t>DL, EDF, Source</t>
  </si>
  <si>
    <t xml:space="preserve">_thumb_245531.png _thumb_245532.png _thumb_243682.png _thumb_251170.png </t>
  </si>
  <si>
    <t>The CCTHAD field which hold the Industry description in thai, seem to be mis-translated 
The following description have special character � found within. 
การปลูกปาล�ม 
การเพาะเมล็ดพันธ�พืช 
Code to reproduce the error 
- select * from eda_bwc_CISICC_a01 where ccbotc = 'AAZP' or ccbotc = 'AAZG' 
Table - CISICC</t>
  </si>
  <si>
    <t>BWC Parameter (TH) - Thai language translation Error found in CISICC table</t>
  </si>
  <si>
    <t xml:space="preserve">_thumb_243677.png _thumb_246225.png </t>
  </si>
  <si>
    <t>Batch 1</t>
  </si>
  <si>
    <t>PK(GRMREL) is blank for GCRACCM</t>
  </si>
  <si>
    <t>Clarification with Source and update Interface Spec</t>
  </si>
  <si>
    <t>PEDAGML-284</t>
  </si>
  <si>
    <t>BWC (GRP) - PK(GRMREL) is blank for GCRACCM</t>
  </si>
  <si>
    <t xml:space="preserve">_thumb_243657.png _thumb_243658.png _thumb_244050.png _thumb_243659.png </t>
  </si>
  <si>
    <t>Both of the table (CFZRSK &amp; CFZPVP) have value for TW, but according to source it should be empty. 
see attachment</t>
  </si>
  <si>
    <t>Status not updated in share point</t>
  </si>
  <si>
    <t>PEDAGML-283</t>
  </si>
  <si>
    <t>BWC Parameter (TW) - Count Mismatch for table CFZRSK &amp; CFZPVP</t>
  </si>
  <si>
    <t xml:space="preserve">_thumb_243628.png </t>
  </si>
  <si>
    <t>GB records not found in HUE for CFKYYC table in BWC_Regional.</t>
  </si>
  <si>
    <t>interface_spec</t>
  </si>
  <si>
    <t>Incorrectly updated in shared path</t>
  </si>
  <si>
    <t>UK</t>
  </si>
  <si>
    <t>PEDAGML-282</t>
  </si>
  <si>
    <t>BWC_Regional - GB records not loaded in CFKYYC table</t>
  </si>
  <si>
    <t xml:space="preserve">_thumb_243619.png _thumb_251221.png </t>
  </si>
  <si>
    <t>PK field in CFBLST table is null.</t>
  </si>
  <si>
    <t>File loaded for all regions after removing the HEX-25 char.</t>
  </si>
  <si>
    <t>PEDAGML-281</t>
  </si>
  <si>
    <t>BWC_Regional - CFBLST PK is null</t>
  </si>
  <si>
    <t>Pending TD reply (New line char Hex25)</t>
  </si>
  <si>
    <t>Proceed UAT with Workaround Source clean up Test data</t>
  </si>
  <si>
    <t>There are no data in this file for all countries. Is this a source issue? 
How can we ensure that we will not have any issue in production if there is no data to test in UAT?</t>
  </si>
  <si>
    <t>Clarified</t>
  </si>
  <si>
    <t>PEDAGML-280</t>
  </si>
  <si>
    <t>BWC PARM (CFZPBU) - All countries</t>
  </si>
  <si>
    <t xml:space="preserve">_thumb_243512.png _thumb_243511.png _thumb_243510.png </t>
  </si>
  <si>
    <t>Record in extention table but not in main table for various tables in BWC_SG.</t>
  </si>
  <si>
    <t>This is not a defect as this is the current workflow.</t>
  </si>
  <si>
    <t>PEDAGML-279</t>
  </si>
  <si>
    <t>BWC_SG - record in extention table but not in main table</t>
  </si>
  <si>
    <t xml:space="preserve">_thumb_243463.png _thumb_246379.png </t>
  </si>
  <si>
    <t>PEDAGML-259</t>
  </si>
  <si>
    <t>site_id "NB" found in eda_grp_SFTDTV_a01, eda_grp_SFSAUX_a01, eda_grp_SFTDTA_a01 table.</t>
  </si>
  <si>
    <t>site_id</t>
  </si>
  <si>
    <t>PEDAGML-278</t>
  </si>
  <si>
    <t>BWC (GRP) - "NB" country found in site_id</t>
  </si>
  <si>
    <t>File Issue</t>
  </si>
  <si>
    <t xml:space="preserve">_thumb_243422.png </t>
  </si>
  <si>
    <t xml:space="preserve">Blank value found on the following table cfzpsb, mandatory field (cfsbsr) [SERVICE SUB-TYPE CODE] 
</t>
  </si>
  <si>
    <t>This is not a defect. This is a test data</t>
  </si>
  <si>
    <t>File_issue</t>
  </si>
  <si>
    <t>PEDAGML-277</t>
  </si>
  <si>
    <t>BWC Parameter (SG) - Blank value found on Mandatory field (cfsbsr), table - cfzpsb</t>
  </si>
  <si>
    <t xml:space="preserve">_thumb_243417.png _thumb_243418.png </t>
  </si>
  <si>
    <t>Foreign key not found in respective related file, please check if this is data quality issue</t>
  </si>
  <si>
    <t>This is not a defect as this is BAU process</t>
  </si>
  <si>
    <t>PEDAGML-276</t>
  </si>
  <si>
    <t>BWC_SG - Foreign Key not found in related file</t>
  </si>
  <si>
    <t xml:space="preserve">_thumb_243384.png _thumb_243385.png </t>
  </si>
  <si>
    <t>SSS(HK) - JHCOUN File count discrepancy between HIVE and Source 
Source - 0 
Hive - 249</t>
  </si>
  <si>
    <t>Interface_spec</t>
  </si>
  <si>
    <t>PEDAGML-275</t>
  </si>
  <si>
    <t>SSS(HK) - JHCOUN File count discrepancy between HIVE and Source</t>
  </si>
  <si>
    <t>Primary Key Violation</t>
  </si>
  <si>
    <t>Duplicate records are present in the primary key column in the below mentioned table. 
Tablename : eda_bwc_CFRLMA_D01 
Please find more details in the attachment</t>
  </si>
  <si>
    <t>pk_violation</t>
  </si>
  <si>
    <t>PEDAGML-274</t>
  </si>
  <si>
    <t>DL_sss_CFRLMA:Primary Key Violation</t>
  </si>
  <si>
    <t>DL_BWC-MASTER_SG : CFBLST - Ingestion failed in UAT because of control file count mismatch 
Need the updated control file from source</t>
  </si>
  <si>
    <t>PEDAGML-273</t>
  </si>
  <si>
    <t>DL_BWC-MASTER_SG : CFBLST - Ingestion failed in UAT because of control file count mismatch</t>
  </si>
  <si>
    <t xml:space="preserve">_thumb_243376.png _thumb_243377.png </t>
  </si>
  <si>
    <t>SSS(MY) - multiple file Count discrepancy between HIVE and Source. 
See attachment.</t>
  </si>
  <si>
    <t>PEDAGML-272</t>
  </si>
  <si>
    <t>SSS(MY) - multiple file Count discrepancy between HIVE and Source</t>
  </si>
  <si>
    <t xml:space="preserve">_thumb_246161.png _thumb_246158.png </t>
  </si>
  <si>
    <t>Please kindly check with source on the nature of this table. In the table description, it says that CFPAR2 is an industry risk code table and applicable to all countries. But, there are only records for MY and the codes do not look like industry code.</t>
  </si>
  <si>
    <t>Specs Updates</t>
  </si>
  <si>
    <t>PEDAGML-271</t>
  </si>
  <si>
    <t>BWC PARM (CFPAR2)</t>
  </si>
  <si>
    <t>UAT2, EDF1.01.09</t>
  </si>
  <si>
    <t xml:space="preserve">_thumb_243281.png </t>
  </si>
  <si>
    <t>PEDAGML-86</t>
  </si>
  <si>
    <t xml:space="preserve">All BWC parameter file should be daily instead of ad hoc, kindly update all the file name for bwc parameter and interface file spec accordingly. 
currently in hive &amp; file spec - CFZPEM_a 
Expected in hive &amp; file spec - CFZPEM_d 
</t>
  </si>
  <si>
    <t>Table name has been modified</t>
  </si>
  <si>
    <t>PEDAGML-270</t>
  </si>
  <si>
    <t>BWC Parameter - All file should be daily instead of adhoc</t>
  </si>
  <si>
    <t>PEDAGML-150</t>
  </si>
  <si>
    <t xml:space="preserve">Please confirm that the following date fields are null from source. If not, please confirm whether the ingestion is ok. 
JDOPN6 
JDOPN7 
JHMDL6 
JHMDLM 
</t>
  </si>
  <si>
    <t>default date is not implemented in this version of UAT.</t>
  </si>
  <si>
    <t>PEDAGML-269</t>
  </si>
  <si>
    <t>SSS - JHZRCD (To confirm that the date fields are null)</t>
  </si>
  <si>
    <t xml:space="preserve">Duplicate record found on GLPAR7X table for the following cost center code. 
g7cntx 
0 
101 - e.g. there is 2 same record found for SG 
102 
301 
506 
2395 
8888 
</t>
  </si>
  <si>
    <t>Test_Data, pk_violation</t>
  </si>
  <si>
    <t>PEDAGML-268</t>
  </si>
  <si>
    <t>SSS - duplicate record found in GLPAR7X table</t>
  </si>
  <si>
    <t xml:space="preserve">_thumb_243153.png _thumb_246214.png </t>
  </si>
  <si>
    <t xml:space="preserve">Duplicate Record found in LNPARR table. 
sql - select * from eda_sss_lnparr_d01 where carcod = "5" AND site_id = "HK"; 
</t>
  </si>
  <si>
    <t>Incorret data in source.</t>
  </si>
  <si>
    <t>PEDAGML-267</t>
  </si>
  <si>
    <t>SSS(HK) - Duplicate Record found in LNPARR table</t>
  </si>
  <si>
    <t xml:space="preserve">_thumb_243122.png </t>
  </si>
  <si>
    <t xml:space="preserve">Sub Key 1 (JHPSK1) &amp; Sub Key 2 (JHPSK2) should not be Mandatory. 
</t>
  </si>
  <si>
    <t>PEDAGML-266</t>
  </si>
  <si>
    <t>SSS - Wrong Mandatory Indication in file spec of (JHPARM - table)</t>
  </si>
  <si>
    <t xml:space="preserve">Blank value found in RGLTYPE(mandatory field) of JHGLMAP table 
sql - SELECT * FROM eda_sss_JHDATA_d01 WHERE LENGTH (TRIM (CAST(JDBANK As String))) = 0 OR LENGTH (TRIM( CAST(JDBR As String ))) = 0 
</t>
  </si>
  <si>
    <t>China</t>
  </si>
  <si>
    <t>PEDAGML-265</t>
  </si>
  <si>
    <t>SSS (CN) - Blank value found in GL Type(Mandatory Field) of JHGLMAP table</t>
  </si>
  <si>
    <t xml:space="preserve">_thumb_243077.png </t>
  </si>
  <si>
    <t>Filespec has unpopulated PK cell for CFKYCC table in BWC_Regional interface file v1.1 (Final folder in sharepoint)</t>
  </si>
  <si>
    <t>PEDAGML-264</t>
  </si>
  <si>
    <t>BWC_Regional - Filespec has empty PK</t>
  </si>
  <si>
    <t xml:space="preserve">_thumb_243064.png </t>
  </si>
  <si>
    <t xml:space="preserve">W/H currency (JHWCUR) &amp; W/H account type (JHWATP) from Federal withholding reason codes (JHWITH) table should not be blank. 
*Note - These 2 field should be mandatory &amp; PK field. 
</t>
  </si>
  <si>
    <t>Interface_Spec</t>
  </si>
  <si>
    <t>PEDAGML-263</t>
  </si>
  <si>
    <t>SSS - Blank value found for mandatory field of JHWITH table</t>
  </si>
  <si>
    <t>UAT2, EDF1.01.10</t>
  </si>
  <si>
    <t xml:space="preserve">_thumb_249532.png _thumb_249523.png _thumb_243044.png </t>
  </si>
  <si>
    <t>PEDAGML-150, PEDAGML-309, PEDAGML-330</t>
  </si>
  <si>
    <t xml:space="preserve">All systems with time datatype were converted to timestamp appended "1900-01-01" with the time. 
</t>
  </si>
  <si>
    <t>Data_mismatch</t>
  </si>
  <si>
    <t>Default Value delivery</t>
  </si>
  <si>
    <t>PEDAGML-262</t>
  </si>
  <si>
    <t>All Systems - Wrong conversion of time data type to timestamp (Added - 1900-01-01)</t>
  </si>
  <si>
    <t>Please kindly confirm whether drdradd2 is supposed to be blank. 
drdradd1, drdradd3 and drdradd4 have values but not drdradd2. It looks really strange.</t>
  </si>
  <si>
    <t>PEDAGML-261</t>
  </si>
  <si>
    <t>SSS - eda_sss_fedrawe_d01</t>
  </si>
  <si>
    <t xml:space="preserve">_thumb_243709.png _thumb_243023.png </t>
  </si>
  <si>
    <t>Kindly verify that the PK field for G/L account (GLACCT) File should be Account Number(Account status) instead of Account Status (ACSTAT)</t>
  </si>
  <si>
    <t>PEDAGML-260</t>
  </si>
  <si>
    <t>SSS - GLACCT -Wrong PK field indication in Interface file spec</t>
  </si>
  <si>
    <t xml:space="preserve">_thumb_246166.png _thumb_246167.png </t>
  </si>
  <si>
    <t>We found NB site_id in the SSS tables.</t>
  </si>
  <si>
    <t>site_id - NB removed</t>
  </si>
  <si>
    <t>SSS - NB country code</t>
  </si>
  <si>
    <t xml:space="preserve">_thumb_242995.png </t>
  </si>
  <si>
    <t>Record are all NULL for table JHDATA_d01 for TH. 
sql - select * from eda_sss_JHDATA_d01 where site_id = 'TH'</t>
  </si>
  <si>
    <t>Ingestion issue</t>
  </si>
  <si>
    <t>PEDAGML-258</t>
  </si>
  <si>
    <t>SSS(TH) - ALL NULL Value JHDATA_d</t>
  </si>
  <si>
    <t xml:space="preserve">_thumb_242989.png </t>
  </si>
  <si>
    <t>Record are all NULL for table CURRPAIR_d01 for TH. 
select * from eda_sss_CURRPAIR_d01 where site_id = 'TH'</t>
  </si>
  <si>
    <t>Ingestion problem</t>
  </si>
  <si>
    <t>PEDAGML-257</t>
  </si>
  <si>
    <t>SSS(TH) - ALL NULL Value CURRPAIR_d</t>
  </si>
  <si>
    <t xml:space="preserve">_thumb_242987.png _thumb_242986.png </t>
  </si>
  <si>
    <t>Empty PK/mandatory field in BWC_Regional, CFALIA table.</t>
  </si>
  <si>
    <t>PEDAGML-256</t>
  </si>
  <si>
    <t>BWC_Regional - CFALIA empty PK/mandatory field</t>
  </si>
  <si>
    <t xml:space="preserve">_thumb_242981.png _thumb_242980.png </t>
  </si>
  <si>
    <t>Empty PK field in BWC_Regional, CFAGRP table.</t>
  </si>
  <si>
    <t>Documentation Issue</t>
  </si>
  <si>
    <t>PEDAGML-255</t>
  </si>
  <si>
    <t>BWC_Regional - CFAGRP empty PK/mandatory field</t>
  </si>
  <si>
    <t>primary key violation</t>
  </si>
  <si>
    <t xml:space="preserve">Duplicate records are present in the primary key column in the below mentioned table. 
Table name : eda_sss_FEDRAWE_d01 
Please find more details in the attachment 
</t>
  </si>
  <si>
    <t>Udpated Specs</t>
  </si>
  <si>
    <t>PEDAGML-254</t>
  </si>
  <si>
    <t>DL_sss_FEDRAWE:Primary Key Violation</t>
  </si>
  <si>
    <t xml:space="preserve">Duplicate records are present in the primary key column in the below mentioned table. 
Tablename : eda_cel_TRSMCACMAP_d01 
Please find more details in the attachment 
</t>
  </si>
  <si>
    <t>PEDAGML-253</t>
  </si>
  <si>
    <t>DL_cel_TRSMCACMAP:Primary Key Violation</t>
  </si>
  <si>
    <t xml:space="preserve">_thumb_242960.png _thumb_242974.png _thumb_242991.png _thumb_242994.png _thumb_243000.png _thumb_243003.png _thumb_243041.png _thumb_243060.png _thumb_244040.png </t>
  </si>
  <si>
    <t>PEDAGML-249</t>
  </si>
  <si>
    <t>Difference in record count between HUE and sharepoint recieved files count for CFADDR, CFAGRP, CFBSCE, CFCONN, CFENTM, CFENTR, CFENTX and CFMAST Table (MY)</t>
  </si>
  <si>
    <t>Different share point version</t>
  </si>
  <si>
    <t>PEDAGML-252</t>
  </si>
  <si>
    <t>BWC_Regional (my) - Record count discrepancy</t>
  </si>
  <si>
    <t xml:space="preserve">_thumb_242955.png _thumb_242975.png _thumb_243001.png _thumb_243006.png _thumb_243050.png _thumb_243069.png _thumb_243087.png _thumb_244038.png </t>
  </si>
  <si>
    <t>Difference in record count between HUE and sharepoint recieved files count for CFADDR, CFAGRP, CFENTM, CFENTR, CFKYCC, CFMAST and CFMASX Table (TH)</t>
  </si>
  <si>
    <t>Different Share point version</t>
  </si>
  <si>
    <t>PEDAGML-251</t>
  </si>
  <si>
    <t>BWC_Regional (TH) - Record count discrepancy</t>
  </si>
  <si>
    <t xml:space="preserve">_thumb_242936.png _thumb_242935.png </t>
  </si>
  <si>
    <t>Empty PK/mandatory field in BWC_Regional, CFACCT table.</t>
  </si>
  <si>
    <t>Spec Update</t>
  </si>
  <si>
    <t>PEDAGML-250</t>
  </si>
  <si>
    <t>BWC_Regional - CFACCT empty PK/mandatory field</t>
  </si>
  <si>
    <t xml:space="preserve">_thumb_242928.png _thumb_242957.png _thumb_242976.png _thumb_242984.png _thumb_243056.png _thumb_243086.png _thumb_244035.png </t>
  </si>
  <si>
    <t>PEDAGML-251, PEDAGML-252</t>
  </si>
  <si>
    <t>Batch1 UAT</t>
  </si>
  <si>
    <t>Difference in record count between HUE and sharepoint recieved files count for CFACCT, CFADDR, CFAGRP, CFALIA and CFMAST Table (CN)</t>
  </si>
  <si>
    <t>Count mismatch because of different time</t>
  </si>
  <si>
    <t>BWC_Regional (CN) - Record count discrepancy</t>
  </si>
  <si>
    <t xml:space="preserve">_thumb_242889.png </t>
  </si>
  <si>
    <t>Kindly help verify these data show in the glpar9 table are correct Product code information.</t>
  </si>
  <si>
    <t>Source doucmention issue. Updated the specs.</t>
  </si>
  <si>
    <t>PEDAGML-248</t>
  </si>
  <si>
    <t>SSS - Kindly verify that glpar9 showing the Product code/info</t>
  </si>
  <si>
    <t>TAS-CORE Export</t>
  </si>
  <si>
    <t>When running TAS CORE export processes, all failed throwing error like “Error in executing the command:/prodlib/EDA/td/scripts/tbuild_tpt.sh TAS s01_TAS_COR_V CORE_COST_ACTIVITY_TYPE ,Error:null” which is for job CORE_COST_ACTIVITY_TYPE. 
Please assist.</t>
  </si>
  <si>
    <t>There is registration issue, fix release v 1.01.05.01</t>
  </si>
  <si>
    <t>PEDAGML-247</t>
  </si>
  <si>
    <t>TAS: CORE Export job failed</t>
  </si>
  <si>
    <t xml:space="preserve">_thumb_242855.png </t>
  </si>
  <si>
    <t>Spelling error for related file key. Should be CFATTY instead of CFAATY</t>
  </si>
  <si>
    <t>PEDAGML-246</t>
  </si>
  <si>
    <t>BWC_SG - CFAGRP related file key error in interface file</t>
  </si>
  <si>
    <t xml:space="preserve">_thumb_242842.png _thumb_242843.png </t>
  </si>
  <si>
    <t>Discrepancy between field description in interface file and field comment in HUE</t>
  </si>
  <si>
    <t>Interface spec contains field Decription as Name'Conjuction 
But displaying as NameConjuction in Metadata table and Hive table</t>
  </si>
  <si>
    <t>PEDAGML-245</t>
  </si>
  <si>
    <t>BWC_SG- field decription discrepancy</t>
  </si>
  <si>
    <t xml:space="preserve">_thumb_242841.png _thumb_249209.png </t>
  </si>
  <si>
    <t>The trailer record has been added to HIVE.</t>
  </si>
  <si>
    <t>Hive_Issue</t>
  </si>
  <si>
    <t>Trailer record is being inserted into Hive. Fixed with version (V01.01.09)</t>
  </si>
  <si>
    <t>PEDAGML-244</t>
  </si>
  <si>
    <t>EPM - Trailer record has been loaded into HIVE (fctyrfct)</t>
  </si>
  <si>
    <t>Hive_bug</t>
  </si>
  <si>
    <t xml:space="preserve">_thumb_242838.png </t>
  </si>
  <si>
    <t>UAT Batch 1</t>
  </si>
  <si>
    <t>The account no is 10 byte in size. But, the 1st byte has been truncated off.</t>
  </si>
  <si>
    <t>This interface was originated from EPM to FCDMIS (before CFR is live) and thus it was using 9 digits code. EPM has amended to outbound 10 digit account to EDAG.</t>
  </si>
  <si>
    <t>PEDAGML-243</t>
  </si>
  <si>
    <t>EPM - Account no has been truncated (epmglbgt)</t>
  </si>
  <si>
    <t xml:space="preserve">_thumb_242839.png </t>
  </si>
  <si>
    <t>Record type field in CFAIDX table recorded in interface file not in HUE</t>
  </si>
  <si>
    <t>Not a defect. Interface spec updated</t>
  </si>
  <si>
    <t>PEDAGML-242</t>
  </si>
  <si>
    <t>BWC_SG - record type field discrepancy for CFAIDX table</t>
  </si>
  <si>
    <t xml:space="preserve">We are unable to access the Hue via Desktop PC. Below is the screenshot. 
We have tried using IE, Chrome, and Firefox which are all unable to access Hue. 
The Tester ID are: 
1. tmpwel 
2. tmptit 
3. tmpj22 
4. tmpxi9 
</t>
  </si>
  <si>
    <t>Network port access to be granted to DMO desktop</t>
  </si>
  <si>
    <t>PEDAGML-241</t>
  </si>
  <si>
    <t>Unable to access HUE via Desktop</t>
  </si>
  <si>
    <t xml:space="preserve">_thumb_242823.png _thumb_242822.png </t>
  </si>
  <si>
    <t xml:space="preserve">The HIVE table name is not specified according to the DL functional spec. 
</t>
  </si>
  <si>
    <t>Tables are created as specified.</t>
  </si>
  <si>
    <t>PEDAGML-240</t>
  </si>
  <si>
    <t>HIVE table name is not specified according to the functional specification</t>
  </si>
  <si>
    <t>Table_name</t>
  </si>
  <si>
    <t>Pending TD reply (tablename)</t>
  </si>
  <si>
    <t>Record_Type is found is some systems.</t>
  </si>
  <si>
    <t>Missing_View</t>
  </si>
  <si>
    <t>CEL,CFR, EPM, SSS, BWC (Parameter), GRP (Parameter) - Record_Type found in all Hive Tables</t>
  </si>
  <si>
    <t>Record_type</t>
  </si>
  <si>
    <t xml:space="preserve">_thumb_242743.png </t>
  </si>
  <si>
    <t>MAS industry code (CFZINC) in CFMAST should not be 2 digit</t>
  </si>
  <si>
    <t>PEDAGML-238</t>
  </si>
  <si>
    <t>BWC_SG - MAS industry code in incorrect format in CFMAST</t>
  </si>
  <si>
    <t xml:space="preserve">_thumb_242725.png </t>
  </si>
  <si>
    <t xml:space="preserve">Kindly help verify these data show in the CFPAR5 table are correct insider information. 
cp5icd cp5dsc cp5txt 
M Management Staff SVP and above 
N Non-Staff Individuals who are not staff 
S Staff Class II to FVPs and Clerks 
</t>
  </si>
  <si>
    <t>PEDAGML-237</t>
  </si>
  <si>
    <t>SSS - Kindly verify this is the correct insider code/data</t>
  </si>
  <si>
    <t xml:space="preserve">_thumb_242722.png _thumb_242723.png </t>
  </si>
  <si>
    <t>Customer birthdate dating back to year 1500. 
All customer marriage date recorded as NULL.</t>
  </si>
  <si>
    <t>Data_Availability</t>
  </si>
  <si>
    <t>File availability issue</t>
  </si>
  <si>
    <t>PEDAGML-236</t>
  </si>
  <si>
    <t>BWC_SG - Illogical dates recorded in CFMAST</t>
  </si>
  <si>
    <t>Data Availability</t>
  </si>
  <si>
    <t>PEDAGML-235</t>
  </si>
  <si>
    <t>DL_B1 : CFBLST having records loaded in err tables but no clear error msg</t>
  </si>
  <si>
    <t xml:space="preserve">CFBLST having count mismatch with target and missed records are loading in err tables. 
This is happening for below mentions Countries. 
MY,HK,TH. 
Pls provide spec on error handling 
</t>
  </si>
  <si>
    <t>As per functionality error are moving to err table</t>
  </si>
  <si>
    <t>PEDAGML-234</t>
  </si>
  <si>
    <t>DL_B1_Ingestion_Failure</t>
  </si>
  <si>
    <t>Ingestion Error</t>
  </si>
  <si>
    <t xml:space="preserve">Below files failed while ingestion. 
We have already send email note, this defect is raised for tracking. 
CN_BWC 
FI_BWC_CFCONN_D02: Row Count Validation failed for local:73306, and hive:0, and error:0 
FI_BWC_CFZPPC_A01 STDOUT:[ICMD_10033] Command [RunMapping] failed with error [[LDTMEXP_0029] Failed to process mapping because of following reason [null].].; 
FI_BWC_CFZPRG_A01 Error Threshold Validation failed for threshold :0.6, and error row count:1 
TH_BWC 
FI_BWC_CFCONN_D02 Row Count Validation failed for local:4408675, and hive:0, and error:0 
HK_BWC 
FI_BWC_CFZPRG_A01 Error Threshold Validation failed for threshold :0.6, and error row count:6 
</t>
  </si>
  <si>
    <t>EDF_Loading_Error</t>
  </si>
  <si>
    <t>Default date issue , will be tracked in defect-150</t>
  </si>
  <si>
    <t>PEDAGML-233</t>
  </si>
  <si>
    <t>DL_Registration: Discripencies between Interface specs and Metatada tables.</t>
  </si>
  <si>
    <t xml:space="preserve">BWC Parameter: CFZPOI – Filler not in field description 
CFZPIN – Filler not in field description 
CFZPAR – Filler not in field description--Start position is 1490, but in Metadata it was mentioned as 1492 
BWC Regional : CFDOCT : DCCDT7 &amp; DCLDT7 having ‘P’, but should actually display as ‘T’ as these are Timestamps. 
CFLBST : CBORD7, CBORD6: Date format mentioned in the field description. 
CFLBST : CBENT7 –PK not mentioned. 
CFZEMH: CFZESY, CFHMD6, CFHMD7 contains date format in Description. 
SSS Parameter : JHTYPE : THMUSR 
SG Master : CFACJN, CFADLM, CFUCD7 description not in sync with Specs. 
CFAIDX: Record Type field description wrong. 
CFBLAST : CBORD6 description mismatch. 
CEL : RI_MBA_T : BUARNA—PK Missing 
RI_MPF_T: PRSENA, QPRTYCD—PK Missing 
RI_MPS_T: PRSENA—PK Missing 
RI_MPT_T : QPRTYCD—PK Missing 
RI_MRT_T : RITYNA—PK Missing 
RI_OGL_T : OGLV—PK Missing 
RI_REX_T : RIENGEID—PK Missing 
RI_TRE_T: RIENTYNA—PK Missing 
TRSMCACMAP : CACCTRCD, CACAPPSYSCD, CACSRCACNO—PK Missing 
TRSMGDWLMT : LMTBANKCD, LMTBBCD, LMTCTRCD, LMTPRODCD –BK Missing 
TRSMCIFCELSMAP : CACCTRCD, CACAPPSYSCD, CACSRCACNO, CACBKBRCD—PK Missing 
</t>
  </si>
  <si>
    <t>Difference between Interface Spec &amp; Metadata</t>
  </si>
  <si>
    <t>PEDAGML-232</t>
  </si>
  <si>
    <t>BWC_SG - CFPROD(PK) field empty in CFPDCS table</t>
  </si>
  <si>
    <t xml:space="preserve">_thumb_242542.png </t>
  </si>
  <si>
    <t>3 records in BWC_SG, CFPDCS table with empty CFPROD(PK) field.</t>
  </si>
  <si>
    <t>PEDAGML-231</t>
  </si>
  <si>
    <t>DL_B1_Data loaded as NULL in HIVE for GLINT1 file</t>
  </si>
  <si>
    <t>Data Validation</t>
  </si>
  <si>
    <t>NULL data loaded in HIVE 
Table Name : s01_sss.eda_sss_glint1_d01 
Column : ofprdc 
Please find more detail in attached document.</t>
  </si>
  <si>
    <t>Source extracted data using the old version of code and the data was not proper. 
Resent the files again, please test.</t>
  </si>
  <si>
    <t>PEDAGML-230</t>
  </si>
  <si>
    <t>DL_B1_GLINT3: Data loaded NULL for valide data .</t>
  </si>
  <si>
    <t xml:space="preserve">NULL is loaded for valid data 
Table Name: 
s01_sss.eda_sss_GLINT3_d01 
Column Name: prprdc 
Please find the attached document for more details 
</t>
  </si>
  <si>
    <t>PEDAGML-229</t>
  </si>
  <si>
    <t>DL_B1_Data loaded as NULL in HIVE for JHCLSRC file</t>
  </si>
  <si>
    <t xml:space="preserve">_thumb_243135.png </t>
  </si>
  <si>
    <t>NULL data is loaded for valid data 
Table Name: s01_sss.eda_sss_jhclsrc_d01 
Column Names: JFCMD8,JFCMTM,JFLMD8 
Please attached document for details.</t>
  </si>
  <si>
    <t>DL_B1:Ingestion Failure for 16 files in BWC_SG_Master and 1 file in BWC_CBS</t>
  </si>
  <si>
    <t>Workaround - resolved with KIV pending permanent solution</t>
  </si>
  <si>
    <t>KIV</t>
  </si>
  <si>
    <t>Ingestion Process</t>
  </si>
  <si>
    <t>BWC_SG_Master :16 files failed while ingestion. 
BWC_CBS :1 File failed while ingestion. 
Please find the attachment for more details about the error and file list.</t>
  </si>
  <si>
    <t>Incorrect_Data, Req_Spec</t>
  </si>
  <si>
    <t>Workaround for CFKYCC, CFBLST files</t>
  </si>
  <si>
    <t>PEDAGML-227</t>
  </si>
  <si>
    <t>DL_B1:SG BWC parameter: NULL values loaded into Hive.</t>
  </si>
  <si>
    <t xml:space="preserve">
Table Name: eda_bwc_cfzpcn_a01 
Column:CFCIFHX 
Null values loaded into Hive.</t>
  </si>
  <si>
    <t>CFCIF# in spec has a fixed length from 45 to 65 as Numeric, however 65th character is coming as Alphanumeric.</t>
  </si>
  <si>
    <t>PEDAGML-226</t>
  </si>
  <si>
    <t>DL_B1_PK voilation: table s01_bwc.eda_bwc_CFAIDX_d02</t>
  </si>
  <si>
    <t>Primary_Key validation</t>
  </si>
  <si>
    <t xml:space="preserve">BWC_Regional File: 
Site_Id='CN' 
Table :s01_bwc.eda_bwc_CFAIDX_d02 
Primary Key Columns : 
CFAXSSNO 
CFAXSSCD 
CFAXCIDT 
Getting duplicate records for primary key columns. 
Please find the attached screen shot for more details. 
</t>
  </si>
  <si>
    <t>PK_VIOLATION</t>
  </si>
  <si>
    <t>PEDAGML-225</t>
  </si>
  <si>
    <t>BWC Parameter - Unrecognized site_id 'NB' found in multiple BWC parameter file</t>
  </si>
  <si>
    <t xml:space="preserve">_thumb_242604.png _thumb_243093.png _thumb_246278.png _thumb_242476.png _thumb_242477.png </t>
  </si>
  <si>
    <t>site_id "NB" found in multiple table of BWC parameter file.</t>
  </si>
  <si>
    <t>As per source team, HK has just moved to AS400T2 recently, there are some setup was not done probably in the environment. The data area that containing the country code was not populated correctly from AS400T7 to AS400T2. BWC has changed the data area accordingly to the correct country code.</t>
  </si>
  <si>
    <t>PEDAGML-224</t>
  </si>
  <si>
    <t>BWC_SG - CFALIA table empty PK(CFASID)</t>
  </si>
  <si>
    <t xml:space="preserve">_thumb_242456.png _thumb_242457.png </t>
  </si>
  <si>
    <t>127115 records in BWC_SG.EDA_BWC_CFALIA_D01 has empty CFASID(PK) field.</t>
  </si>
  <si>
    <t>PEDAGML-223</t>
  </si>
  <si>
    <t>BWC_SG - CFACCT table has empty CFSNME PK field</t>
  </si>
  <si>
    <t xml:space="preserve">_thumb_242388.png _thumb_242387.png </t>
  </si>
  <si>
    <t>822947 records in BWC_SG.EDA_BWC_CFACCT_D01 have empty CFSNME field and this is specified as PK field.</t>
  </si>
  <si>
    <t>PEDAGML-222</t>
  </si>
  <si>
    <t>GCF - Request to update Interface Filespec</t>
  </si>
  <si>
    <t>Pending Source Clarification</t>
  </si>
  <si>
    <t>Clarification with SRC (Documentation)</t>
  </si>
  <si>
    <t xml:space="preserve">_thumb_242383.png </t>
  </si>
  <si>
    <t>Request to update Interface Filespec as per attachment.</t>
  </si>
  <si>
    <t>Documentation update. Not a defect</t>
  </si>
  <si>
    <t>PEDAGML-221</t>
  </si>
  <si>
    <t>SSS(CN) - Values are null</t>
  </si>
  <si>
    <t xml:space="preserve">_thumb_242382.png </t>
  </si>
  <si>
    <t>PEDAGML-215</t>
  </si>
  <si>
    <t>All values (other than the partition keys) are null in all SSS tables.</t>
  </si>
  <si>
    <t>Deployment issue</t>
  </si>
  <si>
    <t>PEDAGML-220</t>
  </si>
  <si>
    <t>SSS(SG) - Values are null</t>
  </si>
  <si>
    <t xml:space="preserve">_thumb_242380.png </t>
  </si>
  <si>
    <t>All values (other than the partition fields) are null for all tables.</t>
  </si>
  <si>
    <t>PEDAGML-219</t>
  </si>
  <si>
    <t>GRP(SG) - All Field NULL</t>
  </si>
  <si>
    <t xml:space="preserve">_thumb_242346.png </t>
  </si>
  <si>
    <t>All field value is null</t>
  </si>
  <si>
    <t>Deployment Issue</t>
  </si>
  <si>
    <t>PEDAGML-218</t>
  </si>
  <si>
    <t>BWC_SG - PK field for CFRLMA file is null</t>
  </si>
  <si>
    <t xml:space="preserve">_thumb_242306.png </t>
  </si>
  <si>
    <t>60 records in BWC_SG.eda_bwc_CFRLMA_d01 has null for CFRSD8(PK) field.</t>
  </si>
  <si>
    <t>Default Date handling on 000000 
Specs updated.</t>
  </si>
  <si>
    <t>PEDAGML-217</t>
  </si>
  <si>
    <t>DL_UAT1 : Source system sending multiple times</t>
  </si>
  <si>
    <t>Source issue : as source is generating file and sending it every day. We have informed them and already stop sending this, however for tracking purpose raise one medium defect and assign with source team.</t>
  </si>
  <si>
    <t>Source File sending Frequency</t>
  </si>
  <si>
    <t>PEDAGML-216</t>
  </si>
  <si>
    <t>DL_UAT1_Char Set files: Source files are getting removed after successful processing. Missing source files for rerun</t>
  </si>
  <si>
    <t>Backup</t>
  </si>
  <si>
    <t>Character set : Source files are getting removed after successful processing. In case of rerun we need source team to resend the file which is impossible (only bell character delimited files are available in source directory).</t>
  </si>
  <si>
    <t>working fine</t>
  </si>
  <si>
    <t>DL_UAT1_SSS : All the files loaded as null or empty values</t>
  </si>
  <si>
    <t>PEDAGML-220, PEDAGML-221</t>
  </si>
  <si>
    <t>please see the attachment for the Null</t>
  </si>
  <si>
    <t>PEDAGML-214</t>
  </si>
  <si>
    <t>DL_UAT1_BWC_SG : Ingestion failed for 2 files</t>
  </si>
  <si>
    <t>Error message : 
BWC – SG : CFBLST, CJMAST 
CFBLST 
2017-02-08 11:03:27,140 - ERROR [main:BaseProcessor@493] - UOBException [status=F, errorCode=UOB01, errorMessage=Row Count Validation failed for local:452181, and hive:0, and error:0, error=true] 
CJMAST 
2017-02-08 11:03:27,140 - ERROR [main:BaseProcessor@493] - UOBException [status=F, errorCode=UOB01, errorMessage=Row Count Validation failed for local:452181, and hive:0, and error:0, error=true]</t>
  </si>
  <si>
    <t>Failing due to Partition</t>
  </si>
  <si>
    <t>PEDAGML-213</t>
  </si>
  <si>
    <t>DL_UAT1_BWC_CN : : CFCONN is getting failed in ingestion</t>
  </si>
  <si>
    <t>Workaround</t>
  </si>
  <si>
    <t>Data Cleansing</t>
  </si>
  <si>
    <t>PEDAGML-151</t>
  </si>
  <si>
    <t>Error message : 
BWC – CN : CFCONN 
2017-02-08 21:15:19,811 - ERROR [main:BaseProcessor@493] - UOBException [status=F, errorCode=UOB01, errorMessage=Row Count Validation failed for local:73378, and hive:3075, and error:0, error=true]</t>
  </si>
  <si>
    <t>Ingestion was successfull after correcting the shift-in and shift-out.</t>
  </si>
  <si>
    <t>PEDAGML-212</t>
  </si>
  <si>
    <t>DL_UAT1_BWC_TH : Ingestion failed for 4 files</t>
  </si>
  <si>
    <t>BWC-TH - 4 files failed in ingestion : Error msg : 
BWC-TH : CFBLST, 
2017-02-09 11:43:44,636 - ERROR [main:BaseProcessor@493] - UOBException [status=F, errorCode=UOB01, errorMessage=Row Count Validation failed for local:411636, and hive:411637, and error:0, error=true] 
CFOFFL 
2017-02-08 21:56:13,422 - ERROR [main:BaseProcessor@493] - UOBException [status=F, errorCode=UOB01, errorMessage=Row Count Validation failed for local:2817047, and hive:0, and error:0, error=true] 
CFZEDU 
2017-02-08 21:56:14,480 - ERROR [main:BaseProcessor@493] - UOBException [status=F, errorCode=UOB01, errorMessage=Row Count Validation failed for local:1461305, and hive:0, and error:0, error=true] 
CFZMAS 
2017-02-08 21:56:15,067 - ERROR [main:BaseProcessor@493] - UOBException [status=F, errorCode=UOB01, errorMessage=Row Count Validation failed for local:2211232, and hive:0, and error:0, error=true] 
CFBLST 
2017-02-08 11:03:27,140 - ERROR [main:BaseProcessor@493] - UOBException [status=F, errorCode=UOB01, errorMessage=Row Count Validation failed for local:452181, and hive:0, and error:0, error=true]</t>
  </si>
  <si>
    <t>Files were resent. Due to mulpitle sending of files from source the count mismatch between files and control file was present. We resent the control file and the process ran successfully.</t>
  </si>
  <si>
    <t>PEDAGML-211</t>
  </si>
  <si>
    <t>DL_UAT1_CFR: Ingestion failed for CFR_EDAC_PLBSBAL</t>
  </si>
  <si>
    <t>Ingestion is getting failed for CFR: CFR_EDAC_PLBSBAL 
CFR - PLBSBAL- Falied due to hash sum validation : 
Error Message : 
2017-02-06 15:04:28,575 - ERROR [main:BaseProcessor@493] - UOBException [status=F, errorCode=UOB01, errorMessage=Hash Sum Validation failed for 
local:1356855129166818.51, and hive:1356854362566660.44, error=true]</t>
  </si>
  <si>
    <t>Implemented in uat</t>
  </si>
  <si>
    <t>PEDAGML-210</t>
  </si>
  <si>
    <t>DL_SSS_JHPARM:Primary Key Violation</t>
  </si>
  <si>
    <t>Duplicate records are present in the primary key column for HK, TH, GB, TW and CN site_id in the below mentioned table. 
Tablename : eda_sss_JHPARM_d01 
Please find more details in the attachment</t>
  </si>
  <si>
    <t>As per the comments from source the duplicate data available in SIT is test data and not found in UAT</t>
  </si>
  <si>
    <t>PEDAGML-209</t>
  </si>
  <si>
    <t>DL_SSS_JHSTAT:Primary Key Violation</t>
  </si>
  <si>
    <t>Duplicate records are present in the primary key column for MY site_id in the below mentioned table. 
Tablename : eda_sss_JHSTAT_d01 
Please find more details in the attachment</t>
  </si>
  <si>
    <t>PEDAGML-208</t>
  </si>
  <si>
    <t>DL_SSS_JHPARC:Primary Key Violation</t>
  </si>
  <si>
    <t>Duplicate records are present in the primary key column for MY,CN,TH,GB,HK site_id's in the below mentioned table. 
Tablename : eda_sss_JHPARC_d01 
Please find more details in the attachment</t>
  </si>
  <si>
    <t>PEDAGML-207</t>
  </si>
  <si>
    <t>DL_SSS_JHGLMAP:Primary Key Violation</t>
  </si>
  <si>
    <t>Duplicate records are present in the primary key column for 'MY',CN,HK site_id' in the below mentioned table. 
Tablename : eda_sss_JHGLMAP_d01 
Please find more details in the attachment</t>
  </si>
  <si>
    <t>PEDAGML-206</t>
  </si>
  <si>
    <t>DL_SSS_JHCLDR:Primary Key Violation</t>
  </si>
  <si>
    <t>Duplicate records are present in the primary key column for all site_id' in the below mentioned table. 
Tablename : eda_sss_JHCLDR_d01 
Please find more details in the attachment</t>
  </si>
  <si>
    <t>PEDAGML-205</t>
  </si>
  <si>
    <t>DL_SSS_JHCLDP:Primary Key Violation</t>
  </si>
  <si>
    <t>Duplicate records are present in the primary key column for 'MY','TH','HK' site_id in the below mentioned table. 
Tablename : eda_sss_JHCLDP_d01 
Please find more details in the attachment</t>
  </si>
  <si>
    <t>PEDAGML-204</t>
  </si>
  <si>
    <t>DL_SSS_JHCHOL:Primary Key Violation</t>
  </si>
  <si>
    <t>Duplicate records are present in the primary key column for 'MY' site_id in the below mentioned table. 
Tablename : eda_sss_JHCHOL_d01 
Please find more details in the attachment</t>
  </si>
  <si>
    <t>PEDAGML-203</t>
  </si>
  <si>
    <t>DL_SSS_FELCMSG:Primary Key Violation</t>
  </si>
  <si>
    <t>Duplicate records are present in the primary key column for 'MY' site_id in the below mentioned table. 
Tablename : eda_sss_FELCMSG_d01 
Please find more details in the attachment</t>
  </si>
  <si>
    <t>Source confirmed that these data was inserted for testing and won't be found in UAT/Prod.</t>
  </si>
  <si>
    <t>PEDAGML-202</t>
  </si>
  <si>
    <t>DL_SSS_FEHLDN:Primary Key Violation</t>
  </si>
  <si>
    <t>Duplicate records are present in the primary key column for 'HK','TH','MY' site_id's in the below mentioned table. 
Tablename : eda_sss_FEHLDN_d01 
Please find more details in the attachment</t>
  </si>
  <si>
    <t>PEDAGML-201</t>
  </si>
  <si>
    <t>DL_SSS_FEGAPRM:Primary Key Violation</t>
  </si>
  <si>
    <t>Duplicate records are present in the primary key column for 'HK','TH','TW','CN','MY' site_id's in the below mentioned table. 
Tablename : eda_sss_FEGAPRM_d01 
Please find more details in the attachment</t>
  </si>
  <si>
    <t>PEDAGML-200</t>
  </si>
  <si>
    <t>DL_SSS_FEGACHGF:Primary Key Violation</t>
  </si>
  <si>
    <t>Primary key violation</t>
  </si>
  <si>
    <t>Duplicate records are present in the primary key column for ALL site_id's in the below mentioned table. 
Tablename : eda_sss_FEGACHGF_d01 
Please find more details in the attachment</t>
  </si>
  <si>
    <t>PEDAGML-199</t>
  </si>
  <si>
    <t>DL_BWC_CFZPSA:Primary Key Violation</t>
  </si>
  <si>
    <t>Duplicate records are present in the primary key column for 'MY' and 'TH' site_id in the below mentioned table. 
Tablename : eda_bwc_CFZPSA_A01 
Please find more details in the attachment</t>
  </si>
  <si>
    <t>PEDAGML-198</t>
  </si>
  <si>
    <t>All systems - Impala is not able to support downloading of large files</t>
  </si>
  <si>
    <t xml:space="preserve">Impala is not able to support downloading of large number of records. We need to know the threshold for this. 
</t>
  </si>
  <si>
    <t>PEDAGML-197</t>
  </si>
  <si>
    <t>DL_BWC_CFZPRM:Primary Key Violation</t>
  </si>
  <si>
    <t>Duplicate records are present in the primary key column for MY site_id in the below mentioned table. 
Tablename : eda_bwc_CFZPRM_A01 
Please find more details in the attachment</t>
  </si>
  <si>
    <t>Updated specs</t>
  </si>
  <si>
    <t>PEDAGML-196</t>
  </si>
  <si>
    <t>DL_BWC_CFIDDF:Primary Key Violation</t>
  </si>
  <si>
    <t>Incorrect_data</t>
  </si>
  <si>
    <t>SIT - Not OK. Sritam to work with Source to confirm</t>
  </si>
  <si>
    <t>Primary key check</t>
  </si>
  <si>
    <t>Duplicate records are present in the primary key column for all the regions in the below mentioned table. 
Tablename : eda_bwc_CFIDDF_A01 
Please find more details in the attachment</t>
  </si>
  <si>
    <t>PK_Violation</t>
  </si>
  <si>
    <t>CFIDFF parameter have an existing duplicate data.</t>
  </si>
  <si>
    <t>PEDAGML-195</t>
  </si>
  <si>
    <t>CEL (SG) - Wrong Timestamp Conversion</t>
  </si>
  <si>
    <t xml:space="preserve">_thumb_242005.png </t>
  </si>
  <si>
    <t>Wrong conversion of datatype "Alphanumeric" to "timestamp". And converted result show 16 hours instead of 00 hours. 
Result (Hadoop): "2017-01-23 16:00:00" 
Expected result: "2017-01-23 00:00:00", Time should be "00:00:00" 
The following files and fields are affected 
File - CELFACMAP , field - source_extraction_date 
File - CELBU , field - date_representing_the_last_business_day_of_the_month 
File - CELBU , field - date_representing_the_last_business_day_of_the_month</t>
  </si>
  <si>
    <t>Invalid_Testing</t>
  </si>
  <si>
    <t>Configuration done in SIT &amp; UAT</t>
  </si>
  <si>
    <t>PEDAGML-194</t>
  </si>
  <si>
    <t>GCF - Require foreign names for verification</t>
  </si>
  <si>
    <t>Workaround on Multi-Char (Blank)
Pending TD (Permanent - Multi-Charset)</t>
  </si>
  <si>
    <t>Handling of Multi-Charset</t>
  </si>
  <si>
    <t>SIT OK on workaround (SS blank)</t>
  </si>
  <si>
    <t xml:space="preserve">_thumb_241980.png </t>
  </si>
  <si>
    <t xml:space="preserve">Name fields were masked. Hence, we are not able to verify foreign names (e.g. Chinese, Thai, etc). Please kindly provide some records with foreign names for verification. 
</t>
  </si>
  <si>
    <t>Char set</t>
  </si>
  <si>
    <t>PEDAGML-193</t>
  </si>
  <si>
    <t>CFR - Data Type discrepancy</t>
  </si>
  <si>
    <t xml:space="preserve">_thumb_241967.png </t>
  </si>
  <si>
    <t>PEDAGML-157</t>
  </si>
  <si>
    <t>CFR, table: CFR_EDAC_PLBSBAL, field: REPORT_date in interface file has data type:date but converted to timestamp in HUE.</t>
  </si>
  <si>
    <t>PEDAGML-192</t>
  </si>
  <si>
    <t>GCF - No Record found in SFSPOSTX file</t>
  </si>
  <si>
    <t xml:space="preserve">_thumb_246171.png _thumb_241854.png </t>
  </si>
  <si>
    <t xml:space="preserve">File SFSPOSTX should not be empty. 
The record count of SFSPOSTX is 0, but should be expecting data from this file too. 
</t>
  </si>
  <si>
    <t>Source resent new file with data</t>
  </si>
  <si>
    <t>PEDAGML-191</t>
  </si>
  <si>
    <t>GCF - HASH total discrepancy for GSRECLMM file</t>
  </si>
  <si>
    <t xml:space="preserve">_thumb_241844.png </t>
  </si>
  <si>
    <t>The hash total from Hadoop, make up from the following: 
(GLMSCF) as 'Member CIF no' &amp; 
(GLESKY) as 'Local related grp src key' &amp; 
(GLEOKY) as 'Local obligor grp src key' 
are different from Source.</t>
  </si>
  <si>
    <t>PEDAGML-190</t>
  </si>
  <si>
    <t>DL_CEL trsmcacmap file contains multi language causing count mismatch.</t>
  </si>
  <si>
    <t>cacsrcacnm,cacbkbrcd,cacuid columns contain multi language characters. 
SELECT 
* 
from Staging_D01_gd_cel.eda_cel_trsmcacmap_d_err</t>
  </si>
  <si>
    <t>These are Junk data in SIT, so closing this defect since not repeated.</t>
  </si>
  <si>
    <t>PEDAGML-189</t>
  </si>
  <si>
    <t>TAS Table (T001S, T003T and T004T) not existing in SAP</t>
  </si>
  <si>
    <t>Tables not present in SAP database (T001S, T003T and T004T). please check.</t>
  </si>
  <si>
    <t>PEDAGML-188</t>
  </si>
  <si>
    <t>CFR - PK not removed from interface file</t>
  </si>
  <si>
    <t xml:space="preserve">_thumb_245046.png _thumb_241664.png </t>
  </si>
  <si>
    <t>PK still indicated in interface file. There should not be primary key concept in all CFR table.</t>
  </si>
  <si>
    <t>Specs updated</t>
  </si>
  <si>
    <t>PEDAGML-187</t>
  </si>
  <si>
    <t>CFR - Mandatory field not populated.</t>
  </si>
  <si>
    <t xml:space="preserve">_thumb_241595.png </t>
  </si>
  <si>
    <t>Unpopulated mandatory field (geographic_area_code) discovered from CFR_EDAC_ADJ table in CFR system. 
Unpopulated mandatory field (cfr_ac_desc) discovered from eda_cfr_cfr_edac_coa_m01 table in CFR system. 
Unpopulated mandatory field (company_g) discovered from eda_cfr_cfr_edac_entity_map_m01 table in CFR system.</t>
  </si>
  <si>
    <t>Documentation update. CFR team confirmed that there are no PK fields in their system, there is no concept of mandatory fields either.</t>
  </si>
  <si>
    <t>PEDAGML-186</t>
  </si>
  <si>
    <t>GCF - Wrong Timestamp Conversion</t>
  </si>
  <si>
    <t xml:space="preserve">_thumb_241625.png _thumb_241624.png _thumb_241578.png _thumb_241579.png </t>
  </si>
  <si>
    <t>Wrong conversion of datatype "date" to "timestamp". And converted result show 16 hours instead of 00 hours. 
Result (Hadoop): "2016-09-30 16:00:00" 
Expected result: "2016-09-30 00:00:00", Time should be "00:00:00" 
The following files and fields are affected 
File - GSRACXM, field - grpdt8 
File - GSDLMTAG, field - glupld 
File - GSRECLM, field - glpdt8 
file - GSRECLMM, field - gmpdt8 
file - SFSPOS, field - sfdis8, sfdxp8</t>
  </si>
  <si>
    <t>Configuration changes done in SIT &amp; UAT</t>
  </si>
  <si>
    <t>PEDAGML-185</t>
  </si>
  <si>
    <t>CFR - Table eda_cfr_cfr_edac_plbsbal_m01 empty</t>
  </si>
  <si>
    <t xml:space="preserve">_thumb_241455.png </t>
  </si>
  <si>
    <t>Table eda_cfr_cfr_edac_plbsbal_m01 empty</t>
  </si>
  <si>
    <t>Loaded the file in UAT-2</t>
  </si>
  <si>
    <t>PEDAGML-184</t>
  </si>
  <si>
    <t>No Access to "P1726 Testing" In sharepoint</t>
  </si>
  <si>
    <t>Access</t>
  </si>
  <si>
    <t>Environmental Fix</t>
  </si>
  <si>
    <t xml:space="preserve">_thumb_241400.png </t>
  </si>
  <si>
    <t xml:space="preserve">Kindly grant access to the following "P1726 Testing" folder on sharepoint. We are require to access it for checking of record count and HASH SUM value. 
Our Lanid are as follows: 
Eugene - tmpj22 
Wei Ling - tmpwel 
Catherine - tmpxi9 
</t>
  </si>
  <si>
    <t>PEDAGML-183</t>
  </si>
  <si>
    <t>GCF - NULL value on GSRECLMM file (Multi charset file)</t>
  </si>
  <si>
    <t xml:space="preserve">_thumb_246219.png </t>
  </si>
  <si>
    <t>PEDAGML-117</t>
  </si>
  <si>
    <t>batch 1</t>
  </si>
  <si>
    <t>NULL value found on GSRECLMM file. 
sql code - SELECT * FROM eda_gcf_GSRECLMM_d01 WHERE GLMSCF is null or GLMCOU is null or GLEOKY is null; 
Kindly refer to the attached document for result.</t>
  </si>
  <si>
    <t>PEDAGML-182</t>
  </si>
  <si>
    <t>EPM - Null value of Bgtyr field of EPMEXRBGT</t>
  </si>
  <si>
    <t>Null value of Bgtyr (Budget year) of EPMEXRBGT (Budgeted Exchange Rates) table. 
Value should be</t>
  </si>
  <si>
    <t>As per source:- 
BGTYR column was not in the inbound file which we were using to make the EDAG file, so did not populate initially, this was discussed in initial stages that this will be NULL 
Now to make all budget files consistent populated the BGTYR now using Business date</t>
  </si>
  <si>
    <t>PEDAGML-181</t>
  </si>
  <si>
    <t>BWC_SG, BWC_Regional, field description discrepancy</t>
  </si>
  <si>
    <t xml:space="preserve">_thumb_241174.png </t>
  </si>
  <si>
    <t xml:space="preserve">Difference in field description in interface file and comments of field in HUE for 
1) BWC_SG, BWC_Regional, table CFBLST, FIELD CBORD6 
2) BWC_Regional, table CFBLST, FIELD CBORD7 
3) BWC_SG, BWC_Regional, table CFACCT, FIELD CFACJN 
4) BWC_SG, table CFACCT, FIELD CFADLM 
5) BWC_SG, table CFACCT, FIELD CFUCD7 
6) BWC_Regional, table CFZEMH, FIELD CFHMD6, CFHMD7 
</t>
  </si>
  <si>
    <t>Data_Validation_Error, Registration</t>
  </si>
  <si>
    <t>PEDAGML-180</t>
  </si>
  <si>
    <t>Update Installation documentation</t>
  </si>
  <si>
    <t>Pre-UAT</t>
  </si>
  <si>
    <t>UAT enviroment Setup documents</t>
  </si>
  <si>
    <t>Installation Documentation 
-------------------------- 
- Krb5.conf entries. 
- Max Connections , Max Session , MaxStartup parameters for SFTP 
- Max Sessions for Informatica 
Business User Guide 
------------------------ 
- Update the Table naming conventions. 
- 
--- 
Place holder here, We can add what ever missed, so that we can update documentation accordingly. 
-----</t>
  </si>
  <si>
    <t>PEDAGML-179</t>
  </si>
  <si>
    <t>DL_All ingestion getting failed as SIT team doesn't have sufficient permission</t>
  </si>
  <si>
    <t xml:space="preserve">While I am ingesting the file "FI_CFR_CFR_EDAC_COA_M01" - ingestion got failed with below error message : 
Cannot run program "./ssh_execute_remove_control_char.sh" (in directory "/prodlib/EDA/edf/appl/bin"): error=13, Permission denied 
</t>
  </si>
  <si>
    <t>Aldon Issue: While deployment the script, permission change to root.</t>
  </si>
  <si>
    <t>PEDAGML-178</t>
  </si>
  <si>
    <t>TAS: Tables T009, T009B, T009T, T077S missing in SAP</t>
  </si>
  <si>
    <t>Tables T009, T009B, T009T and T077S are mentioned in TAS FS section 4.1 Data Requirement list but could not find in SAP ORA db. Please clarify.</t>
  </si>
  <si>
    <t>PEDAGML-177</t>
  </si>
  <si>
    <t>EPM - Mandatory field is NULL</t>
  </si>
  <si>
    <t xml:space="preserve">_thumb_247801.png _thumb_247800.png </t>
  </si>
  <si>
    <t>Null value found on the FCTYRFCT File of the following mandatory field. 
1)ORG_UNIT_ID 
2)BALANCE_TYPE 
3)MONTH 
4)CLASSIFICATION 
5)CURRENCY 
sql - SELECT * FROM eda_epm_FCTYRFCT_a01 WHERE GL_ACCOUNT_ID is null or PRODUCT_COA_ID is null or ORG_UNIT_ID is null or BALANCE_TYPE is null or MONTH is null or CLASSIFICATION is null or CURRENCY is null; 
*Kindly refer to the attachment for more infomation</t>
  </si>
  <si>
    <t>Trailer record loaded</t>
  </si>
  <si>
    <t>PEDAGML-176</t>
  </si>
  <si>
    <t>TAS: Missing table TBSLT, TBSL and T077Z in SAP system</t>
  </si>
  <si>
    <t>Tables TBSLT, TBSL ,T077Z,T001S, T003T and T004T are mentioned in TAS FS document section 4.1 Data Requirement table list but could not find them in SIT SAP ORA database. 
Please confirm this table is part of replication process.</t>
  </si>
  <si>
    <t>these are ppol tables and therefor available as views in the replication database</t>
  </si>
  <si>
    <t>PEDAGML-175</t>
  </si>
  <si>
    <t>BWC_SG, BWC_Regional, BWC_CBS, Missing control file in HUE</t>
  </si>
  <si>
    <t>Operation Report</t>
  </si>
  <si>
    <t xml:space="preserve">_thumb_241074.png _thumb_241073.png </t>
  </si>
  <si>
    <t>Control file in interface file cannot be found in HUE</t>
  </si>
  <si>
    <t>Missing_Functionality</t>
  </si>
  <si>
    <t>Missing_Func</t>
  </si>
  <si>
    <t>PEDAGML-174</t>
  </si>
  <si>
    <t>DL_BWC_All countries : Rules needs to be updated for Date stamp</t>
  </si>
  <si>
    <t>Date mismatch</t>
  </si>
  <si>
    <t xml:space="preserve">BWC - Regional GB: 
CFZMAS : CFZEB6 , CFZFA6- 150698 Is changed into 2098:06:15 
</t>
  </si>
  <si>
    <t>code issue</t>
  </si>
  <si>
    <t>PEDAGML-173</t>
  </si>
  <si>
    <t>DL_All_System:UAT Package to Implement proper target environment variables</t>
  </si>
  <si>
    <t>Pending TD (Deployment script - Env)</t>
  </si>
  <si>
    <t>PEDAGML-85</t>
  </si>
  <si>
    <t xml:space="preserve">Error : INFACMD.SH not found during Framework Execution. 
------Full path of InfaCmmd.sh to be maintained in Framework properties. 
Error : KEYTAB FILE not found,- 
------Keytab file doesn’t have +r permission. 
Error : SFTP connection issue – 
------SFTP unable to read +r permission. 
Error : Informatica job connection Error. 
------Job connection is pointing to DEV connection 
Error : Unable to connect . 
------SETENV file pointing to dev 
Error : Informatica job error . 
------Informatica Param file referring to DEV properties - Oracle Metadata changed to UAT. (SQL change) 
Error: Unable to run Informatica job. 
------Informatica Project FOLDER to pointing to EDA_DL_DEV_T1_T1_1 . Rename TO EDA_DL_UAT_T1_T1_1 
Error : Informatica job is failing with NO file or directory found with DEFAULT/DEFAULT. 
------Informatica Params are not picked properly by the job. 
Hive connection failed: 
------Permission to be given to each database. Permission given at server level is not working. 
------Need follow-up with cloudera 
Problem : Hive Table creation failed with success message 
------Application should throw proper error message and error logging 
------Categorisation of logging mechanism, INFO, DEBUG, TRACE, WARN, ERROR. 
------Check if Debugger Enabled before log.debug() 
</t>
  </si>
  <si>
    <t>PEDAGML-172</t>
  </si>
  <si>
    <t>Duplicate value in Primary Key in CFR tables</t>
  </si>
  <si>
    <t>PK violation</t>
  </si>
  <si>
    <t>Duplicate value in Primary key in CFR tables.</t>
  </si>
  <si>
    <t>Spec's updated.</t>
  </si>
  <si>
    <t>PEDAGML-171</t>
  </si>
  <si>
    <t>TAS data type mismatch (LFA1)</t>
  </si>
  <si>
    <t>Tablename: LFA1 
Data type mismatch with SAP DB to RDB 
Source Column 'STAGING_TIME' (DECIMAL) and Target Column 'STAGING_TIME' (INTEGER) do not match.</t>
  </si>
  <si>
    <t>Table_Structure_Error</t>
  </si>
  <si>
    <t>Field staging time is decimal 3,0 which is actually a decimal. All decimals with 0 decimals are automatically converted to integer as it is better for performance and will not cause any issue. Value contains time in days which is a integer value from business prespective. 
STAGING_TIME WRF_PSCD_MST DEC 3 0 Staging Time in Days</t>
  </si>
  <si>
    <t>PEDAGML-170</t>
  </si>
  <si>
    <t>SSS &amp; BWC parameter file - Field description discrepancy (Record Type)</t>
  </si>
  <si>
    <t xml:space="preserve">_thumb_240944.png </t>
  </si>
  <si>
    <t>Rel 1.1.06</t>
  </si>
  <si>
    <t>Wrong description found on 90% of the table for record_type field. 
Description of Field name Record Type in: 
HIVE - "(Only applicable for file with Header/Trailer)" 
Interface File Spec - "Record Type" 
*Kindly refer to the attachment on the part highlighted in yellow.</t>
  </si>
  <si>
    <t>field description has been modified as per specs.</t>
  </si>
  <si>
    <t>PEDAGML-169</t>
  </si>
  <si>
    <t>CEL (SG) - RI_TRE_T no data in database</t>
  </si>
  <si>
    <t xml:space="preserve">_thumb_240942.png </t>
  </si>
  <si>
    <t>No data in eda_cel_ri_tre_t_d01</t>
  </si>
  <si>
    <t>File availability issue.</t>
  </si>
  <si>
    <t>PEDAGML-168</t>
  </si>
  <si>
    <t>TAS data type mismatch (PA0002)</t>
  </si>
  <si>
    <t>Tablename: PA0002 
Data type mismatch with SAP to RDB 
Source Column 'ANZKD' (DECIMAL) and Target Column 'ANZKD' (INTEGER) do not match.</t>
  </si>
  <si>
    <t>Field ANZKD is decimal(3,0) which is actually an integer value. 
Further the number of children is from business point of view also an integer. This is how TDR handles the data types and it working correctly. 
ANZKD ANZKD DEC 3 0 Number of Children</t>
  </si>
  <si>
    <t>PEDAGML-167</t>
  </si>
  <si>
    <t>EPM - Field description discrepancy (MONTH)</t>
  </si>
  <si>
    <t xml:space="preserve">_thumb_240935.png _thumb_242528.png </t>
  </si>
  <si>
    <t>Wrong description found on the following 4 table (FCTYREXCR, FCTMTHEXCR ,FCTMTHFCT,FCTYRFCT) for Field Month 
Description of Field name MONTH in HIVE - Month in MMM YYYY 
Description of Field Name Month in Interface filespec - MMM YYYYY 
*Kindly refer to the attachment on the part highlighted in yellow.</t>
  </si>
  <si>
    <t>Interface spec modification &amp; reingestion</t>
  </si>
  <si>
    <t>PEDAGML-166</t>
  </si>
  <si>
    <t>TAS data type mismatch (MARM)</t>
  </si>
  <si>
    <t>Tablename: MARM 
data type mismatch with SAP database to RDB 
Source Column 'UMREZ' (DECIMAL) and Target Column 'UMREZ' (INTEGER), 
Source Column 'UMREN' (DECIMAL) and Target Column 'UMREN' (INTEGER), 
Source Column 'NEST_FTR' (DECIMAL) and Target Column 'NEST_FTR' (INTEGER), 
Source Column 'MAX_STACK' (DECIMAL) and Target Column 'MAX_STACK' (INTEGER) do not match.</t>
  </si>
  <si>
    <t>Correct however it are decimal 5,0 in the SAP database which are actually integers. SAP doesn't work with integers, however every decimal in SAP with 0 decinals is changed in integer. 
This doesn't cause issues and actually is better for performance.</t>
  </si>
  <si>
    <t>Not a Defect</t>
  </si>
  <si>
    <t>PEDAGML-165</t>
  </si>
  <si>
    <t>TAS data type mismatch (MAKT)</t>
  </si>
  <si>
    <t>Tablename: MAKT 
Data type mismatch with SAP database to RDB 
Source Column 'ANTLF' (DECIMAL) and Target Column 'ANTLF' (INTEGER) do not match.</t>
  </si>
  <si>
    <t>Issue is not existing</t>
  </si>
  <si>
    <t>PEDAGML-164</t>
  </si>
  <si>
    <t>BWC &amp; SSS parameter file - Duplicate site_id &amp; biz_dt and NULL field name (HIVE)</t>
  </si>
  <si>
    <t xml:space="preserve">_thumb_240841.png </t>
  </si>
  <si>
    <t>PEDAGML-159</t>
  </si>
  <si>
    <t>There are duplicate site_id and biz_dt for all tables in BWC &amp; SSS Parameter File. 
There are 2 blank field names with NULL datatype and NULL comment. 
What is # Partition Information field? This is not in the interface file spec. 
What is # col_name field? This is not in the interface file spec. 
Note* - This only happen when doing describe in HIVE, impala is ok.</t>
  </si>
  <si>
    <t>142, 163</t>
  </si>
  <si>
    <t>PEDAGML-163</t>
  </si>
  <si>
    <t>EPM, GCF, GRP - Duplicate site_id &amp; biz_dt and NULL field name (HIVE)</t>
  </si>
  <si>
    <t xml:space="preserve">_thumb_240837.png _thumb_240838.png </t>
  </si>
  <si>
    <t>There are duplicate site_id and biz_dt for all tables in EPM, GCF, GRP. 
There are 2 blank field names with NULL datatype and NULL comment. 
What is # Partition Information field? This is not in the interface file spec. 
What is # col_name field? This is not in the interface file spec. 
Note* - This only happen when doing describe in HIVE, impala is ok.</t>
  </si>
  <si>
    <t>PEDAGML-162</t>
  </si>
  <si>
    <t>BWC_SG, BWC_Parameter, SSS - Discrepancy between fieldname in interface file and HUE</t>
  </si>
  <si>
    <t>Field_Name</t>
  </si>
  <si>
    <t>Pending TD reply (fieldname)</t>
  </si>
  <si>
    <t xml:space="preserve">_thumb_240830.png _thumb_240831.png </t>
  </si>
  <si>
    <t>Field names that contain # in interface file are replaced by hx in HUE. For example, CFCIF# in interface file appears as cfcifhx in HUE.</t>
  </si>
  <si>
    <t>Design_Change</t>
  </si>
  <si>
    <t>Design is not as per end user. Design modified as per end user</t>
  </si>
  <si>
    <t>PEDAGML-161</t>
  </si>
  <si>
    <t>TAS: TVARVC table Record Count not match between SAP and RDB</t>
  </si>
  <si>
    <t xml:space="preserve">TVARVC record count is not matched between SAP and RBD: 
SAP.TVARVC - 3,016 
RBD.TVARVC - 3,130 
</t>
  </si>
  <si>
    <t>Issue is correct as written in our documentation we need to add all company codes via the SAP GUI in TVARVC, however we don't have the authorisation. To have TAS wokring correctly we had to add these company codes manually to the TVARVC table. 
There are two solutions; 
1) We get rights granted in SAP to add these values. 
2) We remove the filter logic from a couple of tables. 
So it is correct to see a difference, however this done intentialy to get TAS working properly.</t>
  </si>
  <si>
    <t>PEDAGML-160</t>
  </si>
  <si>
    <t>TAS data type mismatch (KAKO)</t>
  </si>
  <si>
    <t>Tablename: KAKO 
Data type mismatch with SAP database to RDB for the below columns. 
Source Column 'AZMAX' (DECIMAL) and Target Column 'AZMAX' (INTEGER), 
Source Column 'AZNOR' (DECIMAL) and Target Column 'AZNOR' (INTEGER), 
Source Column 'BASNE' (DECIMAL) and Target Column 'BASNE' (INTEGER), 
Source Column 'BASZL' (DECIMAL) and Target Column 'BASZL' (INTEGER), 
Source Column 'REFAN' (DECIMAL) and Target Column 'REFAN' (INTEGER), 
Source Column 'REFAZ' (DECIMAL) and Target Column 'REFAZ' (INTEGER) do not match.</t>
  </si>
  <si>
    <t>AZMAX, AZNOR, REFAZ, REFAN are actually integer in SAP meta data in the underlying table SAP can store is as a decimal with 0 figures behind the decimal, see below overview. 
BASNE and BASL are decimal 5,0 and are equivalent to Integer as automatically converted by the TDR tool. This works as designed and doesn't cause issues. Datatype will also not change in SAP so no issue for fututre upgrades etc. 
AZMAX KAPANZAHL INT2 5 0 Number of individual capacities 
AZNOR KAPANZAHL INT2 5 0 Number of individual capacities 
BASNE KAPBASNEN DEC 5 0 Denominator of the base capacity 
BASZL KAPBASZHL DEC 5 0 Numerator for base capacity 
REFAN KAPREFANZN INT1 3 0 Denominator relationship: No. of indiv. capacities reference 
REFAZ KAPREFANZZ INT1 3 0 Numerator relationships: No. of indiv. capacities reference</t>
  </si>
  <si>
    <t>CFR - Duplicate site_id &amp; biz_dt and NULL field name</t>
  </si>
  <si>
    <t xml:space="preserve">_thumb_240775.png </t>
  </si>
  <si>
    <t>There are duplicate site_id and biz_dt for all tables in CFR. 
There are 2 blank field names with NULL datatype and NULL comment. 
What is # Partition Information field? This is not in the interface file spec. 
What is # col_name field? This is not in the interface file spec.</t>
  </si>
  <si>
    <t>PEDAGML-158</t>
  </si>
  <si>
    <t>Browser Issue - Inconsistency in exporting results using Google Chrome</t>
  </si>
  <si>
    <t xml:space="preserve">_thumb_240911.png _thumb_240912.png </t>
  </si>
  <si>
    <t>Unable to export result as certain file name using Google Chrome.</t>
  </si>
  <si>
    <t>Client_Setup</t>
  </si>
  <si>
    <t>All Systems - Timestamp datatype discrepancy between Interface File Spec and Database</t>
  </si>
  <si>
    <t xml:space="preserve">_thumb_240902.png </t>
  </si>
  <si>
    <t>For example, RIENRVDA in RI_REX_T is a Alphanumeric datatype in Interface File Spec but is a Timestamp datatype in database.</t>
  </si>
  <si>
    <t>PEDAGML-156</t>
  </si>
  <si>
    <t>TAS Table (DD03LT) not existing in SAP database and RDB</t>
  </si>
  <si>
    <t>Table : DD03LT 
is not existing in SAP database (SAPSR3) and RDB (S01_TAS_RPL_U30)</t>
  </si>
  <si>
    <t xml:space="preserve">typo in table name table DD03LT is not existing. Should be either DD03L or DD03T 
</t>
  </si>
  <si>
    <t>PEDAGML-155</t>
  </si>
  <si>
    <t>All Systems - field names with "spaces" in Interface File Specs will result in "_" in database</t>
  </si>
  <si>
    <t>FS Addendum</t>
  </si>
  <si>
    <t>Pending FS</t>
  </si>
  <si>
    <t xml:space="preserve">_thumb_240739.png _thumb_243716.png </t>
  </si>
  <si>
    <t xml:space="preserve">Field names are different from interface file spec. For example source_system_code (database) compared to Source System Code (interface file spec) Should the interface file spec reflects the "_"? 
</t>
  </si>
  <si>
    <t>Func_Spec</t>
  </si>
  <si>
    <t>PEDAGML-154</t>
  </si>
  <si>
    <t>TAS Table (DD02LT) not existing in SAP database and RDB</t>
  </si>
  <si>
    <t>Table name: DD02LT 
is not existing in SAP database(SAPSR3) and Replication database (S01_TAS_RPL_U30).</t>
  </si>
  <si>
    <t>typo in the name probably it is either table DD02L or DD02T 
Counts of POOL tables is explained</t>
  </si>
  <si>
    <t>PEDAGML-153</t>
  </si>
  <si>
    <t>All System - Duplicate site_id &amp; biz_dt and NULL field name (in HIVE only)</t>
  </si>
  <si>
    <t xml:space="preserve">_thumb_240887.png _thumb_240888.png </t>
  </si>
  <si>
    <t>There are duplicate site_id and biz_dt for all tables in all systems in HIVE. 
There are 2 blank field names with NULL datatype and NULL comment. 
What is # Partition Information field? This is not in the interface file spec. 
What is # col_name field? This is not in the interface file spec.</t>
  </si>
  <si>
    <t>PEDAGML-152</t>
  </si>
  <si>
    <t>All systems - No file uploaded in Impala database for UAT batch 1</t>
  </si>
  <si>
    <t>Impala</t>
  </si>
  <si>
    <t xml:space="preserve">_thumb_240632.png _thumb_248164.png _thumb_241688.png _thumb_245130.png </t>
  </si>
  <si>
    <t>Technical_Limitation_Hive</t>
  </si>
  <si>
    <t>Metadata refresh was automated, earlier it was manual.</t>
  </si>
  <si>
    <t>DL_Source File CFCONN is not available for CN-Shift in shift out</t>
  </si>
  <si>
    <t>CFCONN File is not available for CN. So ingestion got failed</t>
  </si>
  <si>
    <t>CFCONN file was modified by source to carter the shift-in shift-out.</t>
  </si>
  <si>
    <t>PEDAGML-262, PEDAGML-174, PEDAGML-330, PEDAGML-269</t>
  </si>
  <si>
    <t xml:space="preserve">BWC - Regional GB: 
CFDOCT : null is displayed when 99999999 is DEXPDT &amp; DEXPD7 
CFENTM : CFELTM &amp; CFEAMT should display HHMMSS format , while value is 0 hive is displaying as 1900-01-01 00:00:00 
</t>
  </si>
  <si>
    <t xml:space="preserve">■Default Date value: 
999999 -&gt; 31-12-9999 00:00:00 
000000 -&gt; 01-01-1901 00:00:00 
■Default Time value 
999999 -&gt; String as per source 
000000 -&gt; String as per source 
</t>
  </si>
  <si>
    <t>PEDAGML-149</t>
  </si>
  <si>
    <t>DL_SSS_source file data is not in sync with target for the columns GADOE6, GADOS6</t>
  </si>
  <si>
    <t xml:space="preserve">_thumb_243480.png </t>
  </si>
  <si>
    <t>Data Mismatch</t>
  </si>
  <si>
    <t>For MY, HK, TH &amp; SG the source file data is not in sync with target for the columns GADOE6, GADOS6 
e.g :in source 
Acct No : 100107 
GADOE6 : 00050896 
GADOS6 : 00050896 
Actual result : in target it is showing as NULL 
Expected result : it should have data as per source</t>
  </si>
  <si>
    <t>Executed using wrong procees id</t>
  </si>
  <si>
    <t>Singapore, Malaysia, Thailand, Hong Kong</t>
  </si>
  <si>
    <t>PEDAGML-148</t>
  </si>
  <si>
    <t>DL_BWC_SG_PARAM: CFSICC - doesn't handle the foreign characters properly , so causing source target mismatch</t>
  </si>
  <si>
    <t xml:space="preserve">_thumb_240612.png _thumb_240613.png </t>
  </si>
  <si>
    <t>Char Set issue</t>
  </si>
  <si>
    <t>DL_BWC_SG_PARAM: CFSICC - doesn't handle the foreign characters properly , so causing source target mismatch 
Attached the source &amp; target files</t>
  </si>
  <si>
    <t>PEDAGML-147</t>
  </si>
  <si>
    <t>DL_BWC_SG_Master: cfldt7,cfldt6 columns in the file CFZBSC are not populating as per interspec.</t>
  </si>
  <si>
    <t>BWC_SG_Master coding issue.</t>
  </si>
  <si>
    <t>Columns cfldt6,cfldt7 in the file CFZBSC are not populated as per interspec, please find the attached document for more details.</t>
  </si>
  <si>
    <t>Code issue</t>
  </si>
  <si>
    <t>PEDAGML-146</t>
  </si>
  <si>
    <t>CFEMD6 , CFEMD7 ARE NOT sequence in BWC Regional and CFLDT6,CFLDT7 in Sg master</t>
  </si>
  <si>
    <t xml:space="preserve">In BWC regional file CFCONN, fields CFEMD6 and CFEMD7 ARE NOT sequence as per the interface spec and for the columns(CFLDT6,CFLDT7) in the file CFZBSC in SG Master. 
</t>
  </si>
  <si>
    <t>Sequence is corrected now in BWC Regional for CFLDT6 &amp; CFLDT7 in SG Master</t>
  </si>
  <si>
    <t>PEDAGML-145</t>
  </si>
  <si>
    <t>TAS - data type mismatch</t>
  </si>
  <si>
    <t>DL, TAS</t>
  </si>
  <si>
    <t>Data type mismatch in source (SAP, Oracle) to Target (RDB) 
Source Tablename: SAPSR3.CRHD 
Source Column :'LOANZ' NUMBER(3,0) 
Target Tablename: S01_TAS_RPL_U30.CRHD 
Target Column :'LOANZ' (SMALLINT)</t>
  </si>
  <si>
    <t>Data type issue</t>
  </si>
  <si>
    <t>PEDAGML-144</t>
  </si>
  <si>
    <t>DL_CEL_Registration : Column has decimal as -1, which is not matching with InterfaceSpec file</t>
  </si>
  <si>
    <t xml:space="preserve">CEL 
File Name : FIRGRP 
Defect Reason : Column_Name: FIGRPCD has decimal precision -1 in metadata table, which is not matching with Interspecfile where the decimal precision is 0. 
</t>
  </si>
  <si>
    <t>Code change</t>
  </si>
  <si>
    <t>PEDAGML-143</t>
  </si>
  <si>
    <t>DL_GCF_Ingestion Failed (Svr unavailable)</t>
  </si>
  <si>
    <t>DL- GCF-Ingestion</t>
  </si>
  <si>
    <t xml:space="preserve">We are encountering the permission issues for GCF ingestion. 
Getting the below message 
“STDOUT:[ICMD_10033] Command [RunMapping] failed with error [[MPSVCCMN_10099] The user does not have permissions [[READ]] to perform the operation on object [m_ing_FF_T1]. Contact the Informatica administrator for the permissions.]. 
</t>
  </si>
  <si>
    <t>Env_Sev_unavail</t>
  </si>
  <si>
    <t>PEDAGML-142</t>
  </si>
  <si>
    <t>All Systems - Additional Column 'proc_instance_id' &amp; 'biz_dt'</t>
  </si>
  <si>
    <t>1. Why is the word 'instance' being added into process id which is not following the FS? 
2. Why is business date created as (string) instead of timestamp?</t>
  </si>
  <si>
    <t>Clarification, FS_Update</t>
  </si>
  <si>
    <t>Functional spec udpated</t>
  </si>
  <si>
    <t>PEDAGML-141</t>
  </si>
  <si>
    <t>DL_EPM_PK violation for eda_epm_fctmthexcr_m01</t>
  </si>
  <si>
    <t>For eda_epm_fctmthexcr_m01 table we can see the duplicate data. Please refer the attachment</t>
  </si>
  <si>
    <t>Spec updated</t>
  </si>
  <si>
    <t>PEDAGML-140</t>
  </si>
  <si>
    <t>DL_EPM_Null values are there for mandatory field</t>
  </si>
  <si>
    <t>DL_Null issue</t>
  </si>
  <si>
    <t xml:space="preserve">Still we can find the null values for 
eda_epm_epmexrbgt_a01 table - bgtyr column 
eda_epm_fctyrfct_a01 table - org_unit_id &amp; ORG_UNIT_ID ,BALANCE_TYPE , 
MONTH ,CLASSIFICATION ,CURRENCY,value 
</t>
  </si>
  <si>
    <t xml:space="preserve">BGTYR column was not in the inbound file which we were using to make the EDAG file, so did not populate initially, this was discussed in initial stages that this will be NULL 
Now to make all budget files consistent populated the BGTYR now using Business date 
</t>
  </si>
  <si>
    <t>PEDAGML-139</t>
  </si>
  <si>
    <t>DL_Deployment Permission Issue</t>
  </si>
  <si>
    <t>Permission</t>
  </si>
  <si>
    <t xml:space="preserve">_thumb_240328.png </t>
  </si>
  <si>
    <t>Hive table creation has failed as it could not create token from the script. The execution is restarted by manually creating the token (screenshot attached).</t>
  </si>
  <si>
    <t>keytab is not copied into correct directory. 
It need to be copied in 
/prodlib/EDA/dl/config/ directory. 
Script is working as designed. 
I will update deployment document</t>
  </si>
  <si>
    <t>PEDAGML-138</t>
  </si>
  <si>
    <t>TAS: CORE_BALANCE_SHEET Data Reconciliation Issue YTD and MTD Posting Amount on Period 01</t>
  </si>
  <si>
    <t xml:space="preserve">In CORE_BALANCE_SHEET table, LC_POSTED_BALANCE_AMOUNT is considered as Month-To-Date (MTD) posting amount and LC_BALANCE_SHEET_VALUE as Year-To-Date(YTD) Posting Amount. 
In that case, assumption is that for period 01 (first month of the fiscal year), MTD and YTD values are supposed to be same but found there are 6011 cases where LC_POSTED_BALANCE_AMOUNT and LC_BALANCE_SHEET_VALUE not matched for period 01. Attached excel has detail records. Please check and confirm. 
</t>
  </si>
  <si>
    <t>I don't think this is an issue as the posted value and balance ore two different entities. It can happen that in one month nothing is posted on a GL account but there is still a balance on the GL account. Also balances shouldn't be 0 at the start of the year. 
So it is not an issue from my point of view or the issue is not correctly formulized. Maybe if you don't agree we can setup a meeting.</t>
  </si>
  <si>
    <t>PEDAGML-137</t>
  </si>
  <si>
    <t>TAS: Missing Document ID "5105667974" in TAS CORE CORE_FINANCIAL_GL_ITEM</t>
  </si>
  <si>
    <t>Document ID 5105667974 is not found in TAS CORE table CORE_FINANCIAL_GL_ITEM whereas there are three records with same doc id in Replication table FAGLFLEXA. 
Attached screenshot for analysis. 
Please clarify.</t>
  </si>
  <si>
    <t>PEDAGML-136</t>
  </si>
  <si>
    <t>TAS: Tech Recon Cannot be done</t>
  </si>
  <si>
    <t>TAS Replication - Tech Recon tables are found no record loaded after batch run process. 
Please provide the date that Tech Recon can be tested in SIT environment.</t>
  </si>
  <si>
    <t>PEDAGML-135</t>
  </si>
  <si>
    <t>DL_Ingestion : Failed for all countries</t>
  </si>
  <si>
    <t>Svr_unavailable</t>
  </si>
  <si>
    <t>All the ingestion are failing with below message - 
"STDOUT:[ICMD_10033] Command [RunMapping] failed with error [[LDTMEXP_0023] Synchronization for source transformation [Write_T1_1_Hive] failed.]. 
;" 
This is a show stopper issue , needs to addressed asap.</t>
  </si>
  <si>
    <t>Patch applied in Edge node for DIS services and restarted the Informatica server.</t>
  </si>
  <si>
    <t>PEDAGML-134</t>
  </si>
  <si>
    <t>TAS: GL Balance Record Count not matched between Replication S01_TAS_RPL_U30.FAGLFLEXT and TAS Core table S01_TAS_COR.CORE_BALANCE_SHEET</t>
  </si>
  <si>
    <t>Per TAS framework design, one record from Replication table FAGLFLEXT is loaded to 16 records in TAS core S01_TAS_COR.CORE_BALANCE_SHEET. 
Record count test scenario is built based on above assumption but record counts are not matched.</t>
  </si>
  <si>
    <t>PEDAGML-133</t>
  </si>
  <si>
    <t>TAS: FAGLFLEXT Recon issue between SAP and RPL tables</t>
  </si>
  <si>
    <t>There are four records found in RPL table S01_TAS_RPL_U30.FAGLFLEXT with timestamp "20170127042230" but there are only two records in SAP database. 
It does not match after replication schedule runs. 
Four records can be found in attached file.</t>
  </si>
  <si>
    <t>PEDAGML-132</t>
  </si>
  <si>
    <t>TAS: Document Number 1000203385 amount is not matched between replication table and core table (initial process)</t>
  </si>
  <si>
    <t>Document Number 1000203385 LOCAL_CURRENCY_VALUE is not matched between replication table S01_TAS_RPL_U30.FAGLFLEXA and core table S01_TAS_COR.CORE_FINANCIAL_GL_ITEM; 
FAGLFLEXA.HSL = -5.18 
CORE_FINANCIAL_GL_ITEM.LOCAL_CURRENCY_VALUE = -0.01 
to check for both debit and credit records.</t>
  </si>
  <si>
    <t>Cannot produce the error.</t>
  </si>
  <si>
    <t>PEDAGML-131</t>
  </si>
  <si>
    <t>TAS: Posting amount not match between replication and core tables (Initial process)</t>
  </si>
  <si>
    <t xml:space="preserve">Core table - CORE_FINANCIAL_GL_ITEM.LOCAL_CURRENCY_VALUE is found difference with source replication table for all posting amounts. This probably might be due to currency internal conversion. Per our analysis, posting amount with currency code 'KRW', 'TWD', 'JPY', 'IDR','VND','XPF','CLP' are multiplied by 100 and those of currency code 'IQD', 'BHD', 'JOD', 'KWD','OMR' are divided by 10 when loading to TAS CORE table. 
Please provide logic and transformation rules for above posting amount differences. 
</t>
  </si>
  <si>
    <t>Analysis</t>
  </si>
  <si>
    <t>PEDAGML-130</t>
  </si>
  <si>
    <t>TAS: Records reconciliation not match between Replication tables and Core tables (Initial Process)</t>
  </si>
  <si>
    <t>There are total of 3071 records filtered out while loading from replication table S01_TAS_RPL_U30.FAGLFLEXA to Core table S01_TAS_COR.CORE_FINANCIAL_GL_ITEM. 
Per analysis, only records with condition FAGLFLEXA.RLDNR='U0' are loaded to CORE table and RLDNR='U1' 3071 records are filtered out; 
Please clarify loading logic.</t>
  </si>
  <si>
    <t>To use transaction currency than local currency.</t>
  </si>
  <si>
    <t>PEDAGML-129</t>
  </si>
  <si>
    <t>DL_BWC_SSS_HK : Null values are there in hive table</t>
  </si>
  <si>
    <t>Data mismatch</t>
  </si>
  <si>
    <t xml:space="preserve">for the table : JHTYPE : JHEDT7, JHCTME,JHMDT8,JHMDT7,JHMTME are null in hive 
JHRATE : JRB4RT, JRCRAT,JRPRAT are null in hive 
</t>
  </si>
  <si>
    <t>The individual file spec for SSS was updated as implicit decimal but data comes as explicit. So, EDAG udpated the spec and shared with TD for re-registration.</t>
  </si>
  <si>
    <t>PEDAGML-128</t>
  </si>
  <si>
    <t>DL_BWC_SSS: JHRATE does not have correct data as per source</t>
  </si>
  <si>
    <t>data mismatch issue</t>
  </si>
  <si>
    <t>JHRATE table does not have exact data as per source table.</t>
  </si>
  <si>
    <t>PEDAGML-127</t>
  </si>
  <si>
    <t>DL_BWC_SSS:data length mismatch as per spec</t>
  </si>
  <si>
    <t>data length issue</t>
  </si>
  <si>
    <t>JHFXRT : JFHBRT, JFHHRT, JFGMRT, JFHART, JFHORT, JFHRT6,JFHRT7, JFHRT8 ARE NOT DISPLAYING AS PER SOURCE FILE 
SOURECE DATA LENGTH (13,7) 
ACUTAL : NO DECIMAL POINTS ARE THERE 
EXPECTED : DECIMAL POINTS 
jhrate : jrcrat, jrb4rt, jrrbrt also having above similar issue</t>
  </si>
  <si>
    <t>PEDAGML-126</t>
  </si>
  <si>
    <t>DL_BWC_SSS: Source data type is not as per Specs</t>
  </si>
  <si>
    <t>Source data type issue</t>
  </si>
  <si>
    <t>in the table FEDRAWE :DRGLACNO, DRAGADANT ( source data type is numeric as per spec but actually it is Alphanumeric in flatfile)</t>
  </si>
  <si>
    <t>Change in interface specification</t>
  </si>
  <si>
    <t>PEDAGML-125</t>
  </si>
  <si>
    <t>DL_BWC_HK : Data bewteen the source file &amp; HIVE are not matching</t>
  </si>
  <si>
    <t>PEDAGML-124</t>
  </si>
  <si>
    <t>Data Mismatch issue</t>
  </si>
  <si>
    <t>For HK : CFZCTI table the data between the source &amp; Hive table data are not matching</t>
  </si>
  <si>
    <t>DL_BWC_MY : Data bewteen the source file &amp; HIVE are not matching</t>
  </si>
  <si>
    <t>For MY : CFZCT1 table the data between the source &amp; Hive table data are not matching</t>
  </si>
  <si>
    <t>PEDAGML-123</t>
  </si>
  <si>
    <t>DL_BWC_HK_Param: Ingestion failed for 3 files (Informatica issue)</t>
  </si>
  <si>
    <t>DL_Ingestion_HK_Param</t>
  </si>
  <si>
    <t xml:space="preserve">Ingestion failed for below tables : 
CFZPNC 
CFZPJD 
CFPAR3 
Error message : 
"STDOUT:[MSCMD_10023] Job with ID [lnzaS-U5EeaEu2X34EpF_w] submitted to the Integration Service [DIS_EDA_SIT]. 
[ICMD_10033] Command [RunMapping] failed with error [[CORE_0003] An internal exception occurred with message: java.util.concurrent.ExecutionException: java.lang.RuntimeException]. 
;" 
</t>
  </si>
  <si>
    <t>Unable_to_simulate</t>
  </si>
  <si>
    <t>PEDAGML-122</t>
  </si>
  <si>
    <t>DL_SSS_SG: Ingestion failed for JHAPAR (Informatica issue)</t>
  </si>
  <si>
    <t>DL_Ingestion issue for SSS-SG</t>
  </si>
  <si>
    <t xml:space="preserve">This issue happened in Cycle2 ingestion for SSS- SG 
File : JHAPAR 
Message : 
"STDOUT:[ICMD_10033] Command [RunMapping] failed with error [[MSCMD_10004] Failed to look up MappingService [DIS_EDA_SIT]: [[JSF_0058] The master gateway node for the domain is not available. Electing another master gateway. Wait for the election of the master gateway node to complete. If the problem persists, verify that the master gateway node is running.].]. 
;" 
</t>
  </si>
  <si>
    <t>PEDAGML-121</t>
  </si>
  <si>
    <t>DL_BWC_Parameter (BWC, SSS) discrepancies between the spec and the data in file</t>
  </si>
  <si>
    <t>Data Validation issue</t>
  </si>
  <si>
    <t xml:space="preserve">For following columns in the below tables we can see the Null values 
‘CFCIF#’ in ‘CFZPCN’ 
GAGACT in FEGAPRM 
CONACC &amp; DEFPRD in GLACCT 
GLACCT in GLGREF 
</t>
  </si>
  <si>
    <t>Common Uility program for Paramter files for max 18 length for Packed and Numric. When we convert 19 Length Packed and Numeric missed last digits. 
Fixed on 26/01/2017 and Ready for testing.</t>
  </si>
  <si>
    <t>PEDAGML-120</t>
  </si>
  <si>
    <t>TAS Informatica job running failed for initial load run in SIT</t>
  </si>
  <si>
    <t>DL-TAS SIT Initial Run</t>
  </si>
  <si>
    <t>When running data load from Replication database to TAS CORE, informatica job failed for two times. It need manual fixes to continue the job run. 
This is to look for permanent fix and to have a smooth run in next run.</t>
  </si>
  <si>
    <t>Issue fixed and tested by TD Laurent Goudin</t>
  </si>
  <si>
    <t>PEDAGML-119</t>
  </si>
  <si>
    <t>DL_BWC_File Permission Issue on CD Transfer for Singapore</t>
  </si>
  <si>
    <t>File Permission issue</t>
  </si>
  <si>
    <t>While we are trying to give the permission (760) to the folder level , we are encountering the privilege issue. 
Needs to be addressed at the before cycle 2</t>
  </si>
  <si>
    <t>Access level changed to 770</t>
  </si>
  <si>
    <t>PEDAGML-118</t>
  </si>
  <si>
    <t>DL_BWC_SG_File_Ingestion_Issue with incorrect file set (CN)</t>
  </si>
  <si>
    <t>Error_msg</t>
  </si>
  <si>
    <t>SIT2, Tracking Defect</t>
  </si>
  <si>
    <t>DL_File Ingestion Issue</t>
  </si>
  <si>
    <t>Steps to Reproduce : 
When we are ingesting CN files for BWC_SG , we are not getting the proper message , needs appropriate message to be displayed for this issue</t>
  </si>
  <si>
    <t>Error_Log</t>
  </si>
  <si>
    <t>Message corrected to have right country</t>
  </si>
  <si>
    <t>DL_GCF_GD_Data Validation : Unwanted Null rows are inserted in Target (Multi charset file)</t>
  </si>
  <si>
    <t>PEDAGML-100, PEDAGML-183</t>
  </si>
  <si>
    <t xml:space="preserve">DL_GCF_GD_Data validation issue 
</t>
  </si>
  <si>
    <t xml:space="preserve">Steps to Reproduce : 
In S01_GCF.eda_gcf_gsreclmm_d01 table there are 6 row inserted will null 
Instance ID : a8ac1189-b79e-43bb-a9fc-bf672f2d471d 
Proc_ts : 2017-01-25 18:47:37.282249 
select * from S01_GCF.eda_gcf_gsreclmm_d01 
where glmscf = '3100119547' 
Expected result : there shouldn't be any null rows in target table 
</t>
  </si>
  <si>
    <t>Null of the columns where they are special characters</t>
  </si>
  <si>
    <t>PEDAGML-116</t>
  </si>
  <si>
    <t>DL_BWC_Regional:Data Validation Issue : - Interface spec has incorrect start &amp; end position for CFCIF# column of CFZEDU table</t>
  </si>
  <si>
    <t>Interface Documentation Issue</t>
  </si>
  <si>
    <t>In the BWC interface file specification , for the CFDEDU table CFCIF# column has Concerted length = 21 
where as converted start position = 1 &amp; converted end position =1 
which needs to be rectified</t>
  </si>
  <si>
    <t xml:space="preserve">For the file CFDEDU, CFCIF# column has Converted length = 21, where as converted start position = 1 &amp; converted end position =1. 
So EDAG updated the end posotion and shared with TD for re-registration. 
</t>
  </si>
  <si>
    <t>PEDAGML-115</t>
  </si>
  <si>
    <t>DL_BWC_Parameter_Regional_TW_Data_Validation : Null values are inserted for valid source data</t>
  </si>
  <si>
    <t>DL_BWC_Parameter_TW_Data validation issue</t>
  </si>
  <si>
    <t xml:space="preserve">Steps to reproduce : 
Following columns have null values: 
CFACCT : cfadlm, cfadl6, cfucd7,cfucd6 
CFACCX : cxxmn6,cxxmn7,cxxtim,cxsnt6,cxsnt7,cxsime 
CFADDR: cfadlm,cfadl6 
CFAGRP: cfopn6,cfuld6,cfucl6,cfcmd6,cfagd6,cfagd7,cfopn7,cfuld7,cfucl7,cfuri7,cfcmd7,cfgtim 
AFADIN: : cfissd,cfiss6,cfamd6,cfamd7,cfacd7,cfacd6,cfatim,cfxpd6,cfxpd7 
CFALIA: cfasd7,cfasd6,cfacd7,cfacd6,cfatim 
CFBLST: cbcld6,cbcld7,cbstr6,cbstr7,cbend6,cbend7,cbexp6,cbexp7,cbcod6,cbcod7,cbrec6,cbrec7,cbent6,cbent7,cbamd6,cbamd7,cbdsd6,cbdsd7 
CFBSCE: cfcdt8,cfldt8,cfldt7 
CFCONN: cfemd7,cfemd6,cfncd7,cfncd6 
CFENTM: cfecd7,cfecd6,cfectm,cfeam7,cfeam6,cfeld7,cfeld6 
CFENTR: cferc7,cferc6,cferct 
CFMAST : cfbird ,cfbir6 ,cfmard ,cfmar6 ,cfwhdt ,cfwhd6 ,cforgd ,cforg6 ,cfissd ,cfiss6 ,cfdlm ,cfdlm6 ,cfdcd7 ,cfdcd6 ,cfxpd6 ,cfxpd7 ,cfrvw6 ,cfrvw7 ,cfortm 
CFMASX : cfxpdt8,cfxpdt7,cfxmdt8,cfxmdt7,cfxmtme,cfxcdt8,cfxcdt7,cfxctme 
CFOFFL: cfost7,cfoen7,cfost6,cfoen6,cfmod6,cfmod7 
CFZVLR : cbcrd6,cbcrd7,cbpld6,cbpld7, 
CFZBSC : cfcdt6,cfcdt7,cfldt7,cfldt6, 
CFZCLA : cfzcd6,cfzcd7,cfzod6,cfzod7,cfzdd6,cfzdd7,cfacd6,cfacd7 
CFZCTI : cfmct6,cfmct7,cfcmtm,cficd7,cficd6,cfitim 
CFZEMH : cfhmd6,cfhmd7 
CFZMAS : cfzeb7,cfzeb6,cfzfa7,cfzfa6,cfzlc7,cfzlc6,cfzri7,cfzri6,cfled6,cfled7 
</t>
  </si>
  <si>
    <t>Date format in spec was not prefixed with '00'. DUe to this the data was interpreted incorrectly. EDAG updated the spec and shared with TD for re-registration.</t>
  </si>
  <si>
    <t>PEDAGML-114</t>
  </si>
  <si>
    <t>DL_BWC_Parameter_Regional_TH_Data_Validation : Null values are inserted for valid source data</t>
  </si>
  <si>
    <t>DL_BWC_Parameter_TH_Data validation issue</t>
  </si>
  <si>
    <t xml:space="preserve">Steps to reproduce : 
Following columns have null values: 
CFACCT : cfadlm, cfadl6, cfucd7,cfucd6 
CFACCX : cxxmn6,cxxmn7,cxxtim,cxsnt6,cxsnt7,cxsime 
CFADDR: cfadlm,cfadl6 
CFAGRP: cfopn6,cfuld6,cfucl6,cfcmd6,cfagd6,cfagd7,cfopn7,cfuld7,cfucl7,cfuri7,cfcmd7,cfgtim 
AFADIN: : cfissd,cfiss6,cfamd6,cfamd7,cfacd7,cfacd6,cfatim,cfxpd6,cfxpd7 
CFALIA: cfasd7,cfasd6,cfacd7,cfacd6,cfatim 
CFBLST: cbcld6,cbcld7,cbstr6,cbstr7,cbend6,cbend7,cbexp6,cbexp7,cbcod6,cbcod7,cbrec6,cbrec7,cbent6,cbent7,cbamd6,cbamd7,cbdsd6,cbdsd7 
CFBSCE: cfcdt8,cfldt8,cfldt7 
CFCONN: cfemd7,cfemd6,cfncd7,cfncd6 
CFENTM: cfecd7,cfecd6,cfectm,cfeam7,cfeam6,cfeld7,cfeld6 
CFENTR: cferc7,cferc6,cferct 
CFMAST : cfbird ,cfbir6 ,cfmard ,cfmar6 ,cfwhdt ,cfwhd6 ,cforgd ,cforg6 ,cfissd ,cfiss6 ,cfdlm ,cfdlm6 ,cfdcd7 ,cfdcd6 ,cfxpd6 ,cfxpd7 ,cfrvw6 ,cfrvw7 ,cfortm 
CFMASX : cfxpdt8,cfxpdt7,cfxmdt8,cfxmdt7,cfxmtme,cfxcdt8,cfxcdt7,cfxctme 
CFOFFL: cfost7,cfoen7,cfost6,cfoen6,cfmod6,cfmod7 
CFZVLR : cbcrd6,cbcrd7,cbpld6,cbpld7, 
CFZBSC : cfcdt6,cfcdt7,cfldt7,cfldt6, 
CFZCLA : cfzcd6,cfzcd7,cfzod6,cfzod7,cfzdd6,cfzdd7,cfacd6,cfacd7 
CFZCTI : cfmct6,cfmct7,cfcmtm,cficd7,cficd6,cfitim 
CFZEMH : cfhmd6,cfhmd7 
CFZMAS : cfzeb7,cfzeb6,cfzfa7,cfzfa6,cfzlc7,cfzlc6,cfzri7,cfzri6,cfled6,cfled7 
</t>
  </si>
  <si>
    <t>Date format in spec was not prefixed with '00'. Due to this the data was interpreted incorrectly. EDAG updated the spec and shared with TD for re-registration.</t>
  </si>
  <si>
    <t>PEDAGML-113</t>
  </si>
  <si>
    <t>DL_BWC_Parameter_Regional_MY_Data_Validation : Null values are inserted for valid source data</t>
  </si>
  <si>
    <t>DL_BWC_Parameter_MY_Data validation issue</t>
  </si>
  <si>
    <t>File Spec wrong length wrong</t>
  </si>
  <si>
    <t>PEDAGML-112</t>
  </si>
  <si>
    <t>DL_BWC_Parameter_Regional_HK_Data_Validation : Null values are inserted for valid source data</t>
  </si>
  <si>
    <t>DL_BWC_Parameter_HK_Data validation issue</t>
  </si>
  <si>
    <t>PEDAGML-111</t>
  </si>
  <si>
    <t>DL_BWC_Parameter_Regional_GB_Data_Validation : Null values are inserted for valid source data</t>
  </si>
  <si>
    <t>PEDAGML-110</t>
  </si>
  <si>
    <t>DL_BWC_Parameter_GB_Data validation issue</t>
  </si>
  <si>
    <t>Change in file description</t>
  </si>
  <si>
    <t>DL_BWC_Parameter_Regional_CN_Data_Validation : Null values are inserted for valid source data</t>
  </si>
  <si>
    <t>DL_BWC_Parameter_CN_Data validation issue</t>
  </si>
  <si>
    <t xml:space="preserve">Steps to reproduce : 
Following columns have null values: 
CFACCT : cfadlm, cfadl6, cfucd7,cfucd6 
CFACCX : cxxmn6,cxxmn7,cxxtim,cxsnt6,cxsnt7,cxsime 
CFADDR: cfadlm,cfadl6 
CFAGRP: cfopn6,cfuld6,cfucl6,cfcmd6,cfagd6,cfagd7,cfopn7,cfuld7,cfucl7,cfuri7,cfcmd7,cfgtim 
AFADIN: : cfissd,cfiss6,cfamd6,cfamd7,cfacd7,cfacd6,cfatim,cfxpd6,cfxpd7 
CFALIA: cfasd7,cfasd6,cfacd7,cfacd6,cfatim 
CFBLST: cbcld6,cbcld7,cbstr6,cbstr7,cbend6,cbend7,cbexp6,cbexp7,cbcod6,cbcod7,cbrec6,cbrec7,cbent6,cbent7,cbamd6,cbamd7,cbdsd6,cbdsd7 
CFBSCE: cfcdt8,cfldt8,cfldt7 
CFCONN: cfemd7,cfemd6,cfncd7,cfncd6 
CFENTM: cfecd7,cfecd6,cfectm,cfeam7,cfeam6,cfeld7,cfeld6 
CFENTR: cferc7,cferc6,cferct 
CFMAST : cfbird ,cfbir6 ,cfmard ,cfmar6 ,cfwhdt ,cfwhd6 ,cforgd ,cforg6 ,cfissd ,cfiss6 ,cfdlm ,cfdlm6 ,cfdcd7 ,cfdcd6 ,cfxpd6 ,cfxpd7 ,cfrvw6 ,cfrvw7 ,cfortm 
CFMASX : cfxpdt8,cfxpdt7,cfxmdt8,cfxmdt7,cfxmtme,cfxcdt8,cfxcdt7,cfxctme 
CFOFFL: cfost7,cfoen7,cfost6,cfoen6,cfmod6,cfmod7 
CFZVLR : cbcrd6,cbcrd7,cbpld6,cbpld7, 
CFZBSC : cfcdt6,cfcdt7,cfldt7,cfldt6, 
CFZCLA : cfzcd6,cfzcd7,cfzod6,cfzod7,cfzdd6,cfzdd7,cfacd6,cfacd7 
CFZCTI : cfmct6,cfmct7,cfcmtm,cficd7,cficd6,cfitim 
CFZEMH : cfhmd6,cfhmd7 
CFZMAS : cfzeb7,cfzeb6,cfzfa7,cfzfa6,cfzlc7,cfzlc6,cfzri7,cfzri6,cfled6,cfled7 
</t>
  </si>
  <si>
    <t>PEDAGML-109</t>
  </si>
  <si>
    <t>DL_BWC-Parameter_SG:Ingestion failed for CFSICC</t>
  </si>
  <si>
    <t>DL-BWC-Parameter_SG:Ingestion</t>
  </si>
  <si>
    <t>During the DL_BWC-Parameter_SG - Ingestion failed (run on 20 Jan 17) for CFSICC 
message :Length of record in file (1488)is not equal to that expected(1490)</t>
  </si>
  <si>
    <t>Bug in the file: File in ASCII instead of UTF8</t>
  </si>
  <si>
    <t>PEDAGML-108</t>
  </si>
  <si>
    <t>DL_BWC-Master_SG : Ingestion failed -Handling of New line characters</t>
  </si>
  <si>
    <t xml:space="preserve">_thumb_242257.png </t>
  </si>
  <si>
    <t>DL-BWC-Master_SG - Ingestion Issue</t>
  </si>
  <si>
    <t>During the BWC-Master_SG ingestion process we are encountering the issues for the below tables : 
CFAGRP:Row Count Validation failed for local:86008, and hive:86024 
CFZMAS:Row Count Validation failed for local:86008, and hive:86024</t>
  </si>
  <si>
    <t>Pre-processed the file to remove new line and load the file.</t>
  </si>
  <si>
    <t>PEDAGML-107</t>
  </si>
  <si>
    <t>EDF Data Ingestion Performance Issue</t>
  </si>
  <si>
    <t>DL-EDF SIT Batch 1 Data Ingestion Process</t>
  </si>
  <si>
    <t>Data Ingestion process slows down after running sometime (normally after processing ~150 files for each country BWC files). It requires restarting of Informatica service.</t>
  </si>
  <si>
    <t>Code changed for informatica, changed push down mode to native mode.</t>
  </si>
  <si>
    <t>PEDAGML-106</t>
  </si>
  <si>
    <t>DL_BWC_SG_Data_Validation : Null values are inserted for valid source data</t>
  </si>
  <si>
    <t>DL_BWC_SSS_SG_Data validation issue</t>
  </si>
  <si>
    <t xml:space="preserve">Steps to reproduce : 
Following columns have null values: 
table : eda_sss_fegachgf_d01 - gaspd8 (timestamp) , gadlm7 (timestamp) 
gadlm8 (timestamp),gatime (timestamp) 
FEHLD : HLMDT6, HLMDT7 
JHZRCD : JHMDL6, JHMDLM 
JHOFFR : JHLMD7, JHLMD6,JHEND6,JHEND7,JHSTD6,JHSTD7 
JHAPAR : JHNXTD,JHJOBD 
JHACBH : IRMDL6, IRMDLM 
GLPAR7 : G7DATE,G7DAT6 
GLINT1 : OFPRD6 
GLACCT : DEFPRD,GADOEN, GADOST, GADOLM, GADOL6 
FEACRBN : ABDT6, ABDT7 
FEBROP : BCUPRDT8, BNXPRDT8, FEGAPRM 
FEHLDN : FLMD6, FLMD7 
JHGSTF : GSTEDT, GETED6, GSTDT6, GSTDT7,GSTTM6, 
JHDATA : JHMDL6,JHMDLM 
GLPAR7X: G7MDT8, G7MDT7,G7MTME, G7CDT8, G7CDT7,C7CTME 
</t>
  </si>
  <si>
    <t>PEDAGML-105</t>
  </si>
  <si>
    <t>DL_CFR_Data Validation : Null values are inserted into Hive table for the valid source data</t>
  </si>
  <si>
    <t>DL_CFR_Data Validation issue</t>
  </si>
  <si>
    <t>For CFRCOA table -report_month (timestamp) has null values 
For eda_cfr_cfr_edac_elimjl_m01 - report_date (timestamp) --has null values</t>
  </si>
  <si>
    <t>PEDAGML-104</t>
  </si>
  <si>
    <t>DL_GRP_SG : Data Validation : Null values are getting insertred for valid source data</t>
  </si>
  <si>
    <t>DL_GRP_SG_Data Validataion Issue</t>
  </si>
  <si>
    <t>eda_grp_sftdtv_a01 has null values for sfvmtm column ( data type - timestamp)</t>
  </si>
  <si>
    <t>PEDAGML-103</t>
  </si>
  <si>
    <t>DL_BWC_CBC_ Data Validation : Null values are inserted in target for valid source data</t>
  </si>
  <si>
    <t>DL_BWC_CBC-Data validation issue</t>
  </si>
  <si>
    <t>Following columns have null values in target 
cjsaidt (timestamp) 
cjsebdt (timestamp) 
cjsibdt (timestamp) 
cjscdt8 (timestamp) 
cjsmdt7 (timestamp) 
cjsmtme (timestamp) 
cjsmdt8 (timestamp) 
cjsmdt7 (timestamp) 
cjsmtme (timestamp)</t>
  </si>
  <si>
    <t>PEDAGML-102</t>
  </si>
  <si>
    <t>DL_BWC_Parameter_SG_Data_Validation : Null values are inserted for valid source data</t>
  </si>
  <si>
    <t>DL_BWC_Parameter_SG_Data validation issue</t>
  </si>
  <si>
    <t xml:space="preserve">Steps to reproduce : 
Following columns have null values: 
s01_bwc.eda_bwc_cfparm_a01 -- cfemd8, cfemd7 - time stamp 
s01_bwc.eda_bwc_cfcatg_a01 -- cflmd6,cflmd7-time stamp 
s01_bwc.eda_bwc_cfzpcm_a01 -- cfcifhx - decimal(21,0) 
s01_bwc.eda_bwc_cfzprt_a01 --cfflm7,cfflm8 -(timestamp) 
s01_bwc.eda_bwc_cfzprl_a01 -- c9dat7,c9dat6 -(timestamp) 
CFPARM : cfemd8, cfemd7 
</t>
  </si>
  <si>
    <t>PEDAGML-101</t>
  </si>
  <si>
    <t>DL_GCF_GD_Data Validation : Null values are inserted for valid source data</t>
  </si>
  <si>
    <t>DL_GCF_GD_Data validation Issue</t>
  </si>
  <si>
    <t xml:space="preserve">Steps to Reproduce : 
Following columns have null data: 
table Name Column name 
GSDLMTAG - GLUPLD -(timestamp) 
GSRASCXN - GRPDT8- (timestamp) 
GSREXCLMM - GMPDT8 -(timestamp) 
SFSPOS - SFDIS8,SFDXP8(timestamp) 
</t>
  </si>
  <si>
    <t>PEDAGML-100</t>
  </si>
  <si>
    <t>DL, EDF, SS-AS400</t>
  </si>
  <si>
    <t>DL_GCF_GD_Data validation issue</t>
  </si>
  <si>
    <t>Steps to Reproduce : 
In s01_gcf.eda_gcf_gsracx_d01 table there is an unwanted row inserted for the 
instance id:dd5dc0a5-ee41-4d1a-9d0b-463c66035efe 
proc_ts:2017-01-19 18:25:51.866168 
Expected result : there shouldn't be any unwanted row in target table</t>
  </si>
  <si>
    <t>PEDAGML-99</t>
  </si>
  <si>
    <t>DL-CFR PLBSBAL data ingestion failed due to check sum</t>
  </si>
  <si>
    <t>DL_CFR Data Ingestion PLBSBAL</t>
  </si>
  <si>
    <t>Data Ingestion failed running CFR PLBSBAL file due to hashsum issue, EDF error: Hash Sum Validation failed for local:644483283052329.26, and hive:644483283052329.25</t>
  </si>
  <si>
    <t>EDF_Tech_Recon</t>
  </si>
  <si>
    <t>PEDAGML-98</t>
  </si>
  <si>
    <t>DL_GRP_All Countries_SFTDTV_Registration : Incorrect Data length for SFDISQ column</t>
  </si>
  <si>
    <t xml:space="preserve">_thumb_239487.png </t>
  </si>
  <si>
    <t>BWC_GRP_ALL; EDF-registration- Issue</t>
  </si>
  <si>
    <t>As per Interface Spec : the SFDISQ column in SFTDTV table should have data length 9 
Actual result - 7</t>
  </si>
  <si>
    <t>Correction made within the file description</t>
  </si>
  <si>
    <t>PEDAGML-97</t>
  </si>
  <si>
    <t>DL_Hive table dropped accidentally</t>
  </si>
  <si>
    <t>DL - Hive - environment</t>
  </si>
  <si>
    <t>Hive table dropped accidentally , which is causing lot challenges to complete our testing. 
Back-up tables were not created.</t>
  </si>
  <si>
    <t>Program now handle the data back up</t>
  </si>
  <si>
    <t>PEDAGML-96</t>
  </si>
  <si>
    <t>DL_BWC_HK_ Master File CFBLST ingestion process failed</t>
  </si>
  <si>
    <t xml:space="preserve">_thumb_238157.png </t>
  </si>
  <si>
    <t>DL-Data Ingestion BWC Master File CFBLST</t>
  </si>
  <si>
    <t>BWC HK Master File CFBLST ingestion process failed with EDF error message: "STDOUT:[MSCMD_10023] Job with ID [MXG9d91tEeaIX7eNkp7Leg] submitted to the Integration Service [DIS_EDA_SIT]. 
[ICMD_10033] Command [RunMapping] failed with error [[CORE_0003] An internal exception occurred with message: java.util.concurrent.ExecutionException: java.lang.RuntimeException: [HIVE_1117] For task [exec0], the Integration Service failed to run Hive query [exec0_query_12] due to following MapReduce task error: Hive error code [2], Hive message [FAILED: Execution Error, return code 2 from org.apache.hadoop.hive.ql.exec.mr.MapRedTask], Hive SQL state [08S01]. See additional error messages for more information in the Hadoop Job log.]. 
;" 
Error Log attached for analysis.</t>
  </si>
  <si>
    <t>Server unavailable issue</t>
  </si>
  <si>
    <t>PEDAGML-95</t>
  </si>
  <si>
    <t>DL_BWC_HK_all Master data ingestion procession failed</t>
  </si>
  <si>
    <t>DL-Ingestion HK</t>
  </si>
  <si>
    <t>BWC all 27 Master files ingestion process failed. EDF error text: /data/cdtransfer/edaihk/bwchk/processing/CFBLST.2017-01-13.20170118181446 
One error log attached for reference.</t>
  </si>
  <si>
    <t>Rights on files are incorrect</t>
  </si>
  <si>
    <t>PEDAGML-94</t>
  </si>
  <si>
    <t>DL_BWC_MY_Master file CFDOCT ingestion process failed</t>
  </si>
  <si>
    <t xml:space="preserve">_thumb_237653.png </t>
  </si>
  <si>
    <t>DL-Ingestion BWC MY CFDOCT</t>
  </si>
  <si>
    <t>BWC MY Master file CFDOCT ingestion process failed; EDF error text: 
STDOUT:[ICMD_10033] Command [RunMapping] failed with error [[MSCMD_10006] Failed to find parameter file at specified location: [/app/EDA/tmp/edf/param/FI_BWC_CFDOCT_D02.xml].]. 
Error log attached for analysis.</t>
  </si>
  <si>
    <t>Country added the Informatica parameter file name</t>
  </si>
  <si>
    <t>PEDAGML-93</t>
  </si>
  <si>
    <t>DL_BWC_MY_Parameter File CFZPNC data ingestion failed due to record count issue</t>
  </si>
  <si>
    <t>DL-Ingestion BWC MY Parameter CFZPNC</t>
  </si>
  <si>
    <t>BWC MY Parameter File CFZPNC data ingestion failed due to record count recon problem. EDF error text: Row Count Validation failed for local:0, and hive:3. 
Source file looks ok, with three records. Please check attached error log.</t>
  </si>
  <si>
    <t>Duplicate 67</t>
  </si>
  <si>
    <t>PEDAGML-92</t>
  </si>
  <si>
    <t>DL_BWC_TH_SSS file JHOFFR ingestion process failed due to data length issue (CHAR SET ISSUE)</t>
  </si>
  <si>
    <t>DL-Ingestion BWC TH SSS JHOFFR</t>
  </si>
  <si>
    <t>BWC TH SSS file JHOFFR ingestion process failed due to data length issue with EDF error text: Length of record in file (1489)is not equal to that expected(1490) 
Error log attached here for reference.</t>
  </si>
  <si>
    <t>1) Hive tables will be created with the character set specific for the country (TW – Big5, TH – TIS-620 and CN – GB2312. For all other countries, it is UTF-8). 
2) Source File will be converted from fixed to delimited after moving to the processing folder. 
3) ISO-8859-1 will be used to read the source files for CN, TH and TW. For other countries, UTF-8 will be used.</t>
  </si>
  <si>
    <t>PEDAGML-91</t>
  </si>
  <si>
    <t>DL_BWC_TH_GRP file GCACCM process failed due to data length issue (CHAR SET ISSUE)</t>
  </si>
  <si>
    <t>SIT2, Pre-UAT</t>
  </si>
  <si>
    <t>DL-Data Ingestion BWC TH GRP</t>
  </si>
  <si>
    <t>BWC TH GRP file GCACCM process failed due to data length issue, EDF error: Length of record in file (530)is not equal to that expected(531) 
Attached error file for analysis.</t>
  </si>
  <si>
    <t>PEDAGML-90</t>
  </si>
  <si>
    <t>DL_BWC_TW Parameter File : CFZPNC data ingestion failed due to record count issue</t>
  </si>
  <si>
    <t>PEDAGML-67</t>
  </si>
  <si>
    <t>DL-Data Ingestion</t>
  </si>
  <si>
    <t>Data Ingestion process filed while processing BWC TW Parameter File CFZPNC. Data file looks fine with 3 records. 
Attached is error log for analysis.</t>
  </si>
  <si>
    <t>Related to defect 67</t>
  </si>
  <si>
    <t>PEDAGML-89</t>
  </si>
  <si>
    <t>DL_BWC_TW_Master File : CFADDR, CFCONN failed due to data lenght issue (CHAR SET ISSUE)</t>
  </si>
  <si>
    <t>DL-Ingestion BWC TW Master</t>
  </si>
  <si>
    <t>Ingestion process failed running BWC TW Master files, CFADDR, CFCONN, due to data length issues. EDF error as: 
CFCONN: Length of record in file (242)is not equal to that expected(243) 
CFADDR: Length of record in file (497)is not equal to that expected(499)</t>
  </si>
  <si>
    <t>DataIngestionExecution</t>
  </si>
  <si>
    <t>PEDAGML-88</t>
  </si>
  <si>
    <t>Data Coming in with no records</t>
  </si>
  <si>
    <t>BWC TW GRP Daily files</t>
  </si>
  <si>
    <t>BWC TW GRP daily files, GCACCM, GCRACC, GCRACCM, GCROPT and control file GRPEDACTD comes with no records (all zero byte files). 
Please confirm.</t>
  </si>
  <si>
    <t>Source team has provided new set of GRP TW files with data.</t>
  </si>
  <si>
    <t>PEDAGML-87</t>
  </si>
  <si>
    <t>BWC GB Parameter File CFZPNC ingestion process failed due to record count recon</t>
  </si>
  <si>
    <t>DL-Ingestion BWC Parameter GB CFZPNC</t>
  </si>
  <si>
    <t>BWC GB Parameter File CFZPNC ingestion process failed with EDF error text "Row Count Validation failed for local:0, and hive:2". 
Record count seems correct in source file, just two records. Attached is error log for analysis.</t>
  </si>
  <si>
    <t>Related to Defect 67</t>
  </si>
  <si>
    <t>DL_BWC_SSS: Daily files are created under Adhoc folder</t>
  </si>
  <si>
    <t>DL-File Frequency issue</t>
  </si>
  <si>
    <t>As per the Interface spec : SSS file frequency is daily . But all the files has been created under a01 folder.( which means adhoc) 
e.g : s01_sss.eda_sss_jhaear_a01 
Expected : We need the files should be there under s01_sss.eda_sss_jhaear_d01</t>
  </si>
  <si>
    <t>Code issue - Registration was done assuming the files were adhoc instead of Daily.</t>
  </si>
  <si>
    <t>DL_All_System:Error Message is not clear in process log</t>
  </si>
  <si>
    <t>Pending TD reply (Error msg)</t>
  </si>
  <si>
    <t>DL-Error Msg</t>
  </si>
  <si>
    <t xml:space="preserve">Steps To Reproduce : 
During the ingestion process run When the folders are not in Place( Processing, Previous)we are encountering some issues 
But the error message is showing " No such files" 
this message does not give any information to debug the root cause. 
please provide valid debug / issue message 
</t>
  </si>
  <si>
    <t>Tests and messages have been added. It will be available in next version.</t>
  </si>
  <si>
    <t>PEDAGML-84</t>
  </si>
  <si>
    <t>DL_BWC_SSS: Additional column in Hive table (JHSTAT, JHTYPE)</t>
  </si>
  <si>
    <t>DL-BWC-SSS: Table Structure</t>
  </si>
  <si>
    <t xml:space="preserve">below additional columns available in Hive 
1. TableName: JHTYPE 
Column Name: jhtyp 
2. TableName: JHSTAT 
Column Name: jhscoc 
But this is not available in source files. 
</t>
  </si>
  <si>
    <t>Retrofit issue. Latest version of spec didn't have the columns where as earlier versions had. 
EDAG updated the spec and shared with TD for re-registration.</t>
  </si>
  <si>
    <t>PEDAGML-83</t>
  </si>
  <si>
    <t>DL_BWC_SSS_SG- Hive table has Null data</t>
  </si>
  <si>
    <t>Framework_issue</t>
  </si>
  <si>
    <t>PEDAGML-82</t>
  </si>
  <si>
    <t>DL- Data Loading Issue</t>
  </si>
  <si>
    <t>Steps to reproduce : 
Source table has data &amp; loaded successfully in Hive , 
But in Hive only "Null" value is available . 
attaching the details for LNPARR.</t>
  </si>
  <si>
    <t>Ingestion Issue</t>
  </si>
  <si>
    <t>DL_BWC_PARAMETER_DATA Validation missmatch with source file</t>
  </si>
  <si>
    <t>DL_BWC_Parameter - Data Quality issue</t>
  </si>
  <si>
    <t>PK violation for all tables . 
select count(1),CP3UIC,CP3UCD from s01_bwc.eda_bwc_CFPAR3_a01 group by CP3UIC,CP3UCD having count(1) &gt; 1; 
select count(1),CP6MIC,CP6MCD from s01_bwc.eda_bwc_CFPAR6_a01 group by CP6MIC,CP6MCD having count(1) &gt; 1; 
select count(1),CP3UIC,CP3UCD from s01_bwc.eda_bwc_CFPAR3_a01 group by CP3UIC,CP3UCD having count(1) &gt; 1; 
select count(1),CP6MIC,CP6MCD from s01_bwc.eda_bwc_CFPAR6_a01 group by CP6MIC,CP6MCD having count(1) &gt; 1;</t>
  </si>
  <si>
    <t>Duplicate 83</t>
  </si>
  <si>
    <t>PEDAGML-81</t>
  </si>
  <si>
    <t>CEL Ingestion Process failed</t>
  </si>
  <si>
    <t>DL-CEL</t>
  </si>
  <si>
    <t>Data ingestion process re-run for CEL masked files and process failed, EDF data error text "[ICMD_10033] Command [RunMapping] failed with error [[CORE_0003] An internal exception occurred with message: java.util.concurrent.ExecutionException: java.lang.RuntimeException: [HIVE_1068] The Integration Service failed to run the Hive command [exec0_command_2] for the task [exec0] due to Hive error code [3]. See additional errors at Hive session log [/var/opt/teradata/Informatica/sit/infa101/tomcat/bin/disTemp/hiveSession_m_ing_FF_T1_m_ing_FF_T1_1278_2.log].]." 
Details can be found in error logs attached.</t>
  </si>
  <si>
    <t>PEDAGML-80</t>
  </si>
  <si>
    <t>DL_BWC Regional_CN, TW : Data is not getting populated after successful data ingestion</t>
  </si>
  <si>
    <t>DL - Data Ingestion - Issue</t>
  </si>
  <si>
    <t xml:space="preserve">Steps to reproduce: 
After successful ingestion - Files are not neither loaded to hive table nor moved to Previous folders 
1) We have run the scripts for the required ingestion. 
2) We can see the successful message of data ingestion in edag_process_log table 
3) while we are checking the data for the same , we couldn't get any records in hive table s01_bwc.eda_bwc_cfacct_d02 
4) When we check the previous folder we can't see the files 
</t>
  </si>
  <si>
    <t>Data Ingestion didn't run 1st time</t>
  </si>
  <si>
    <t>Taiwan, China</t>
  </si>
  <si>
    <t>PEDAGML-79</t>
  </si>
  <si>
    <t>DL_EPM_GD: PK violation</t>
  </si>
  <si>
    <t>Data Validation check</t>
  </si>
  <si>
    <t>Steps to reproduce 
Following tables have PK issues : 
Following columns are defined as the PK 
table EPMCEBGT : BGTYR,CORP,BR,CC,ASSETCAT,HOMECURR 
table EPMHCBGT : BGTYR,CORP,BR ,CC,STAFFGD 
table EPMGLBGT : BGTYR ,CORP ,BR ,CC ,ACCOUNT,HOMECURR 
But in Hive table we can see the PK is not maintained i.e. multiple records found for these PK combinations 
Attached the snapshot for more details 
This issue also available for other systems like CFR.</t>
  </si>
  <si>
    <t>PEDAGML-78</t>
  </si>
  <si>
    <t>Data Ingestion Process failed for BWC GB SSS all files</t>
  </si>
  <si>
    <t>DL-Data Ingestion BWC GB SSS</t>
  </si>
  <si>
    <t>Data Ingestion process failed while processing for BWC GB SSS all 56 files; EDF error text: No Such File. 
One error log attached for reference.</t>
  </si>
  <si>
    <t>Not a framework bug</t>
  </si>
  <si>
    <t>PEDAGML-77</t>
  </si>
  <si>
    <t>Data Ingestion Process failed for BWC GB All Parameter files</t>
  </si>
  <si>
    <t>DL-Data Ingestion Process BWC GB Parameter Files</t>
  </si>
  <si>
    <t>Data Ingestion Process failed while processing GWC GB all 55 Parameter files. EDF error text: No Such File. 
Attached one error log file for analysis.</t>
  </si>
  <si>
    <t>Not a framework bug. Please create previous and processing directories</t>
  </si>
  <si>
    <t>PEDAGML-76</t>
  </si>
  <si>
    <t>Data Ingestion failed for BWC GB All master files</t>
  </si>
  <si>
    <t>DL-Data Ingestion BWC GB Master Files</t>
  </si>
  <si>
    <t>Data Ingestion process failed while processing BWC GB all 27 master files. EDF Error Text: No Such File 
One error log is attached for analysis.</t>
  </si>
  <si>
    <t>PEDAGML-75</t>
  </si>
  <si>
    <t>Data Ingestion Process Failed for BWC GB GRP all files</t>
  </si>
  <si>
    <t>DL-Data Ingestion BWC GB GRP files</t>
  </si>
  <si>
    <t>Data Ingestion process filed while running for BWC GRP GB all 7 files: EDF error text: No Such file 
One error file is attached as reference.</t>
  </si>
  <si>
    <t>PEDAGML-74</t>
  </si>
  <si>
    <t>Data Ingestion process failed for BWC SSS TW all files</t>
  </si>
  <si>
    <t>PEDAGML-64</t>
  </si>
  <si>
    <t>DL-Data Ingestion Execution BWC SSS TW</t>
  </si>
  <si>
    <t>Data ingestion process failed while processing BWC SSS TW all 56 files: EDF error log: No Such file. 
One error log is attached for reference.</t>
  </si>
  <si>
    <t>Infra team crated missing folders "processing" and "previous" in landing folder for ingestion process. Also applied security "7-7-7" in some processing file paths.</t>
  </si>
  <si>
    <t>PEDAGML-73</t>
  </si>
  <si>
    <t>Data Ingestion Process failed for BWC TW all Master Files</t>
  </si>
  <si>
    <t>DL-Ingestion Process BWC Master TW files</t>
  </si>
  <si>
    <t>Data Ingestion process failed while processing BWC TW Master all 27 files; EDA error text: No Such File 
One file error log is attached for reference</t>
  </si>
  <si>
    <t>PEDAGML-72</t>
  </si>
  <si>
    <t>Data Ingestion Process failed processing BWC GRP TW all files</t>
  </si>
  <si>
    <t>DL-Data Ingestion BWC GRP TW files</t>
  </si>
  <si>
    <t xml:space="preserve">Data ingestion process failed while processing BWC GRP TW all 7 files. EDF error text as below: 
GCROPT: -1 
GCRACC: -1 
GCACCM: -1 
GCRACCM: -1 
SFSAUX: No such file 
SFTDTA: No such file 
SFTDTV: No such file 
Error Logs attached for reference. 
</t>
  </si>
  <si>
    <t>Folder "processing" and "previous" are missing in Edge Node for file movement while processing.</t>
  </si>
  <si>
    <t>PEDAGML-71</t>
  </si>
  <si>
    <t>Data Ingestion process failed running for BWC TH SSS all files</t>
  </si>
  <si>
    <t>DL-Data Ingestion BWC TH SSS files</t>
  </si>
  <si>
    <t>Data Ingesting process failed when processing BWC TH SSS all 56 files, EDF error log: Permission denied 
One error log is attached for analysis.</t>
  </si>
  <si>
    <t>PEDAGML-70</t>
  </si>
  <si>
    <t>DL_BWC_CN_SSS_Data Ingestion process failed running for all files</t>
  </si>
  <si>
    <t>DL-Data Ingestion BWC CN SSS Files</t>
  </si>
  <si>
    <t>Data Ingestion failed when processing BWC CN SSS all 56 files, EDF error: no such files. 
One error log is attached for reference.</t>
  </si>
  <si>
    <t>TD applied security to 777 to retest.</t>
  </si>
  <si>
    <t>PEDAGML-69</t>
  </si>
  <si>
    <t>Data Ingestion process failed running for BWC MY SSS all files</t>
  </si>
  <si>
    <t>DL-Ingestion BWC MY SSS files</t>
  </si>
  <si>
    <t>Data Ingestion Process filed for running BWC MY SSS Files, EDF error text: No Such File. 
One error log is attached here for reference.</t>
  </si>
  <si>
    <t>PEDAGML-68</t>
  </si>
  <si>
    <t>DL_BWC_TH_Parameter Files: data ingestion process failed due to data length issue (CHAR SET ISSUE)</t>
  </si>
  <si>
    <t>DL-BWC TH Parameter Data Ingestion</t>
  </si>
  <si>
    <t>Data ingestion process failed for BWC TH below Parameter files. EDF ORA error text mentioned below: 
CFZPLC - Length of record in file (1483)is not equal to that expected(1490) 
CFZPXS - Length of record in file (1489)is not equal to that expected(1490) 
CISICC - Length of record in file (1488)is not equal to that expected(1490) 
CFZPSA - Length of record in file (1484)is not equal to that expected(1490) 
Error log files attached.</t>
  </si>
  <si>
    <t>DL_BWC_TH_Parameter file : CFZPNC data ingestion process failed due to tech recon</t>
  </si>
  <si>
    <t>PEDAGML-87, PEDAGML-90</t>
  </si>
  <si>
    <t>DL-BWC TH Parameter Ingestion Process</t>
  </si>
  <si>
    <t>Data Ingestion failed while processing BWC Parameter file CFZPNC due to tech recon issue. EDF ORA error text: Row Count Validation failed for local:0, and hive:3 
Error log is attached.</t>
  </si>
  <si>
    <t>Error within our file description</t>
  </si>
  <si>
    <t>PEDAGML-66</t>
  </si>
  <si>
    <t>DL_BWC_CN_Data Ingestion Failed processing for parameter files with error</t>
  </si>
  <si>
    <t>DL-Data Ingestion CN Parameter</t>
  </si>
  <si>
    <t>Put all 55 BWC CN Parameter files and run parallel and 5 files (CFZPST,CFZPLC,CFZPCT,CFZPSB,ISICC) processes failed with EDF ORA error message: 
STDOUT:[ICMD_10033] Command [RunMapping] failed with error [[MPSVCCMN_10082] The Mapping Service Module [MappingService] could not run the mapping due to the following error: [[DS_10195] The Integration Service is running the maximum number of concurrent requests. Increase the maximum execution pool size for the service process.].]. 
If there are limitation of parallel processes, should it be configured and handle in the process itself to run max parallel processes and rest to put in queue? To check and verify in automation process as well.</t>
  </si>
  <si>
    <t>PEDAGML-65</t>
  </si>
  <si>
    <t>DL_BWC_CN_Master files: Data intestion failed due to data length issue (CHAR SET ISSUE)</t>
  </si>
  <si>
    <t>DL-BWC CN Data Length Issue</t>
  </si>
  <si>
    <t>Data Ingestion process failed processing CN Master and parameter files due to data length issue. EDA process log mentioned below: 
CFMAST-Length of record in file (738)is not equal to that expected(752) 
CFACCT-Length of record in file (142)is not equal to that expected(231) 
CFZEMH-Length of record in file (447)is not equal to that expected(448) 
CFCONN-Length of record in file (241)is not equal to that expected(243) 
Sample CFMAST log is attached for reference.</t>
  </si>
  <si>
    <t>DL_CN_BWC_GRP: Data Ingestion not processed</t>
  </si>
  <si>
    <t>PEDAGML-70, PEDAGML-72, PEDAGML-74</t>
  </si>
  <si>
    <t>DL-BWC CN GRP Data Ingestion process error</t>
  </si>
  <si>
    <t>Data Ingestion process failed running for BWC CN GRP files, EDF process log as: No such file. Files do exist in Edge note /data/cdtransfer/edaicn/grpcn. 
Error log in attachment.</t>
  </si>
  <si>
    <t>TD has applied security to 777 to see if ingestion process runs.</t>
  </si>
  <si>
    <t>Data Execution process</t>
  </si>
  <si>
    <t>PEDAGML-63</t>
  </si>
  <si>
    <t>DL_BWC_CN_Master File: Data Ingestion failed due to tech recon</t>
  </si>
  <si>
    <t>AS400-SS</t>
  </si>
  <si>
    <t>unpack_process</t>
  </si>
  <si>
    <t>SS-AS400</t>
  </si>
  <si>
    <t>PEDAGML-61</t>
  </si>
  <si>
    <t>DL-BWC CH Data Ingestion Data Recon</t>
  </si>
  <si>
    <t xml:space="preserve">Below are CN Master file with EDF error text which data ingestion failed while processing CN BWC data master files. 
CFDOCT: Row Count Validation failed for local:0, and hive:3 
</t>
  </si>
  <si>
    <t>Unpack_Process</t>
  </si>
  <si>
    <t>The file structure had extra column, due to which the unpacking was not going beyond one record.</t>
  </si>
  <si>
    <t>Data Ingestion - DL BWC CN</t>
  </si>
  <si>
    <t>PEDAGML-62</t>
  </si>
  <si>
    <t>DL_BWC_TH_ Data Ingestion failed executing TH BWC file - CFACCX (File permission -760)</t>
  </si>
  <si>
    <t>DL-BWC TH CFACCX file ingestion</t>
  </si>
  <si>
    <t>Data Ingestion failed processing TH BWC CFACCX file, EDA ORA error: STDOUT:[MSCMD_10023] Job with ID [TEWQ49ubEeaIX7eNkp7Leg] submitted to the Integration Service [DIS_EDA_SIT]. 
Detail error log as attachment.</t>
  </si>
  <si>
    <t>Permission granted</t>
  </si>
  <si>
    <t>Data Ingestion process</t>
  </si>
  <si>
    <t>DL_BWC_TH : Data Ingestion Failed due to TH BWC file (CFDOCT) due to tech recon failure</t>
  </si>
  <si>
    <t>DL-BWC Data Ingestion TH files</t>
  </si>
  <si>
    <t>Data Ingestion failed while processing TH GWC CFDOCT file due to tech recon failure. 
EDF error: Row Count Validation failed for local:2, and hive:1 
Attached is process log.</t>
  </si>
  <si>
    <t>Initial Tech recon issue. Resent and reran the file and now it is working fine.</t>
  </si>
  <si>
    <t>PEDAGML-60</t>
  </si>
  <si>
    <t>DL_BWC_TH : Data Ingestion process failed running TH BWC 5 Master Files due to data length issue (CHAR SET ISSUE)</t>
  </si>
  <si>
    <t>DL-BWC TH Master File</t>
  </si>
  <si>
    <t xml:space="preserve">Data Ingestion process failed running TH BWC master files (CFMAST, CFBLST, CFADDR, CFZEMH, CFALIA) throwing data length error. Detail errors in EDF ORA: 
CFMAST-Length of record in file (748)is not equal to that expected(752) 
CFBLST-Length of record in file (1186)is not equal to that expected(1191) 
CFADDR-Length of record in file (497)is not equal to that expected(499) 
CFZEMH-Length of record in file (444)is not equal to that expected(448) 
CFALIA-Length of record in file (224)is not equal to that expected(230) 
Detail can be found in attached log files. 
</t>
  </si>
  <si>
    <t>PEDAGML-59</t>
  </si>
  <si>
    <t>Clarification : Business Date for GRP-TH is coming as 2030-09-15</t>
  </si>
  <si>
    <t>REQ</t>
  </si>
  <si>
    <t>requirement clarification</t>
  </si>
  <si>
    <t>We can see the Business date is either a past date or a near future date . 
But for Thailand the Business date is 2030-09-15. Is it correct ? 
Please confirm from TH source system team whether they are following the same English calendar or Thai Calendar?</t>
  </si>
  <si>
    <t>PEDAGML-58</t>
  </si>
  <si>
    <t>DL_GRP_TH : Data Ingestion: Not processing for all TH GRP files</t>
  </si>
  <si>
    <t>DL-GRP TH Ingestion Process</t>
  </si>
  <si>
    <t>While processing GRP TH files, ingestion process failed for all files. Same description is logged for all files, stating summary as Permission denied. Sample log for file GCACCM file (FI_GRP_GCACCM_D01.log) is attached for your reference.</t>
  </si>
  <si>
    <t>Data Ingestion Execution for TH GRP files</t>
  </si>
  <si>
    <t>PEDAGML-57</t>
  </si>
  <si>
    <t>DL_BWC: Data Ingestion framework is not processing all Malaysia files</t>
  </si>
  <si>
    <t>DL-BWC Data Ingestion Framework issue for MY files</t>
  </si>
  <si>
    <t>Data Ingestion Framework is not picking up all MY BWC files for processing, logging same error, log summary as "No such file". One sample log is attached here for reference.</t>
  </si>
  <si>
    <t>PEDAGML-56</t>
  </si>
  <si>
    <t>DL_EPM_GD:For few tables data length is less than as prescribed in Specs</t>
  </si>
  <si>
    <t>Tool_limitation</t>
  </si>
  <si>
    <t>Design Issue</t>
  </si>
  <si>
    <t>Steps to reproduce : 
Hive table STRUCTURE has length less than the length mentioned in spec for the value column in below 4 tables 
eda_epm_fctyrfct_a01 
eda_epm_fctmthfct_m01 
eda_epm_fctmthexcr_m01 
eda_epm_fctyrexcr_a01 
Expected : the value column should have (30,8)</t>
  </si>
  <si>
    <t>Informatica Issue - not accepting more than 28,8</t>
  </si>
  <si>
    <t>PEDAGML-55</t>
  </si>
  <si>
    <t>DL_CFR_GD_EDAC_ADJ: Special characters are changed to some extra character in hive table</t>
  </si>
  <si>
    <t>Documentation issue</t>
  </si>
  <si>
    <t xml:space="preserve">During our Data Validation we found : 
As per spec : Dr/Cr indicator as column name in CFR_EDAC_ADJ table 
in Hive table it is showing as drblcr_indicator 
i.e "\" introduces extra "bl" character 
similarly # introducing extra characters as "hx" 
$ introducing extra characters as "dl" 
please refer eda_bwc_cfacct_d01 for # &amp; $ 
</t>
  </si>
  <si>
    <t>Information added to TS document</t>
  </si>
  <si>
    <t>PEDAGML-54</t>
  </si>
  <si>
    <t>DL_CFR_GD_EDAC_ELIMJL : Data type mismatch between Spec &amp; Hive table</t>
  </si>
  <si>
    <t>EDAC_ELIMJL file has year column as "Numeric" but in hive it is Time stamp 
Expected result : It should be Numeric in Hive 
Actual Result : it is time stamp</t>
  </si>
  <si>
    <t>PEDAGML-53</t>
  </si>
  <si>
    <t>DL_EDF Process Table Date Data type issue</t>
  </si>
  <si>
    <t>EDF-ORA Processing tables</t>
  </si>
  <si>
    <t xml:space="preserve">In EDF Process tables, some date column needs to be timestamp to get time details. In many tables, datetime fields are using date instead of timestamp (it is mentioned as timestamp in architecture presentation ppt). 
e.g. edag_process_log.PROC_START_DT and PROC_END_DT 
</t>
  </si>
  <si>
    <t>Not a defect. Standard Oracle behavior</t>
  </si>
  <si>
    <t>PEDAGML-52</t>
  </si>
  <si>
    <t>DL_GCF ingestion do not run</t>
  </si>
  <si>
    <t>DL-Run</t>
  </si>
  <si>
    <t xml:space="preserve">GCF ingestion program is not running. Error below: 
UOBException [status=F, errorCode=UOB06, errorMessage=Length of record in file (224)is not equal to that expected(230), error=true] 
at com.uob.edag.processor.FileIngestionProcessor.runProcessInitialization(FileIngestionProcessor.java:287) 
at com.uob.edag.processor.FileIngestionProcessor.runFileIngestion(FileIngestionProcessor.java:1088) 
at com.uob.edag.processor.BaseProcessor.runIngestion(BaseProcessor.java:482) 
at com.uob.edag.processor.BaseProcessor.main(BaseProcessor.java:103) 
Exception in thread "main" UOBException [status=F, errorCode=UOB06, errorMessage=Length of record in file (224)is not equal to that expected(230), error=true] 
at com.uob.edag.processor.FileIngestionProcessor.runProcessInitialization(FileIngestionProcessor.java:287) 
at com.uob.edag.processor.FileIngestionProcessor.runFileIngestion(FileIngestionProcessor.java:1088) 
at com.uob.edag.processor.BaseProcessor.runIngestion(BaseProcessor.java:482) 
at com.uob.edag.processor.BaseProcessor.main(BaseProcessor.java:103) 
</t>
  </si>
  <si>
    <t>Change in description of control file (field rowcount). Updated from 13 to 15 in length.</t>
  </si>
  <si>
    <t>PEDAGML-51</t>
  </si>
  <si>
    <t>DL_BWC_TH_File Availailabiliy Checking : Master Files are not available in EDGE node for BWC Thailand</t>
  </si>
  <si>
    <t>CD_Code_issue</t>
  </si>
  <si>
    <t>File Availability Issue</t>
  </si>
  <si>
    <t>Master Files are not available in EDGE node for BWC Thailand</t>
  </si>
  <si>
    <t>Env_Connectivity</t>
  </si>
  <si>
    <t>CDSEND error occured. Hence, files didn't go through. 
Attached is the mail for reference.</t>
  </si>
  <si>
    <t>PEDAGML-49</t>
  </si>
  <si>
    <t>DL_Reg_All System_All Countries : Field description data is showing in the Remark cloumn</t>
  </si>
  <si>
    <t>Document-Issue</t>
  </si>
  <si>
    <t xml:space="preserve">Steps to reproduce: 
Registration Check 
Default value " D" for the remarks should be reflected in Field description but this is mentioned in Remarks 
</t>
  </si>
  <si>
    <t>The field description for field 'Record_type' was not correct. EDAG updated the spec and shared with TD for re-registration.</t>
  </si>
  <si>
    <t>PEDAGML-48</t>
  </si>
  <si>
    <t>DL_Reg_All Systems_All Countries : Incorrect datatype is going to Hive tables for CFCIF# column</t>
  </si>
  <si>
    <t>Coding-Issue</t>
  </si>
  <si>
    <t xml:space="preserve">Steps to Reproduce : 
as per the interface specs 
BWC SG master : the source data type for CFCIF# is N 
where as the same data type is P in meta data tables ( edag_field_detail). 
Attached the test evidence 
Note : This is happening for all the systems 
</t>
  </si>
  <si>
    <t>Not a bug</t>
  </si>
  <si>
    <t>PEDAGML-47</t>
  </si>
  <si>
    <t>DL_Val_CFR - CFR_EDAC_ELIMJL: Data not loaded correctly for DESCRIPTION and REPORT DATE fields</t>
  </si>
  <si>
    <t xml:space="preserve">_thumb_235898.png _thumb_238220.png </t>
  </si>
  <si>
    <t>Description and Report Date Fields are not properly loaded for some records. Details in attached screenshots.</t>
  </si>
  <si>
    <t>@ character was causing the issue because it was used as field delimiter for loading file within T1. It will be available in next version.</t>
  </si>
  <si>
    <t>PEDAGML-46</t>
  </si>
  <si>
    <t>DL_Val_CFR_ELIMJL_Data Type mismatch between File Spec and Hiave Table</t>
  </si>
  <si>
    <t xml:space="preserve">_thumb_238149.png </t>
  </si>
  <si>
    <t>Some numeric fields are converted to timestamp format. Example: 
“CFR_EDAC_ELIMJL.YEAR” N(4) is changed to “d01_cfr.eda_cfr_cfr_edac_elimjl_m01.YEAR” timestamp.</t>
  </si>
  <si>
    <t>The column having only year value in YYYY format was getting converted to timestamp. Which is not an expected result, hence fix was done to the EDF code to load the columns having only year value in YYYY format as string.</t>
  </si>
  <si>
    <t>PEDAGML-45</t>
  </si>
  <si>
    <t>DL_CEL_Hashsum not matching in 1 CELs file</t>
  </si>
  <si>
    <t>Pre-SIT</t>
  </si>
  <si>
    <t>Teradata reported that the hashsum is not matching for 1 CELs file. 
RI_MCU_T:- 
Hash Sum Validation failed for local:68297.0, and hive:68296.999439</t>
  </si>
  <si>
    <t>Earlier source were rounding off the hash sum, resulting is tech recon failure. Extraction code was fixed to not round off the hash sum. 
Fix was provided in SIT-1</t>
  </si>
  <si>
    <t>PEDAGML-44</t>
  </si>
  <si>
    <t>DL_EPM_Hashsum not matching in 2 EPM source files</t>
  </si>
  <si>
    <t>Coding - Issue</t>
  </si>
  <si>
    <t>Teradata reported that the hashsum FCTMTHEXCR and FCTMTHFCT doesn't match. Also, as per the specification hashsum is expected upto only 2 decimal places. 
FCTMTHFCT:- 
Hash Sum Validation failed for local:9.347212448243996E15, and hive:9.347212448244624E15 
FCTMTHEXCR:- 
Hash Sum Validation failed for local:1753167.094925, and hive:1753167.09492473</t>
  </si>
  <si>
    <t>Rounding up the decimals. Fix provided.</t>
  </si>
  <si>
    <t>PEDAGML-43</t>
  </si>
  <si>
    <t>DL_BWC_Processing non ASCII characters into BWC Source Files</t>
  </si>
  <si>
    <t>Few files into BWC cycle 0 contain some special characters which are not decoded properly into UNIX box. The same looks good into AS400 box. 
It looks like due to this the length of file doesn't match with the length specified into the Interface Specification, and Ingestion Framework is failing the jobs.</t>
  </si>
  <si>
    <t>Ingestion_Char_Set</t>
  </si>
  <si>
    <t>Data Transfer Issue for AS400 files with Unicode data.</t>
  </si>
  <si>
    <t>PEDAGML-42</t>
  </si>
  <si>
    <t>DL_Registration_Metadata_ M/O field is not available</t>
  </si>
  <si>
    <t>Pending TD reply (Batch 2)</t>
  </si>
  <si>
    <t xml:space="preserve">_thumb_235052.png </t>
  </si>
  <si>
    <t xml:space="preserve">Summary : DL_Metadata_ M/O field is not available 
Description : 
As per the Interface spec , there is a field “M/O” for all files. But that column is not available in any of the metadata table. 
Actual Result : M/O – column is not available in any Metadata table 
Expected Result : M/O – column should be available in some Metadata table 
</t>
  </si>
  <si>
    <t>EDW_CFR_Interface_File_Format_Specification_Final_V1.4.xlsx</t>
  </si>
  <si>
    <t>PEDAGML-41</t>
  </si>
  <si>
    <t>DL_BWC : Null Character issue into BWC CFBLST Master file</t>
  </si>
  <si>
    <t>For the SG Master CFBLST file, the column CBWSTN is coming with Null character at few places. Due to his, Teradata framework can't process the file. 
This Null character appears as one byte NULL character in Notepad++, and as @ character into vi editor. We can check the same into AS400 also, use hex(substr(columnname,startpos,len)) command in select query. If it returns 00, then this is the hexadecimal value for NULL characters</t>
  </si>
  <si>
    <t>We are now replacing NUL characters by a blank character. It will be available in the next version. It has a small impact in term of performance as we need to completely scan all files before loading them (&lt;10%)</t>
  </si>
  <si>
    <t>Code_issue</t>
  </si>
  <si>
    <t>Severity</t>
  </si>
  <si>
    <t>Team</t>
  </si>
  <si>
    <t>Team wise open Defects with Severity</t>
  </si>
  <si>
    <t>Issue Review</t>
  </si>
  <si>
    <t>Closd</t>
  </si>
  <si>
    <t>Team wise open Defects with Status</t>
  </si>
  <si>
    <t>Ageing in days</t>
  </si>
  <si>
    <t>&lt;=2</t>
  </si>
  <si>
    <t>&lt;=5</t>
  </si>
  <si>
    <t>&lt;=10</t>
  </si>
  <si>
    <t>&gt;10</t>
  </si>
  <si>
    <t>Ageing of Open defects with Component</t>
  </si>
  <si>
    <t>Fix Version/s2</t>
  </si>
  <si>
    <t>Component3</t>
  </si>
  <si>
    <t>Defect Category4</t>
  </si>
  <si>
    <t>Ageing</t>
  </si>
  <si>
    <t>Assignee_dept</t>
  </si>
  <si>
    <t>Defect Trend</t>
  </si>
  <si>
    <t>Open defect Count</t>
  </si>
  <si>
    <t>Estimated time</t>
  </si>
  <si>
    <t>Closed defect count</t>
  </si>
  <si>
    <t>Open Defects</t>
  </si>
  <si>
    <t>Closed Defects</t>
  </si>
  <si>
    <t>Max Estimated time -Open
(Based on Ageing)</t>
  </si>
  <si>
    <t>Max Estimated time -Closed
(Based on Ageing)</t>
  </si>
  <si>
    <t>Created Date</t>
  </si>
  <si>
    <t>Open defect 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</si>
</sst>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6" formatCode="[$-14009]dd/mm/yyyy;@"/>
  </numFmts>
  <fonts count="18" x14ac:knownFonts="1">
    <font>
      <sz val="11"/>
      <color theme="1"/>
      <name val="Calibri"/>
      <family val="2"/>
      <scheme val="minor"/>
    </font>
    <font>
      <b/>
      <sz val="11"/>
      <color theme="1"/>
      <name val="Calibri"/>
      <family val="2"/>
      <scheme val="minor"/>
    </font>
    <font>
      <sz val="10"/>
      <color rgb="FF000000"/>
      <name val="Arial"/>
      <family val="2"/>
    </font>
    <font>
      <sz val="11"/>
      <color rgb="FF000000"/>
      <name val="Calibri"/>
      <family val="2"/>
      <scheme val="minor"/>
    </font>
    <font>
      <sz val="10"/>
      <color theme="1"/>
      <name val="Segoe UI"/>
      <family val="2"/>
    </font>
    <font>
      <b/>
      <sz val="10"/>
      <color rgb="FF000000"/>
      <name val="Calibri"/>
      <family val="2"/>
      <scheme val="minor"/>
    </font>
    <font>
      <sz val="10"/>
      <color rgb="FF000000"/>
      <name val="Calibri"/>
      <family val="2"/>
      <scheme val="minor"/>
    </font>
    <font>
      <sz val="10"/>
      <color theme="1"/>
      <name val="Calibri"/>
      <family val="2"/>
      <scheme val="minor"/>
    </font>
    <font>
      <sz val="11"/>
      <color rgb="FF000000"/>
      <name val="Arial"/>
      <family val="2"/>
    </font>
    <font>
      <u/>
      <sz val="11"/>
      <color theme="10"/>
      <name val="Calibri"/>
      <family val="2"/>
      <scheme val="minor"/>
    </font>
    <font>
      <sz val="9"/>
      <color rgb="FF000000"/>
      <name val="Arial"/>
      <family val="2"/>
    </font>
    <font>
      <i/>
      <sz val="11"/>
      <color rgb="FF000000"/>
      <name val="Arial"/>
      <family val="2"/>
    </font>
    <font>
      <u/>
      <sz val="10"/>
      <color theme="10"/>
      <name val="Calibri"/>
      <family val="2"/>
      <scheme val="minor"/>
    </font>
    <font>
      <sz val="10"/>
      <color rgb="FFFF0000"/>
      <name val="Calibri"/>
      <family val="2"/>
      <scheme val="minor"/>
    </font>
    <font>
      <sz val="10"/>
      <name val="Calibri"/>
      <family val="2"/>
      <scheme val="minor"/>
    </font>
    <font>
      <sz val="11"/>
      <color rgb="FF000000"/>
      <name val="Calibri"/>
      <family val="2"/>
    </font>
    <font>
      <b/>
      <sz val="10"/>
      <color theme="0"/>
      <name val="Calibri"/>
      <family val="2"/>
      <scheme val="minor"/>
    </font>
    <font>
      <sz val="10"/>
      <color theme="0"/>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C00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bgColor indexed="64"/>
      </patternFill>
    </fill>
    <fill>
      <patternFill patternType="solid">
        <fgColor theme="3" tint="0.39997558519241921"/>
        <bgColor indexed="64"/>
      </patternFill>
    </fill>
    <fill>
      <patternFill patternType="solid">
        <fgColor theme="1"/>
        <bgColor indexed="64"/>
      </patternFill>
    </fill>
    <fill>
      <patternFill patternType="solid">
        <fgColor theme="5" tint="0.39997558519241921"/>
        <bgColor indexed="64"/>
      </patternFill>
    </fill>
  </fills>
  <borders count="7">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9" fillId="0" borderId="0" applyNumberFormat="0" applyFill="0" applyBorder="0" applyAlignment="0" applyProtection="0"/>
  </cellStyleXfs>
  <cellXfs count="85">
    <xf numFmtId="0" fontId="0" fillId="0" borderId="0" xfId="0"/>
    <xf numFmtId="0" fontId="1" fillId="2" borderId="0" xfId="0" applyFont="1" applyFill="1"/>
    <xf numFmtId="0" fontId="1" fillId="0" borderId="0" xfId="0" applyFont="1"/>
    <xf numFmtId="0" fontId="0" fillId="2" borderId="0" xfId="0" applyFont="1" applyFill="1" applyAlignment="1">
      <alignment horizontal="left"/>
    </xf>
    <xf numFmtId="0" fontId="0" fillId="2" borderId="0" xfId="0" applyFill="1"/>
    <xf numFmtId="0" fontId="2" fillId="2" borderId="0" xfId="0" applyFont="1" applyFill="1"/>
    <xf numFmtId="0" fontId="3" fillId="2" borderId="0" xfId="0" applyFont="1" applyFill="1" applyAlignment="1">
      <alignment vertical="center"/>
    </xf>
    <xf numFmtId="0" fontId="3" fillId="2" borderId="0" xfId="0" applyFont="1" applyFill="1" applyAlignment="1">
      <alignment vertical="center" wrapText="1"/>
    </xf>
    <xf numFmtId="0" fontId="4" fillId="2" borderId="0" xfId="0" applyFont="1" applyFill="1" applyAlignment="1">
      <alignment vertical="center"/>
    </xf>
    <xf numFmtId="0" fontId="5" fillId="0" borderId="1" xfId="0" applyFont="1" applyBorder="1" applyAlignment="1">
      <alignment horizontal="center" vertical="top" wrapText="1"/>
    </xf>
    <xf numFmtId="0" fontId="5" fillId="2" borderId="1" xfId="0" applyFont="1" applyFill="1" applyBorder="1" applyAlignment="1">
      <alignment horizontal="center" vertical="top" wrapText="1"/>
    </xf>
    <xf numFmtId="0" fontId="5" fillId="2" borderId="2" xfId="0" applyFont="1" applyFill="1" applyBorder="1" applyAlignment="1">
      <alignment horizontal="center" vertical="top" wrapText="1"/>
    </xf>
    <xf numFmtId="0" fontId="5" fillId="3" borderId="1" xfId="0" applyFont="1" applyFill="1" applyBorder="1" applyAlignment="1">
      <alignment horizontal="center" vertical="top" wrapText="1"/>
    </xf>
    <xf numFmtId="0" fontId="7" fillId="0" borderId="0" xfId="0" applyFont="1"/>
    <xf numFmtId="0" fontId="8" fillId="0" borderId="1" xfId="0" applyFont="1" applyBorder="1" applyAlignment="1">
      <alignment vertical="top" wrapText="1"/>
    </xf>
    <xf numFmtId="0" fontId="9" fillId="2" borderId="1" xfId="1" applyFill="1" applyBorder="1" applyAlignment="1">
      <alignment vertical="top" wrapText="1"/>
    </xf>
    <xf numFmtId="0" fontId="10" fillId="0" borderId="0" xfId="0" applyFont="1"/>
    <xf numFmtId="0" fontId="11" fillId="0" borderId="1" xfId="0" applyFont="1" applyBorder="1" applyAlignment="1">
      <alignment vertical="top" wrapText="1"/>
    </xf>
    <xf numFmtId="0" fontId="8" fillId="2" borderId="1" xfId="0" applyFont="1" applyFill="1" applyBorder="1" applyAlignment="1">
      <alignment vertical="top" wrapText="1"/>
    </xf>
    <xf numFmtId="22" fontId="8" fillId="0" borderId="1" xfId="0" applyNumberFormat="1" applyFont="1" applyBorder="1" applyAlignment="1">
      <alignment vertical="top" wrapText="1"/>
    </xf>
    <xf numFmtId="0" fontId="9" fillId="0" borderId="1" xfId="1" applyBorder="1" applyAlignment="1">
      <alignment vertical="top" wrapText="1"/>
    </xf>
    <xf numFmtId="0" fontId="5" fillId="2" borderId="0" xfId="0" applyFont="1" applyFill="1" applyBorder="1" applyAlignment="1">
      <alignment horizontal="center" vertical="top" wrapText="1"/>
    </xf>
    <xf numFmtId="0" fontId="6" fillId="0" borderId="3" xfId="0" applyFont="1" applyBorder="1" applyAlignment="1">
      <alignment vertical="top"/>
    </xf>
    <xf numFmtId="0" fontId="8" fillId="4" borderId="1" xfId="0" applyFont="1" applyFill="1" applyBorder="1" applyAlignment="1">
      <alignment vertical="top" wrapText="1"/>
    </xf>
    <xf numFmtId="0" fontId="6" fillId="0" borderId="3" xfId="0" applyFont="1" applyBorder="1"/>
    <xf numFmtId="2" fontId="6" fillId="0" borderId="3" xfId="0" applyNumberFormat="1" applyFont="1" applyBorder="1" applyAlignment="1">
      <alignment vertical="top"/>
    </xf>
    <xf numFmtId="0" fontId="6" fillId="2" borderId="1" xfId="0" applyFont="1" applyFill="1" applyBorder="1" applyAlignment="1">
      <alignment vertical="top" wrapText="1"/>
    </xf>
    <xf numFmtId="0" fontId="6" fillId="0" borderId="1" xfId="0" applyFont="1" applyBorder="1" applyAlignment="1">
      <alignment vertical="top" wrapText="1"/>
    </xf>
    <xf numFmtId="15" fontId="8" fillId="0" borderId="1" xfId="0" applyNumberFormat="1" applyFont="1" applyBorder="1" applyAlignment="1">
      <alignment vertical="top" wrapText="1"/>
    </xf>
    <xf numFmtId="0" fontId="12" fillId="2" borderId="1" xfId="1" applyFont="1" applyFill="1" applyBorder="1" applyAlignment="1">
      <alignment vertical="top" wrapText="1"/>
    </xf>
    <xf numFmtId="0" fontId="6" fillId="4" borderId="1" xfId="0" applyFont="1" applyFill="1" applyBorder="1" applyAlignment="1">
      <alignment vertical="top" wrapText="1"/>
    </xf>
    <xf numFmtId="0" fontId="6" fillId="5" borderId="1" xfId="0" applyFont="1" applyFill="1" applyBorder="1" applyAlignment="1">
      <alignment vertical="top" wrapText="1"/>
    </xf>
    <xf numFmtId="0" fontId="6" fillId="5" borderId="3" xfId="0" applyFont="1" applyFill="1" applyBorder="1" applyAlignment="1">
      <alignment vertical="top"/>
    </xf>
    <xf numFmtId="0" fontId="8" fillId="5" borderId="1" xfId="0" applyFont="1" applyFill="1" applyBorder="1" applyAlignment="1">
      <alignment vertical="top" wrapText="1"/>
    </xf>
    <xf numFmtId="2" fontId="6" fillId="5" borderId="3" xfId="0" applyNumberFormat="1" applyFont="1" applyFill="1" applyBorder="1" applyAlignment="1">
      <alignment vertical="top"/>
    </xf>
    <xf numFmtId="0" fontId="7" fillId="5" borderId="0" xfId="0" applyFont="1" applyFill="1"/>
    <xf numFmtId="0" fontId="7" fillId="0" borderId="3" xfId="0" applyFont="1" applyBorder="1" applyAlignment="1">
      <alignment vertical="top"/>
    </xf>
    <xf numFmtId="0" fontId="6" fillId="6" borderId="1" xfId="0" applyFont="1" applyFill="1" applyBorder="1" applyAlignment="1">
      <alignment vertical="top" wrapText="1"/>
    </xf>
    <xf numFmtId="0" fontId="6" fillId="7" borderId="1" xfId="0" applyFont="1" applyFill="1" applyBorder="1" applyAlignment="1">
      <alignment vertical="top" wrapText="1"/>
    </xf>
    <xf numFmtId="0" fontId="6" fillId="0" borderId="3" xfId="0" applyFont="1" applyBorder="1" applyAlignment="1">
      <alignment vertical="top" wrapText="1"/>
    </xf>
    <xf numFmtId="0" fontId="13" fillId="2" borderId="1" xfId="0" applyFont="1" applyFill="1" applyBorder="1" applyAlignment="1">
      <alignment vertical="top" wrapText="1"/>
    </xf>
    <xf numFmtId="0" fontId="2" fillId="0" borderId="1" xfId="0" applyFont="1" applyBorder="1" applyAlignment="1">
      <alignment vertical="top" wrapText="1"/>
    </xf>
    <xf numFmtId="0" fontId="2" fillId="0" borderId="0" xfId="0" applyFont="1"/>
    <xf numFmtId="0" fontId="6" fillId="3" borderId="1" xfId="0" applyFont="1" applyFill="1" applyBorder="1" applyAlignment="1">
      <alignment vertical="top" wrapText="1"/>
    </xf>
    <xf numFmtId="0" fontId="13" fillId="6" borderId="1" xfId="0" applyFont="1" applyFill="1" applyBorder="1" applyAlignment="1">
      <alignment vertical="top" wrapText="1"/>
    </xf>
    <xf numFmtId="0" fontId="14" fillId="6" borderId="1" xfId="0" applyFont="1" applyFill="1" applyBorder="1" applyAlignment="1">
      <alignment vertical="top" wrapText="1"/>
    </xf>
    <xf numFmtId="0" fontId="7" fillId="2" borderId="0" xfId="0" applyFont="1" applyFill="1"/>
    <xf numFmtId="0" fontId="8" fillId="0" borderId="4" xfId="0" applyFont="1" applyBorder="1" applyAlignment="1">
      <alignment vertical="top" wrapText="1"/>
    </xf>
    <xf numFmtId="0" fontId="6" fillId="0" borderId="4" xfId="0" applyFont="1" applyBorder="1" applyAlignment="1">
      <alignment vertical="top" wrapText="1"/>
    </xf>
    <xf numFmtId="0" fontId="6" fillId="5" borderId="4" xfId="0" applyFont="1" applyFill="1" applyBorder="1" applyAlignment="1">
      <alignment vertical="top" wrapText="1"/>
    </xf>
    <xf numFmtId="0" fontId="2" fillId="0" borderId="4" xfId="0" applyFont="1" applyBorder="1" applyAlignment="1">
      <alignment vertical="top" wrapText="1"/>
    </xf>
    <xf numFmtId="2" fontId="6" fillId="0" borderId="0" xfId="0" applyNumberFormat="1" applyFont="1" applyBorder="1" applyAlignment="1">
      <alignment vertical="top"/>
    </xf>
    <xf numFmtId="0" fontId="6" fillId="2" borderId="3" xfId="0" applyFont="1" applyFill="1" applyBorder="1" applyAlignment="1">
      <alignment vertical="top"/>
    </xf>
    <xf numFmtId="0" fontId="6" fillId="0" borderId="0" xfId="0" applyFont="1" applyBorder="1" applyAlignment="1">
      <alignment vertical="top"/>
    </xf>
    <xf numFmtId="0" fontId="16" fillId="9" borderId="4" xfId="0" applyFont="1" applyFill="1" applyBorder="1" applyAlignment="1">
      <alignment horizontal="center" vertical="top" wrapText="1"/>
    </xf>
    <xf numFmtId="0" fontId="16" fillId="9" borderId="1" xfId="0" applyFont="1" applyFill="1" applyBorder="1" applyAlignment="1">
      <alignment horizontal="center" vertical="top" wrapText="1"/>
    </xf>
    <xf numFmtId="0" fontId="16" fillId="9" borderId="2" xfId="0" applyFont="1" applyFill="1" applyBorder="1" applyAlignment="1">
      <alignment horizontal="center" vertical="top" wrapText="1"/>
    </xf>
    <xf numFmtId="0" fontId="16" fillId="9" borderId="6" xfId="0" applyFont="1" applyFill="1" applyBorder="1" applyAlignment="1">
      <alignment horizontal="center" vertical="top" wrapText="1"/>
    </xf>
    <xf numFmtId="0" fontId="17" fillId="9" borderId="0" xfId="0" applyFont="1" applyFill="1"/>
    <xf numFmtId="166" fontId="8" fillId="0" borderId="1" xfId="0" applyNumberFormat="1" applyFont="1" applyBorder="1" applyAlignment="1">
      <alignment vertical="top" wrapText="1"/>
    </xf>
    <xf numFmtId="0" fontId="0" fillId="0" borderId="3" xfId="0" applyFill="1" applyBorder="1" applyAlignment="1">
      <alignment wrapText="1"/>
    </xf>
    <xf numFmtId="0" fontId="1" fillId="2" borderId="0" xfId="0" applyFont="1" applyFill="1" applyAlignment="1">
      <alignment horizontal="center" wrapText="1"/>
    </xf>
    <xf numFmtId="0" fontId="0" fillId="0" borderId="0" xfId="0" applyAlignment="1">
      <alignment wrapText="1"/>
    </xf>
    <xf numFmtId="0" fontId="0" fillId="0" borderId="3" xfId="0" applyBorder="1" applyAlignment="1">
      <alignment wrapText="1"/>
    </xf>
    <xf numFmtId="0" fontId="0" fillId="8" borderId="3" xfId="0" applyFill="1" applyBorder="1" applyAlignment="1">
      <alignment horizontal="center" wrapText="1"/>
    </xf>
    <xf numFmtId="0" fontId="0" fillId="10" borderId="3" xfId="0" applyFill="1" applyBorder="1" applyAlignment="1">
      <alignment horizontal="center" wrapText="1"/>
    </xf>
    <xf numFmtId="0" fontId="0" fillId="0" borderId="0" xfId="0" applyFill="1" applyAlignment="1">
      <alignment wrapText="1"/>
    </xf>
    <xf numFmtId="0" fontId="10" fillId="0" borderId="3" xfId="0" applyFont="1" applyBorder="1"/>
    <xf numFmtId="0" fontId="7" fillId="0" borderId="3" xfId="0" applyFont="1" applyBorder="1"/>
    <xf numFmtId="0" fontId="6" fillId="0" borderId="1" xfId="0" applyFont="1" applyBorder="1" applyAlignment="1">
      <alignment vertical="top"/>
    </xf>
    <xf numFmtId="0" fontId="8" fillId="0" borderId="3" xfId="0" applyFont="1" applyBorder="1" applyAlignment="1">
      <alignment vertical="top" wrapText="1"/>
    </xf>
    <xf numFmtId="0" fontId="2" fillId="0" borderId="3" xfId="0" applyFont="1" applyBorder="1" applyAlignment="1">
      <alignment vertical="top" wrapText="1"/>
    </xf>
    <xf numFmtId="0" fontId="6" fillId="0" borderId="0" xfId="0" applyFont="1" applyBorder="1" applyAlignment="1">
      <alignment vertical="top" wrapText="1"/>
    </xf>
    <xf numFmtId="0" fontId="10" fillId="0" borderId="1" xfId="0" applyFont="1" applyBorder="1"/>
    <xf numFmtId="0" fontId="6" fillId="2" borderId="0" xfId="0" applyFont="1" applyFill="1" applyBorder="1" applyAlignment="1">
      <alignment vertical="top" wrapText="1"/>
    </xf>
    <xf numFmtId="0" fontId="7" fillId="0" borderId="1" xfId="0" applyFont="1" applyBorder="1"/>
    <xf numFmtId="0" fontId="6" fillId="6" borderId="0" xfId="0" applyFont="1" applyFill="1" applyBorder="1" applyAlignment="1">
      <alignment vertical="top" wrapText="1"/>
    </xf>
    <xf numFmtId="0" fontId="13" fillId="6" borderId="0" xfId="0" applyFont="1" applyFill="1" applyBorder="1" applyAlignment="1">
      <alignment vertical="top" wrapText="1"/>
    </xf>
    <xf numFmtId="0" fontId="5" fillId="0" borderId="3" xfId="0" applyFont="1" applyBorder="1" applyAlignment="1">
      <alignment horizontal="center" vertical="top" wrapText="1"/>
    </xf>
    <xf numFmtId="0" fontId="5" fillId="2" borderId="3" xfId="0" applyFont="1" applyFill="1" applyBorder="1" applyAlignment="1">
      <alignment horizontal="center" vertical="top" wrapText="1"/>
    </xf>
    <xf numFmtId="0" fontId="2" fillId="0" borderId="3" xfId="0" applyFont="1" applyBorder="1"/>
    <xf numFmtId="2" fontId="6" fillId="0" borderId="1" xfId="0" applyNumberFormat="1" applyFont="1" applyBorder="1" applyAlignment="1">
      <alignment vertical="top"/>
    </xf>
    <xf numFmtId="2" fontId="6" fillId="0" borderId="5" xfId="0" applyNumberFormat="1" applyFont="1" applyBorder="1" applyAlignment="1">
      <alignment vertical="top"/>
    </xf>
    <xf numFmtId="0" fontId="6" fillId="0" borderId="2" xfId="0" applyFont="1" applyBorder="1" applyAlignment="1">
      <alignment vertical="top"/>
    </xf>
    <xf numFmtId="14" fontId="0" fillId="0" borderId="0" xfId="0" applyNumberFormat="1"/>
  </cellXfs>
  <cellStyles count="2">
    <cellStyle name="Hyperlink" xfId="1" builtinId="8"/>
    <cellStyle name="Normal" xfId="0" builtinId="0"/>
  </cellStyles>
  <dxfs count="52">
    <dxf>
      <font>
        <b val="0"/>
        <i val="0"/>
        <strike val="0"/>
        <condense val="0"/>
        <extend val="0"/>
        <outline val="0"/>
        <shadow val="0"/>
        <u val="none"/>
        <vertAlign val="baseline"/>
        <sz val="10"/>
        <color rgb="FF000000"/>
        <name val="Calibri"/>
        <scheme val="minor"/>
      </font>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scheme val="minor"/>
      </font>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Arial"/>
        <scheme val="none"/>
      </font>
      <numFmt numFmtId="27" formatCode="dd/mm/yyyy\ hh:mm"/>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10"/>
        <color theme="0"/>
        <name val="Calibri"/>
        <scheme val="minor"/>
      </font>
      <fill>
        <patternFill patternType="solid">
          <fgColor indexed="64"/>
          <bgColor theme="1"/>
        </patternFill>
      </fill>
      <alignment horizontal="center" vertical="top" textRotation="0" wrapText="1" indent="0" justifyLastLine="0" shrinkToFit="0" readingOrder="0"/>
      <border diagonalUp="0" diagonalDown="0" outline="0">
        <left style="thin">
          <color indexed="64"/>
        </left>
        <right style="thin">
          <color indexed="64"/>
        </right>
        <top/>
        <bottom/>
      </border>
    </dxf>
    <dxf>
      <border outline="0">
        <left style="thin">
          <color rgb="FF000000"/>
        </left>
      </border>
    </dxf>
    <dxf>
      <font>
        <b val="0"/>
        <i val="0"/>
        <strike val="0"/>
        <condense val="0"/>
        <extend val="0"/>
        <outline val="0"/>
        <shadow val="0"/>
        <u val="none"/>
        <vertAlign val="baseline"/>
        <sz val="10"/>
        <color rgb="FF000000"/>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0"/>
        <color rgb="FF000000"/>
        <name val="Calibri"/>
        <scheme val="minor"/>
      </font>
      <numFmt numFmtId="2"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numFmt numFmtId="27" formatCode="dd/mm/yyyy\ hh:mm"/>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numFmt numFmtId="27" formatCode="dd/mm/yyyy\ hh:mm"/>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fill>
        <patternFill patternType="solid">
          <fgColor indexed="64"/>
          <bgColor rgb="FFFFFF00"/>
        </patternFill>
      </fill>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scheme val="none"/>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ertAlign val="baseline"/>
        <sz val="10"/>
        <color theme="10"/>
        <name val="Calibri"/>
        <scheme val="minor"/>
      </font>
      <fill>
        <patternFill patternType="solid">
          <fgColor indexed="64"/>
          <bgColor rgb="FFFFFF00"/>
        </patternFill>
      </fill>
      <alignment horizontal="general"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scheme val="minor"/>
      </font>
      <alignment horizontal="general" vertical="top" textRotation="0" wrapText="1" indent="0" justifyLastLine="0" shrinkToFit="0" readingOrder="0"/>
      <border diagonalUp="0" diagonalDown="0">
        <left/>
        <right style="thin">
          <color rgb="FF000000"/>
        </right>
        <top style="thin">
          <color rgb="FF000000"/>
        </top>
        <bottom style="thin">
          <color rgb="FF0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Sheet1!$W$3</c:f>
              <c:strCache>
                <c:ptCount val="1"/>
                <c:pt idx="0">
                  <c:v>Open defect Count</c:v>
                </c:pt>
              </c:strCache>
            </c:strRef>
          </c:tx>
          <c:marker>
            <c:symbol val="none"/>
          </c:marker>
          <c:cat>
            <c:strRef>
              <c:f>Sheet1!$V$4:$V$14</c:f>
              <c:strCache>
                <c:ptCount val="11"/>
                <c:pt idx="0">
                  <c:v>BTS-BA</c:v>
                </c:pt>
                <c:pt idx="1">
                  <c:v>BTS-Deploy</c:v>
                </c:pt>
                <c:pt idx="2">
                  <c:v>BTS-Dev</c:v>
                </c:pt>
                <c:pt idx="3">
                  <c:v>BTS-Platform</c:v>
                </c:pt>
                <c:pt idx="4">
                  <c:v>DMO</c:v>
                </c:pt>
                <c:pt idx="5">
                  <c:v>SRC-BWC</c:v>
                </c:pt>
                <c:pt idx="6">
                  <c:v>SRC-CFR</c:v>
                </c:pt>
                <c:pt idx="7">
                  <c:v>SRC-EPM</c:v>
                </c:pt>
                <c:pt idx="8">
                  <c:v>SRC-GCF</c:v>
                </c:pt>
                <c:pt idx="9">
                  <c:v>TD-Dev</c:v>
                </c:pt>
                <c:pt idx="10">
                  <c:v>Test-SIT</c:v>
                </c:pt>
              </c:strCache>
            </c:strRef>
          </c:cat>
          <c:val>
            <c:numRef>
              <c:f>Sheet1!$W$4:$W$14</c:f>
              <c:numCache>
                <c:formatCode>General</c:formatCode>
                <c:ptCount val="11"/>
                <c:pt idx="0">
                  <c:v>0</c:v>
                </c:pt>
                <c:pt idx="1">
                  <c:v>0</c:v>
                </c:pt>
                <c:pt idx="2">
                  <c:v>0</c:v>
                </c:pt>
                <c:pt idx="3">
                  <c:v>5</c:v>
                </c:pt>
                <c:pt idx="4">
                  <c:v>1</c:v>
                </c:pt>
                <c:pt idx="5">
                  <c:v>0</c:v>
                </c:pt>
                <c:pt idx="6">
                  <c:v>0</c:v>
                </c:pt>
                <c:pt idx="7">
                  <c:v>0</c:v>
                </c:pt>
                <c:pt idx="8">
                  <c:v>0</c:v>
                </c:pt>
                <c:pt idx="9">
                  <c:v>2</c:v>
                </c:pt>
                <c:pt idx="10">
                  <c:v>1</c:v>
                </c:pt>
              </c:numCache>
            </c:numRef>
          </c:val>
          <c:smooth val="0"/>
        </c:ser>
        <c:ser>
          <c:idx val="1"/>
          <c:order val="1"/>
          <c:tx>
            <c:strRef>
              <c:f>Sheet1!$X$3</c:f>
              <c:strCache>
                <c:ptCount val="1"/>
                <c:pt idx="0">
                  <c:v>Max Estimated time -Open
(Based on Ageing)</c:v>
                </c:pt>
              </c:strCache>
            </c:strRef>
          </c:tx>
          <c:marker>
            <c:symbol val="none"/>
          </c:marker>
          <c:cat>
            <c:strRef>
              <c:f>Sheet1!$V$4:$V$14</c:f>
              <c:strCache>
                <c:ptCount val="11"/>
                <c:pt idx="0">
                  <c:v>BTS-BA</c:v>
                </c:pt>
                <c:pt idx="1">
                  <c:v>BTS-Deploy</c:v>
                </c:pt>
                <c:pt idx="2">
                  <c:v>BTS-Dev</c:v>
                </c:pt>
                <c:pt idx="3">
                  <c:v>BTS-Platform</c:v>
                </c:pt>
                <c:pt idx="4">
                  <c:v>DMO</c:v>
                </c:pt>
                <c:pt idx="5">
                  <c:v>SRC-BWC</c:v>
                </c:pt>
                <c:pt idx="6">
                  <c:v>SRC-CFR</c:v>
                </c:pt>
                <c:pt idx="7">
                  <c:v>SRC-EPM</c:v>
                </c:pt>
                <c:pt idx="8">
                  <c:v>SRC-GCF</c:v>
                </c:pt>
                <c:pt idx="9">
                  <c:v>TD-Dev</c:v>
                </c:pt>
                <c:pt idx="10">
                  <c:v>Test-SIT</c:v>
                </c:pt>
              </c:strCache>
            </c:strRef>
          </c:cat>
          <c:val>
            <c:numRef>
              <c:f>Sheet1!$X$4:$X$14</c:f>
              <c:numCache>
                <c:formatCode>General</c:formatCode>
                <c:ptCount val="11"/>
                <c:pt idx="3">
                  <c:v>34</c:v>
                </c:pt>
                <c:pt idx="4">
                  <c:v>17</c:v>
                </c:pt>
                <c:pt idx="9">
                  <c:v>20</c:v>
                </c:pt>
                <c:pt idx="10">
                  <c:v>25</c:v>
                </c:pt>
              </c:numCache>
            </c:numRef>
          </c:val>
          <c:smooth val="0"/>
        </c:ser>
        <c:ser>
          <c:idx val="2"/>
          <c:order val="2"/>
          <c:tx>
            <c:strRef>
              <c:f>Sheet1!$Y$3</c:f>
              <c:strCache>
                <c:ptCount val="1"/>
                <c:pt idx="0">
                  <c:v>Closed defect count</c:v>
                </c:pt>
              </c:strCache>
            </c:strRef>
          </c:tx>
          <c:marker>
            <c:symbol val="none"/>
          </c:marker>
          <c:cat>
            <c:strRef>
              <c:f>Sheet1!$V$4:$V$14</c:f>
              <c:strCache>
                <c:ptCount val="11"/>
                <c:pt idx="0">
                  <c:v>BTS-BA</c:v>
                </c:pt>
                <c:pt idx="1">
                  <c:v>BTS-Deploy</c:v>
                </c:pt>
                <c:pt idx="2">
                  <c:v>BTS-Dev</c:v>
                </c:pt>
                <c:pt idx="3">
                  <c:v>BTS-Platform</c:v>
                </c:pt>
                <c:pt idx="4">
                  <c:v>DMO</c:v>
                </c:pt>
                <c:pt idx="5">
                  <c:v>SRC-BWC</c:v>
                </c:pt>
                <c:pt idx="6">
                  <c:v>SRC-CFR</c:v>
                </c:pt>
                <c:pt idx="7">
                  <c:v>SRC-EPM</c:v>
                </c:pt>
                <c:pt idx="8">
                  <c:v>SRC-GCF</c:v>
                </c:pt>
                <c:pt idx="9">
                  <c:v>TD-Dev</c:v>
                </c:pt>
                <c:pt idx="10">
                  <c:v>Test-SIT</c:v>
                </c:pt>
              </c:strCache>
            </c:strRef>
          </c:cat>
          <c:val>
            <c:numRef>
              <c:f>Sheet1!$Y$4:$Y$14</c:f>
              <c:numCache>
                <c:formatCode>General</c:formatCode>
                <c:ptCount val="11"/>
                <c:pt idx="0">
                  <c:v>0</c:v>
                </c:pt>
                <c:pt idx="1">
                  <c:v>0</c:v>
                </c:pt>
                <c:pt idx="2">
                  <c:v>0</c:v>
                </c:pt>
                <c:pt idx="3">
                  <c:v>0</c:v>
                </c:pt>
                <c:pt idx="4">
                  <c:v>1</c:v>
                </c:pt>
                <c:pt idx="5">
                  <c:v>0</c:v>
                </c:pt>
                <c:pt idx="6">
                  <c:v>0</c:v>
                </c:pt>
                <c:pt idx="7">
                  <c:v>0</c:v>
                </c:pt>
                <c:pt idx="8">
                  <c:v>0</c:v>
                </c:pt>
                <c:pt idx="9">
                  <c:v>0</c:v>
                </c:pt>
                <c:pt idx="10">
                  <c:v>1</c:v>
                </c:pt>
              </c:numCache>
            </c:numRef>
          </c:val>
          <c:smooth val="0"/>
        </c:ser>
        <c:ser>
          <c:idx val="3"/>
          <c:order val="3"/>
          <c:tx>
            <c:strRef>
              <c:f>Sheet1!$Z$3</c:f>
              <c:strCache>
                <c:ptCount val="1"/>
                <c:pt idx="0">
                  <c:v>Max Estimated time -Closed
(Based on Ageing)</c:v>
                </c:pt>
              </c:strCache>
            </c:strRef>
          </c:tx>
          <c:marker>
            <c:symbol val="none"/>
          </c:marker>
          <c:cat>
            <c:strRef>
              <c:f>Sheet1!$V$4:$V$14</c:f>
              <c:strCache>
                <c:ptCount val="11"/>
                <c:pt idx="0">
                  <c:v>BTS-BA</c:v>
                </c:pt>
                <c:pt idx="1">
                  <c:v>BTS-Deploy</c:v>
                </c:pt>
                <c:pt idx="2">
                  <c:v>BTS-Dev</c:v>
                </c:pt>
                <c:pt idx="3">
                  <c:v>BTS-Platform</c:v>
                </c:pt>
                <c:pt idx="4">
                  <c:v>DMO</c:v>
                </c:pt>
                <c:pt idx="5">
                  <c:v>SRC-BWC</c:v>
                </c:pt>
                <c:pt idx="6">
                  <c:v>SRC-CFR</c:v>
                </c:pt>
                <c:pt idx="7">
                  <c:v>SRC-EPM</c:v>
                </c:pt>
                <c:pt idx="8">
                  <c:v>SRC-GCF</c:v>
                </c:pt>
                <c:pt idx="9">
                  <c:v>TD-Dev</c:v>
                </c:pt>
                <c:pt idx="10">
                  <c:v>Test-SIT</c:v>
                </c:pt>
              </c:strCache>
            </c:strRef>
          </c:cat>
          <c:val>
            <c:numRef>
              <c:f>Sheet1!$Z$4:$Z$14</c:f>
              <c:numCache>
                <c:formatCode>General</c:formatCode>
                <c:ptCount val="11"/>
                <c:pt idx="4">
                  <c:v>0</c:v>
                </c:pt>
                <c:pt idx="10">
                  <c:v>6</c:v>
                </c:pt>
              </c:numCache>
            </c:numRef>
          </c:val>
          <c:smooth val="0"/>
        </c:ser>
        <c:dLbls>
          <c:showLegendKey val="0"/>
          <c:showVal val="0"/>
          <c:showCatName val="0"/>
          <c:showSerName val="0"/>
          <c:showPercent val="0"/>
          <c:showBubbleSize val="0"/>
        </c:dLbls>
        <c:marker val="1"/>
        <c:smooth val="0"/>
        <c:axId val="129566592"/>
        <c:axId val="129568128"/>
      </c:lineChart>
      <c:catAx>
        <c:axId val="129566592"/>
        <c:scaling>
          <c:orientation val="minMax"/>
        </c:scaling>
        <c:delete val="0"/>
        <c:axPos val="b"/>
        <c:majorTickMark val="out"/>
        <c:minorTickMark val="none"/>
        <c:tickLblPos val="nextTo"/>
        <c:crossAx val="129568128"/>
        <c:crosses val="autoZero"/>
        <c:auto val="1"/>
        <c:lblAlgn val="ctr"/>
        <c:lblOffset val="100"/>
        <c:noMultiLvlLbl val="0"/>
      </c:catAx>
      <c:valAx>
        <c:axId val="129568128"/>
        <c:scaling>
          <c:orientation val="minMax"/>
        </c:scaling>
        <c:delete val="0"/>
        <c:axPos val="l"/>
        <c:majorGridlines/>
        <c:numFmt formatCode="General" sourceLinked="1"/>
        <c:majorTickMark val="out"/>
        <c:minorTickMark val="none"/>
        <c:tickLblPos val="nextTo"/>
        <c:crossAx val="12956659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145803520"/>
        <c:axId val="145362944"/>
      </c:lineChart>
      <c:catAx>
        <c:axId val="145803520"/>
        <c:scaling>
          <c:orientation val="minMax"/>
        </c:scaling>
        <c:delete val="0"/>
        <c:axPos val="b"/>
        <c:majorTickMark val="out"/>
        <c:minorTickMark val="none"/>
        <c:tickLblPos val="nextTo"/>
        <c:crossAx val="145362944"/>
        <c:crosses val="autoZero"/>
        <c:auto val="1"/>
        <c:lblAlgn val="ctr"/>
        <c:lblOffset val="100"/>
        <c:noMultiLvlLbl val="0"/>
      </c:catAx>
      <c:valAx>
        <c:axId val="145362944"/>
        <c:scaling>
          <c:orientation val="minMax"/>
        </c:scaling>
        <c:delete val="0"/>
        <c:axPos val="l"/>
        <c:majorGridlines/>
        <c:numFmt formatCode="General" sourceLinked="1"/>
        <c:majorTickMark val="out"/>
        <c:minorTickMark val="none"/>
        <c:tickLblPos val="nextTo"/>
        <c:crossAx val="14580352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476250</xdr:colOff>
          <xdr:row>17</xdr:row>
          <xdr:rowOff>28575</xdr:rowOff>
        </xdr:from>
        <xdr:to>
          <xdr:col>2</xdr:col>
          <xdr:colOff>504825</xdr:colOff>
          <xdr:row>19</xdr:row>
          <xdr:rowOff>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Run Macro</a:t>
              </a:r>
            </a:p>
          </xdr:txBody>
        </xdr:sp>
        <xdr:clientData fPrintsWithSheet="0"/>
      </xdr:twoCellAnchor>
    </mc:Choice>
    <mc:Fallback/>
  </mc:AlternateContent>
  <xdr:twoCellAnchor>
    <xdr:from>
      <xdr:col>12</xdr:col>
      <xdr:colOff>371475</xdr:colOff>
      <xdr:row>17</xdr:row>
      <xdr:rowOff>80962</xdr:rowOff>
    </xdr:from>
    <xdr:to>
      <xdr:col>19</xdr:col>
      <xdr:colOff>447675</xdr:colOff>
      <xdr:row>31</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5</xdr:row>
      <xdr:rowOff>0</xdr:rowOff>
    </xdr:from>
    <xdr:to>
      <xdr:col>19</xdr:col>
      <xdr:colOff>304800</xdr:colOff>
      <xdr:row>19</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looku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_report"/>
      <sheetName val="Rerun Status"/>
      <sheetName val="Revise Plan"/>
      <sheetName val="Statistics"/>
      <sheetName val="TD"/>
      <sheetName val="Release"/>
      <sheetName val="Others"/>
      <sheetName val="Sheet13"/>
      <sheetName val="Sheet3"/>
      <sheetName val="Sheet15"/>
      <sheetName val="Sheet7"/>
      <sheetName val="Sheet49"/>
      <sheetName val="Latest Defect"/>
      <sheetName val="Lookup"/>
      <sheetName val="Sheet2"/>
      <sheetName val="Sheet14"/>
      <sheetName val="Sheet23"/>
      <sheetName val="Sheet9"/>
      <sheetName val="Sheet10"/>
      <sheetName val="Sheet33"/>
      <sheetName val="Sheet32"/>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A1" t="str">
            <v>Name</v>
          </cell>
          <cell r="B1" t="str">
            <v>Dept</v>
          </cell>
        </row>
        <row r="2">
          <cell r="A2" t="str">
            <v>Murali Ottappalam Subramaniam SHANKAR</v>
          </cell>
          <cell r="B2" t="str">
            <v>BTS-BA</v>
          </cell>
        </row>
        <row r="3">
          <cell r="A3" t="str">
            <v>Kalarickal Rameshan PILLAI Renjith</v>
          </cell>
          <cell r="B3" t="str">
            <v>BTS-Deploy</v>
          </cell>
        </row>
        <row r="4">
          <cell r="A4" t="str">
            <v>Ranjana KIRAN</v>
          </cell>
          <cell r="B4" t="str">
            <v>BTS-Dev</v>
          </cell>
        </row>
        <row r="5">
          <cell r="A5" t="str">
            <v>Sritam SAMBIT</v>
          </cell>
          <cell r="B5" t="str">
            <v>BTS-Dev</v>
          </cell>
        </row>
        <row r="6">
          <cell r="A6" t="str">
            <v>Thiruppathi DURAISAMY</v>
          </cell>
          <cell r="B6" t="str">
            <v>BTS-Platform</v>
          </cell>
        </row>
        <row r="7">
          <cell r="A7" t="str">
            <v>Jasmeet Singh BIRGI</v>
          </cell>
          <cell r="B7" t="str">
            <v>BTS-Platform</v>
          </cell>
        </row>
        <row r="8">
          <cell r="A8" t="str">
            <v>KANG Cheng Hong</v>
          </cell>
          <cell r="B8" t="str">
            <v>DMO</v>
          </cell>
        </row>
        <row r="9">
          <cell r="A9" t="str">
            <v>Kavitha YEDUGURU</v>
          </cell>
          <cell r="B9" t="str">
            <v>SRC-EPM</v>
          </cell>
        </row>
        <row r="10">
          <cell r="A10" t="str">
            <v>Philippe GRENIER</v>
          </cell>
          <cell r="B10" t="str">
            <v>TD-Dev</v>
          </cell>
        </row>
        <row r="11">
          <cell r="A11" t="str">
            <v>KIM Sang Chul</v>
          </cell>
          <cell r="B11" t="str">
            <v>TD-Dev</v>
          </cell>
        </row>
        <row r="12">
          <cell r="A12" t="str">
            <v>GANGARAJU Kaluvapalli</v>
          </cell>
          <cell r="B12" t="str">
            <v>Test-SIT</v>
          </cell>
        </row>
        <row r="13">
          <cell r="A13" t="str">
            <v>PANDA Mahesh</v>
          </cell>
          <cell r="B13" t="str">
            <v>Test-SIT</v>
          </cell>
        </row>
        <row r="14">
          <cell r="A14" t="str">
            <v>PIDIKITI Abhiram</v>
          </cell>
          <cell r="B14" t="str">
            <v>Test-SIT</v>
          </cell>
        </row>
        <row r="15">
          <cell r="A15" t="str">
            <v>PRAVEEN KUMAR Manda</v>
          </cell>
          <cell r="B15" t="str">
            <v>Test-SIT</v>
          </cell>
        </row>
        <row r="16">
          <cell r="A16" t="str">
            <v>THANT OO Myo</v>
          </cell>
          <cell r="B16" t="str">
            <v>Test-SIT</v>
          </cell>
        </row>
        <row r="17">
          <cell r="A17" t="str">
            <v>Jayaprakash BALASUBRAMANIAN</v>
          </cell>
          <cell r="B17" t="str">
            <v>SRC-BWC</v>
          </cell>
        </row>
        <row r="18">
          <cell r="A18" t="str">
            <v>NEW Lay Hong</v>
          </cell>
          <cell r="B18" t="str">
            <v>BTS-Dev</v>
          </cell>
        </row>
        <row r="19">
          <cell r="A19" t="str">
            <v>SHEIKH MOHD Rafik</v>
          </cell>
          <cell r="B19" t="str">
            <v>TD-Dev</v>
          </cell>
        </row>
        <row r="20">
          <cell r="A20" t="str">
            <v>RAMAMOORTHY Gopalakrishnan</v>
          </cell>
          <cell r="B20" t="str">
            <v>BTS-Platform</v>
          </cell>
        </row>
        <row r="21">
          <cell r="A21" t="str">
            <v>SURYA TEJA Bonagiri</v>
          </cell>
          <cell r="B21" t="str">
            <v>Test-SIT</v>
          </cell>
        </row>
        <row r="22">
          <cell r="A22" t="str">
            <v>Agnes Sok Koon CHUA</v>
          </cell>
          <cell r="B22" t="str">
            <v>SRC-CFR</v>
          </cell>
        </row>
        <row r="23">
          <cell r="A23" t="str">
            <v>Rhys Hazel RAQUIPISO</v>
          </cell>
          <cell r="B23" t="str">
            <v>SRC-GCF</v>
          </cell>
        </row>
        <row r="24">
          <cell r="A24" t="str">
            <v>Catherine NG Xiu Wen</v>
          </cell>
          <cell r="B24" t="str">
            <v>DMO</v>
          </cell>
        </row>
        <row r="25">
          <cell r="A25" t="str">
            <v>Eugene YANG Jiahao</v>
          </cell>
          <cell r="B25" t="str">
            <v>DMO</v>
          </cell>
        </row>
        <row r="26">
          <cell r="A26" t="str">
            <v>LIN Wei Ling</v>
          </cell>
          <cell r="B26" t="str">
            <v>DMO</v>
          </cell>
        </row>
        <row r="27">
          <cell r="A27" t="str">
            <v>Robert CHEAH Tong Ngee</v>
          </cell>
          <cell r="B27" t="str">
            <v>DMO</v>
          </cell>
        </row>
        <row r="28">
          <cell r="A28" t="str">
            <v>TAN Tian Wen</v>
          </cell>
          <cell r="B28" t="str">
            <v>DMO</v>
          </cell>
        </row>
        <row r="29">
          <cell r="A29" t="str">
            <v>Charles BERNARD</v>
          </cell>
          <cell r="B29" t="str">
            <v>TD-Dev</v>
          </cell>
        </row>
        <row r="30">
          <cell r="A30" t="str">
            <v>SURYA TEJA Bonagiri</v>
          </cell>
          <cell r="B30" t="str">
            <v>Test-SIT</v>
          </cell>
        </row>
        <row r="31">
          <cell r="A31" t="str">
            <v>CHAN Kit Mun</v>
          </cell>
          <cell r="B31" t="str">
            <v>SRC-BWC</v>
          </cell>
        </row>
      </sheetData>
      <sheetData sheetId="14"/>
      <sheetData sheetId="15"/>
      <sheetData sheetId="16"/>
      <sheetData sheetId="17"/>
      <sheetData sheetId="18"/>
      <sheetData sheetId="19"/>
      <sheetData sheetId="20"/>
      <sheetData sheetId="21"/>
    </sheetDataSet>
  </externalBook>
</externalLink>
</file>

<file path=xl/tables/table1.xml><?xml version="1.0" encoding="utf-8"?>
<table xmlns="http://schemas.openxmlformats.org/spreadsheetml/2006/main" id="8" name="test1" displayName="test1" ref="A1:AW381" totalsRowShown="0" headerRowDxfId="3" dataDxfId="5" tableBorderDxfId="4">
  <autoFilter ref="A1:AW381"/>
  <tableColumns count="49">
    <tableColumn id="1" name="Project" dataDxfId="51"/>
    <tableColumn id="2" name="Key" dataDxfId="50" dataCellStyle="Hyperlink"/>
    <tableColumn id="3" name="Summary" dataDxfId="49"/>
    <tableColumn id="4" name="Component" dataDxfId="48"/>
    <tableColumn id="5" name="Defect Category" dataDxfId="47"/>
    <tableColumn id="6" name="UAT Status" dataDxfId="46"/>
    <tableColumn id="7" name="Fix Version/s" dataDxfId="45"/>
    <tableColumn id="8" name="TD Comments" dataDxfId="44"/>
    <tableColumn id="9" name="SIT4 Status" dataDxfId="43"/>
    <tableColumn id="10" name="Issue Type" dataDxfId="42"/>
    <tableColumn id="11" name="Status" dataDxfId="41"/>
    <tableColumn id="12" name="Priority" dataDxfId="40"/>
    <tableColumn id="13" name="Resolution" dataDxfId="39"/>
    <tableColumn id="14" name="Assignee" dataDxfId="38"/>
    <tableColumn id="15" name="Reporter" dataDxfId="37"/>
    <tableColumn id="16" name="Created" dataDxfId="2"/>
    <tableColumn id="17" name="Updated" dataDxfId="36"/>
    <tableColumn id="18" name="Resolved" dataDxfId="35"/>
    <tableColumn id="19" name="Affects Version/s" dataDxfId="34"/>
    <tableColumn id="20" name="Fix Version/s2" dataDxfId="33"/>
    <tableColumn id="21" name="Component/s" dataDxfId="32"/>
    <tableColumn id="22" name="Due Date" dataDxfId="31"/>
    <tableColumn id="23" name="Votes" dataDxfId="30"/>
    <tableColumn id="24" name="Watchers" dataDxfId="29"/>
    <tableColumn id="25" name="Images" dataDxfId="28"/>
    <tableColumn id="26" name="Original Estimate" dataDxfId="27"/>
    <tableColumn id="27" name="Remaining Estimate" dataDxfId="26"/>
    <tableColumn id="28" name="Time Spent" dataDxfId="25"/>
    <tableColumn id="29" name="Work Ratio" dataDxfId="24"/>
    <tableColumn id="30" name="Sub-Tasks" dataDxfId="23"/>
    <tableColumn id="31" name="Linked Issues" dataDxfId="22"/>
    <tableColumn id="32" name="Environment" dataDxfId="21"/>
    <tableColumn id="33" name="Description" dataDxfId="20"/>
    <tableColumn id="34" name="Security Level" dataDxfId="19"/>
    <tableColumn id="35" name="Progress" dataDxfId="18"/>
    <tableColumn id="36" name="Σ Progress" dataDxfId="17"/>
    <tableColumn id="37" name="Σ Time Spent" dataDxfId="16"/>
    <tableColumn id="38" name="Σ Remaining Estimate" dataDxfId="15"/>
    <tableColumn id="39" name="Σ Original Estimate" dataDxfId="14"/>
    <tableColumn id="40" name="Labels" dataDxfId="13"/>
    <tableColumn id="41" name="Root Cause" dataDxfId="12"/>
    <tableColumn id="42" name="Country" dataDxfId="11"/>
    <tableColumn id="43" name="Reference ID" dataDxfId="10"/>
    <tableColumn id="44" name="Test Category" dataDxfId="9"/>
    <tableColumn id="45" name="Component3" dataDxfId="8"/>
    <tableColumn id="46" name="Defect Category4" dataDxfId="7"/>
    <tableColumn id="47" name="Raised Dept" dataDxfId="6">
      <calculatedColumnFormula>VLOOKUP(O2,[1]Lookup!A:B,2,FALSE)</calculatedColumnFormula>
    </tableColumn>
    <tableColumn id="52" name="Assignee_dept" dataDxfId="1">
      <calculatedColumnFormula>VLOOKUP(test1[[#This Row],[Assignee]],lookup[#All],2,FALSE)</calculatedColumnFormula>
    </tableColumn>
    <tableColumn id="53" name="Ageing" dataDxfId="0">
      <calculatedColumnFormula>IF(test1[[#This Row],[Status]]&lt;&gt;"Closed", TODAY()-INT(test1[[#This Row],[Created]]),INT(test1[[#This Row],[Resolved]])-INT(test1[[#This Row],[Created]]))</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id="2" name="lookup" displayName="lookup" ref="A1:B31" totalsRowShown="0">
  <autoFilter ref="A1:B31"/>
  <tableColumns count="2">
    <tableColumn id="1" name="Name"/>
    <tableColumn id="2" name="Dep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hyperlink" Target="http://jiraproj.sg.uobnet.com/browse/PEDAGML-237" TargetMode="External"/><Relationship Id="rId299" Type="http://schemas.openxmlformats.org/officeDocument/2006/relationships/hyperlink" Target="http://jiraproj.sg.uobnet.com/browse/PEDAGML-53" TargetMode="External"/><Relationship Id="rId21" Type="http://schemas.openxmlformats.org/officeDocument/2006/relationships/hyperlink" Target="http://jiraproj.sg.uobnet.com/browse/PEDAGML-333" TargetMode="External"/><Relationship Id="rId63" Type="http://schemas.openxmlformats.org/officeDocument/2006/relationships/hyperlink" Target="http://jiraproj.sg.uobnet.com/browse/PEDAGML-291" TargetMode="External"/><Relationship Id="rId159" Type="http://schemas.openxmlformats.org/officeDocument/2006/relationships/hyperlink" Target="http://jiraproj.sg.uobnet.com/browse/PEDAGML-193" TargetMode="External"/><Relationship Id="rId324" Type="http://schemas.openxmlformats.org/officeDocument/2006/relationships/hyperlink" Target="http://jiraproj.sg.uobnet.com/browse/PEDAGML-369" TargetMode="External"/><Relationship Id="rId366" Type="http://schemas.openxmlformats.org/officeDocument/2006/relationships/hyperlink" Target="http://jiraproj.sg.uobnet.com/browse/PEDAGML-411" TargetMode="External"/><Relationship Id="rId170" Type="http://schemas.openxmlformats.org/officeDocument/2006/relationships/hyperlink" Target="http://jiraproj.sg.uobnet.com/browse/PEDAGML-182" TargetMode="External"/><Relationship Id="rId226" Type="http://schemas.openxmlformats.org/officeDocument/2006/relationships/hyperlink" Target="http://jiraproj.sg.uobnet.com/browse/PEDAGML-126" TargetMode="External"/><Relationship Id="rId433" Type="http://schemas.openxmlformats.org/officeDocument/2006/relationships/hyperlink" Target="http://jiraproj.sg.uobnet.com/secure/attachment/240775/_thumb_240775.png" TargetMode="External"/><Relationship Id="rId268" Type="http://schemas.openxmlformats.org/officeDocument/2006/relationships/hyperlink" Target="http://jiraproj.sg.uobnet.com/browse/PEDAGML-84" TargetMode="External"/><Relationship Id="rId32" Type="http://schemas.openxmlformats.org/officeDocument/2006/relationships/hyperlink" Target="http://jiraproj.sg.uobnet.com/browse/PEDAGML-322" TargetMode="External"/><Relationship Id="rId74" Type="http://schemas.openxmlformats.org/officeDocument/2006/relationships/hyperlink" Target="http://jiraproj.sg.uobnet.com/browse/PEDAGML-280" TargetMode="External"/><Relationship Id="rId128" Type="http://schemas.openxmlformats.org/officeDocument/2006/relationships/hyperlink" Target="http://jiraproj.sg.uobnet.com/browse/PEDAGML-224" TargetMode="External"/><Relationship Id="rId335" Type="http://schemas.openxmlformats.org/officeDocument/2006/relationships/hyperlink" Target="http://jiraproj.sg.uobnet.com/browse/PEDAGML-376" TargetMode="External"/><Relationship Id="rId377" Type="http://schemas.openxmlformats.org/officeDocument/2006/relationships/hyperlink" Target="http://jiraproj.sg.uobnet.com/browse/PEDAGML-430" TargetMode="External"/><Relationship Id="rId5" Type="http://schemas.openxmlformats.org/officeDocument/2006/relationships/hyperlink" Target="http://jiraproj.sg.uobnet.com/browse/PEDAGML-349" TargetMode="External"/><Relationship Id="rId181" Type="http://schemas.openxmlformats.org/officeDocument/2006/relationships/hyperlink" Target="http://jiraproj.sg.uobnet.com/browse/PEDAGML-171" TargetMode="External"/><Relationship Id="rId237" Type="http://schemas.openxmlformats.org/officeDocument/2006/relationships/hyperlink" Target="http://jiraproj.sg.uobnet.com/browse/PEDAGML-115" TargetMode="External"/><Relationship Id="rId402" Type="http://schemas.openxmlformats.org/officeDocument/2006/relationships/hyperlink" Target="http://jiraproj.sg.uobnet.com/secure/attachment/243281/_thumb_243281.png" TargetMode="External"/><Relationship Id="rId279" Type="http://schemas.openxmlformats.org/officeDocument/2006/relationships/hyperlink" Target="http://jiraproj.sg.uobnet.com/browse/PEDAGML-73" TargetMode="External"/><Relationship Id="rId444" Type="http://schemas.openxmlformats.org/officeDocument/2006/relationships/table" Target="../tables/table1.xml"/><Relationship Id="rId43" Type="http://schemas.openxmlformats.org/officeDocument/2006/relationships/hyperlink" Target="http://jiraproj.sg.uobnet.com/browse/PEDAGML-311" TargetMode="External"/><Relationship Id="rId139" Type="http://schemas.openxmlformats.org/officeDocument/2006/relationships/hyperlink" Target="http://jiraproj.sg.uobnet.com/browse/PEDAGML-213" TargetMode="External"/><Relationship Id="rId290" Type="http://schemas.openxmlformats.org/officeDocument/2006/relationships/hyperlink" Target="http://jiraproj.sg.uobnet.com/browse/PEDAGML-62" TargetMode="External"/><Relationship Id="rId304" Type="http://schemas.openxmlformats.org/officeDocument/2006/relationships/hyperlink" Target="http://jiraproj.sg.uobnet.com/browse/PEDAGML-47" TargetMode="External"/><Relationship Id="rId346" Type="http://schemas.openxmlformats.org/officeDocument/2006/relationships/hyperlink" Target="http://jiraproj.sg.uobnet.com/browse/PEDAGML-383" TargetMode="External"/><Relationship Id="rId388" Type="http://schemas.openxmlformats.org/officeDocument/2006/relationships/hyperlink" Target="http://jiraproj.sg.uobnet.com/secure/attachment/248676/_thumb_248676.png" TargetMode="External"/><Relationship Id="rId85" Type="http://schemas.openxmlformats.org/officeDocument/2006/relationships/hyperlink" Target="http://jiraproj.sg.uobnet.com/browse/PEDAGML-269" TargetMode="External"/><Relationship Id="rId150" Type="http://schemas.openxmlformats.org/officeDocument/2006/relationships/hyperlink" Target="http://jiraproj.sg.uobnet.com/browse/PEDAGML-202" TargetMode="External"/><Relationship Id="rId192" Type="http://schemas.openxmlformats.org/officeDocument/2006/relationships/hyperlink" Target="http://jiraproj.sg.uobnet.com/browse/PEDAGML-160" TargetMode="External"/><Relationship Id="rId206" Type="http://schemas.openxmlformats.org/officeDocument/2006/relationships/hyperlink" Target="http://jiraproj.sg.uobnet.com/browse/PEDAGML-146" TargetMode="External"/><Relationship Id="rId413" Type="http://schemas.openxmlformats.org/officeDocument/2006/relationships/hyperlink" Target="http://jiraproj.sg.uobnet.com/secure/attachment/242725/_thumb_242725.png" TargetMode="External"/><Relationship Id="rId248" Type="http://schemas.openxmlformats.org/officeDocument/2006/relationships/hyperlink" Target="http://jiraproj.sg.uobnet.com/browse/PEDAGML-104" TargetMode="External"/><Relationship Id="rId12" Type="http://schemas.openxmlformats.org/officeDocument/2006/relationships/hyperlink" Target="http://jiraproj.sg.uobnet.com/browse/PEDAGML-342" TargetMode="External"/><Relationship Id="rId33" Type="http://schemas.openxmlformats.org/officeDocument/2006/relationships/hyperlink" Target="http://jiraproj.sg.uobnet.com/browse/PEDAGML-321" TargetMode="External"/><Relationship Id="rId108" Type="http://schemas.openxmlformats.org/officeDocument/2006/relationships/hyperlink" Target="http://jiraproj.sg.uobnet.com/browse/PEDAGML-246" TargetMode="External"/><Relationship Id="rId129" Type="http://schemas.openxmlformats.org/officeDocument/2006/relationships/hyperlink" Target="http://jiraproj.sg.uobnet.com/browse/PEDAGML-223" TargetMode="External"/><Relationship Id="rId280" Type="http://schemas.openxmlformats.org/officeDocument/2006/relationships/hyperlink" Target="http://jiraproj.sg.uobnet.com/browse/PEDAGML-72" TargetMode="External"/><Relationship Id="rId315" Type="http://schemas.openxmlformats.org/officeDocument/2006/relationships/hyperlink" Target="http://jiraproj.sg.uobnet.com/browse/PEDAGML-357" TargetMode="External"/><Relationship Id="rId336" Type="http://schemas.openxmlformats.org/officeDocument/2006/relationships/hyperlink" Target="http://jiraproj.sg.uobnet.com/browse/PEDAGML-375" TargetMode="External"/><Relationship Id="rId357" Type="http://schemas.openxmlformats.org/officeDocument/2006/relationships/hyperlink" Target="http://jiraproj.sg.uobnet.com/browse/PEDAGML-423" TargetMode="External"/><Relationship Id="rId54" Type="http://schemas.openxmlformats.org/officeDocument/2006/relationships/hyperlink" Target="http://jiraproj.sg.uobnet.com/browse/PEDAGML-300" TargetMode="External"/><Relationship Id="rId75" Type="http://schemas.openxmlformats.org/officeDocument/2006/relationships/hyperlink" Target="http://jiraproj.sg.uobnet.com/browse/PEDAGML-279" TargetMode="External"/><Relationship Id="rId96" Type="http://schemas.openxmlformats.org/officeDocument/2006/relationships/hyperlink" Target="http://jiraproj.sg.uobnet.com/browse/PEDAGML-258" TargetMode="External"/><Relationship Id="rId140" Type="http://schemas.openxmlformats.org/officeDocument/2006/relationships/hyperlink" Target="http://jiraproj.sg.uobnet.com/browse/PEDAGML-212" TargetMode="External"/><Relationship Id="rId161" Type="http://schemas.openxmlformats.org/officeDocument/2006/relationships/hyperlink" Target="http://jiraproj.sg.uobnet.com/browse/PEDAGML-191" TargetMode="External"/><Relationship Id="rId182" Type="http://schemas.openxmlformats.org/officeDocument/2006/relationships/hyperlink" Target="http://jiraproj.sg.uobnet.com/browse/PEDAGML-170" TargetMode="External"/><Relationship Id="rId217" Type="http://schemas.openxmlformats.org/officeDocument/2006/relationships/hyperlink" Target="http://jiraproj.sg.uobnet.com/browse/PEDAGML-135" TargetMode="External"/><Relationship Id="rId378" Type="http://schemas.openxmlformats.org/officeDocument/2006/relationships/hyperlink" Target="http://jiraproj.sg.uobnet.com/browse/PEDAGML-429" TargetMode="External"/><Relationship Id="rId399" Type="http://schemas.openxmlformats.org/officeDocument/2006/relationships/hyperlink" Target="http://jiraproj.sg.uobnet.com/secure/attachment/243692/_thumb_243692.png" TargetMode="External"/><Relationship Id="rId403" Type="http://schemas.openxmlformats.org/officeDocument/2006/relationships/hyperlink" Target="http://jiraproj.sg.uobnet.com/secure/attachment/243122/_thumb_243122.png" TargetMode="External"/><Relationship Id="rId6" Type="http://schemas.openxmlformats.org/officeDocument/2006/relationships/hyperlink" Target="http://jiraproj.sg.uobnet.com/browse/PEDAGML-348" TargetMode="External"/><Relationship Id="rId238" Type="http://schemas.openxmlformats.org/officeDocument/2006/relationships/hyperlink" Target="http://jiraproj.sg.uobnet.com/browse/PEDAGML-114" TargetMode="External"/><Relationship Id="rId259" Type="http://schemas.openxmlformats.org/officeDocument/2006/relationships/hyperlink" Target="http://jiraproj.sg.uobnet.com/browse/PEDAGML-93" TargetMode="External"/><Relationship Id="rId424" Type="http://schemas.openxmlformats.org/officeDocument/2006/relationships/hyperlink" Target="http://jiraproj.sg.uobnet.com/secure/attachment/241844/_thumb_241844.png" TargetMode="External"/><Relationship Id="rId23" Type="http://schemas.openxmlformats.org/officeDocument/2006/relationships/hyperlink" Target="http://jiraproj.sg.uobnet.com/browse/PEDAGML-331" TargetMode="External"/><Relationship Id="rId119" Type="http://schemas.openxmlformats.org/officeDocument/2006/relationships/hyperlink" Target="http://jiraproj.sg.uobnet.com/browse/PEDAGML-234" TargetMode="External"/><Relationship Id="rId270" Type="http://schemas.openxmlformats.org/officeDocument/2006/relationships/hyperlink" Target="http://jiraproj.sg.uobnet.com/browse/PEDAGML-82" TargetMode="External"/><Relationship Id="rId291" Type="http://schemas.openxmlformats.org/officeDocument/2006/relationships/hyperlink" Target="http://jiraproj.sg.uobnet.com/browse/PEDAGML-61" TargetMode="External"/><Relationship Id="rId305" Type="http://schemas.openxmlformats.org/officeDocument/2006/relationships/hyperlink" Target="http://jiraproj.sg.uobnet.com/browse/PEDAGML-46" TargetMode="External"/><Relationship Id="rId326" Type="http://schemas.openxmlformats.org/officeDocument/2006/relationships/hyperlink" Target="http://jiraproj.sg.uobnet.com/browse/PEDAGML-367" TargetMode="External"/><Relationship Id="rId347" Type="http://schemas.openxmlformats.org/officeDocument/2006/relationships/hyperlink" Target="http://jiraproj.sg.uobnet.com/browse/PEDAGML-385" TargetMode="External"/><Relationship Id="rId44" Type="http://schemas.openxmlformats.org/officeDocument/2006/relationships/hyperlink" Target="http://jiraproj.sg.uobnet.com/browse/PEDAGML-310" TargetMode="External"/><Relationship Id="rId65" Type="http://schemas.openxmlformats.org/officeDocument/2006/relationships/hyperlink" Target="http://jiraproj.sg.uobnet.com/browse/PEDAGML-289" TargetMode="External"/><Relationship Id="rId86" Type="http://schemas.openxmlformats.org/officeDocument/2006/relationships/hyperlink" Target="http://jiraproj.sg.uobnet.com/browse/PEDAGML-268" TargetMode="External"/><Relationship Id="rId130" Type="http://schemas.openxmlformats.org/officeDocument/2006/relationships/hyperlink" Target="http://jiraproj.sg.uobnet.com/browse/PEDAGML-222" TargetMode="External"/><Relationship Id="rId151" Type="http://schemas.openxmlformats.org/officeDocument/2006/relationships/hyperlink" Target="http://jiraproj.sg.uobnet.com/browse/PEDAGML-201" TargetMode="External"/><Relationship Id="rId368" Type="http://schemas.openxmlformats.org/officeDocument/2006/relationships/hyperlink" Target="http://jiraproj.sg.uobnet.com/browse/PEDAGML-409" TargetMode="External"/><Relationship Id="rId389" Type="http://schemas.openxmlformats.org/officeDocument/2006/relationships/hyperlink" Target="http://jiraproj.sg.uobnet.com/secure/attachment/248653/_thumb_248653.png" TargetMode="External"/><Relationship Id="rId172" Type="http://schemas.openxmlformats.org/officeDocument/2006/relationships/hyperlink" Target="http://jiraproj.sg.uobnet.com/browse/PEDAGML-180" TargetMode="External"/><Relationship Id="rId193" Type="http://schemas.openxmlformats.org/officeDocument/2006/relationships/hyperlink" Target="http://jiraproj.sg.uobnet.com/browse/PEDAGML-159" TargetMode="External"/><Relationship Id="rId207" Type="http://schemas.openxmlformats.org/officeDocument/2006/relationships/hyperlink" Target="http://jiraproj.sg.uobnet.com/browse/PEDAGML-145" TargetMode="External"/><Relationship Id="rId228" Type="http://schemas.openxmlformats.org/officeDocument/2006/relationships/hyperlink" Target="http://jiraproj.sg.uobnet.com/browse/PEDAGML-124" TargetMode="External"/><Relationship Id="rId249" Type="http://schemas.openxmlformats.org/officeDocument/2006/relationships/hyperlink" Target="http://jiraproj.sg.uobnet.com/browse/PEDAGML-103" TargetMode="External"/><Relationship Id="rId414" Type="http://schemas.openxmlformats.org/officeDocument/2006/relationships/hyperlink" Target="http://jiraproj.sg.uobnet.com/secure/attachment/242542/_thumb_242542.png" TargetMode="External"/><Relationship Id="rId435" Type="http://schemas.openxmlformats.org/officeDocument/2006/relationships/hyperlink" Target="http://jiraproj.sg.uobnet.com/secure/attachment/243480/_thumb_243480.png" TargetMode="External"/><Relationship Id="rId13" Type="http://schemas.openxmlformats.org/officeDocument/2006/relationships/hyperlink" Target="http://jiraproj.sg.uobnet.com/browse/PEDAGML-341" TargetMode="External"/><Relationship Id="rId109" Type="http://schemas.openxmlformats.org/officeDocument/2006/relationships/hyperlink" Target="http://jiraproj.sg.uobnet.com/browse/PEDAGML-245" TargetMode="External"/><Relationship Id="rId260" Type="http://schemas.openxmlformats.org/officeDocument/2006/relationships/hyperlink" Target="http://jiraproj.sg.uobnet.com/browse/PEDAGML-92" TargetMode="External"/><Relationship Id="rId281" Type="http://schemas.openxmlformats.org/officeDocument/2006/relationships/hyperlink" Target="http://jiraproj.sg.uobnet.com/browse/PEDAGML-71" TargetMode="External"/><Relationship Id="rId316" Type="http://schemas.openxmlformats.org/officeDocument/2006/relationships/hyperlink" Target="http://jiraproj.sg.uobnet.com/browse/PEDAGML-356" TargetMode="External"/><Relationship Id="rId337" Type="http://schemas.openxmlformats.org/officeDocument/2006/relationships/hyperlink" Target="http://jiraproj.sg.uobnet.com/browse/PEDAGML-379" TargetMode="External"/><Relationship Id="rId34" Type="http://schemas.openxmlformats.org/officeDocument/2006/relationships/hyperlink" Target="http://jiraproj.sg.uobnet.com/browse/PEDAGML-320" TargetMode="External"/><Relationship Id="rId55" Type="http://schemas.openxmlformats.org/officeDocument/2006/relationships/hyperlink" Target="http://jiraproj.sg.uobnet.com/browse/PEDAGML-299" TargetMode="External"/><Relationship Id="rId76" Type="http://schemas.openxmlformats.org/officeDocument/2006/relationships/hyperlink" Target="http://jiraproj.sg.uobnet.com/browse/PEDAGML-278" TargetMode="External"/><Relationship Id="rId97" Type="http://schemas.openxmlformats.org/officeDocument/2006/relationships/hyperlink" Target="http://jiraproj.sg.uobnet.com/browse/PEDAGML-257" TargetMode="External"/><Relationship Id="rId120" Type="http://schemas.openxmlformats.org/officeDocument/2006/relationships/hyperlink" Target="http://jiraproj.sg.uobnet.com/browse/PEDAGML-233" TargetMode="External"/><Relationship Id="rId141" Type="http://schemas.openxmlformats.org/officeDocument/2006/relationships/hyperlink" Target="http://jiraproj.sg.uobnet.com/browse/PEDAGML-211" TargetMode="External"/><Relationship Id="rId358" Type="http://schemas.openxmlformats.org/officeDocument/2006/relationships/hyperlink" Target="http://jiraproj.sg.uobnet.com/browse/PEDAGML-422" TargetMode="External"/><Relationship Id="rId379" Type="http://schemas.openxmlformats.org/officeDocument/2006/relationships/hyperlink" Target="http://jiraproj.sg.uobnet.com/secure/attachment/251406/_thumb_251406.png" TargetMode="External"/><Relationship Id="rId7" Type="http://schemas.openxmlformats.org/officeDocument/2006/relationships/hyperlink" Target="http://jiraproj.sg.uobnet.com/browse/PEDAGML-347" TargetMode="External"/><Relationship Id="rId162" Type="http://schemas.openxmlformats.org/officeDocument/2006/relationships/hyperlink" Target="http://jiraproj.sg.uobnet.com/browse/PEDAGML-190" TargetMode="External"/><Relationship Id="rId183" Type="http://schemas.openxmlformats.org/officeDocument/2006/relationships/hyperlink" Target="http://jiraproj.sg.uobnet.com/browse/PEDAGML-169" TargetMode="External"/><Relationship Id="rId218" Type="http://schemas.openxmlformats.org/officeDocument/2006/relationships/hyperlink" Target="http://jiraproj.sg.uobnet.com/browse/PEDAGML-134" TargetMode="External"/><Relationship Id="rId239" Type="http://schemas.openxmlformats.org/officeDocument/2006/relationships/hyperlink" Target="http://jiraproj.sg.uobnet.com/browse/PEDAGML-113" TargetMode="External"/><Relationship Id="rId390" Type="http://schemas.openxmlformats.org/officeDocument/2006/relationships/hyperlink" Target="http://jiraproj.sg.uobnet.com/secure/attachment/248610/_thumb_248610.png" TargetMode="External"/><Relationship Id="rId404" Type="http://schemas.openxmlformats.org/officeDocument/2006/relationships/hyperlink" Target="http://jiraproj.sg.uobnet.com/secure/attachment/243077/_thumb_243077.png" TargetMode="External"/><Relationship Id="rId425" Type="http://schemas.openxmlformats.org/officeDocument/2006/relationships/hyperlink" Target="http://jiraproj.sg.uobnet.com/secure/attachment/241595/_thumb_241595.png" TargetMode="External"/><Relationship Id="rId250" Type="http://schemas.openxmlformats.org/officeDocument/2006/relationships/hyperlink" Target="http://jiraproj.sg.uobnet.com/browse/PEDAGML-102" TargetMode="External"/><Relationship Id="rId271" Type="http://schemas.openxmlformats.org/officeDocument/2006/relationships/hyperlink" Target="http://jiraproj.sg.uobnet.com/browse/PEDAGML-81" TargetMode="External"/><Relationship Id="rId292" Type="http://schemas.openxmlformats.org/officeDocument/2006/relationships/hyperlink" Target="http://jiraproj.sg.uobnet.com/browse/PEDAGML-60" TargetMode="External"/><Relationship Id="rId306" Type="http://schemas.openxmlformats.org/officeDocument/2006/relationships/hyperlink" Target="http://jiraproj.sg.uobnet.com/browse/PEDAGML-45" TargetMode="External"/><Relationship Id="rId24" Type="http://schemas.openxmlformats.org/officeDocument/2006/relationships/hyperlink" Target="http://jiraproj.sg.uobnet.com/browse/PEDAGML-330" TargetMode="External"/><Relationship Id="rId45" Type="http://schemas.openxmlformats.org/officeDocument/2006/relationships/hyperlink" Target="http://jiraproj.sg.uobnet.com/browse/PEDAGML-309" TargetMode="External"/><Relationship Id="rId66" Type="http://schemas.openxmlformats.org/officeDocument/2006/relationships/hyperlink" Target="http://jiraproj.sg.uobnet.com/browse/PEDAGML-288" TargetMode="External"/><Relationship Id="rId87" Type="http://schemas.openxmlformats.org/officeDocument/2006/relationships/hyperlink" Target="http://jiraproj.sg.uobnet.com/browse/PEDAGML-267" TargetMode="External"/><Relationship Id="rId110" Type="http://schemas.openxmlformats.org/officeDocument/2006/relationships/hyperlink" Target="http://jiraproj.sg.uobnet.com/browse/PEDAGML-244" TargetMode="External"/><Relationship Id="rId131" Type="http://schemas.openxmlformats.org/officeDocument/2006/relationships/hyperlink" Target="http://jiraproj.sg.uobnet.com/browse/PEDAGML-221" TargetMode="External"/><Relationship Id="rId327" Type="http://schemas.openxmlformats.org/officeDocument/2006/relationships/hyperlink" Target="http://jiraproj.sg.uobnet.com/browse/PEDAGML-366" TargetMode="External"/><Relationship Id="rId348" Type="http://schemas.openxmlformats.org/officeDocument/2006/relationships/hyperlink" Target="http://jiraproj.sg.uobnet.com/browse/PEDAGML-386" TargetMode="External"/><Relationship Id="rId369" Type="http://schemas.openxmlformats.org/officeDocument/2006/relationships/hyperlink" Target="http://jiraproj.sg.uobnet.com/browse/PEDAGML-408" TargetMode="External"/><Relationship Id="rId152" Type="http://schemas.openxmlformats.org/officeDocument/2006/relationships/hyperlink" Target="http://jiraproj.sg.uobnet.com/browse/PEDAGML-200" TargetMode="External"/><Relationship Id="rId173" Type="http://schemas.openxmlformats.org/officeDocument/2006/relationships/hyperlink" Target="http://jiraproj.sg.uobnet.com/browse/PEDAGML-179" TargetMode="External"/><Relationship Id="rId194" Type="http://schemas.openxmlformats.org/officeDocument/2006/relationships/hyperlink" Target="http://jiraproj.sg.uobnet.com/browse/PEDAGML-158" TargetMode="External"/><Relationship Id="rId208" Type="http://schemas.openxmlformats.org/officeDocument/2006/relationships/hyperlink" Target="http://jiraproj.sg.uobnet.com/browse/PEDAGML-144" TargetMode="External"/><Relationship Id="rId229" Type="http://schemas.openxmlformats.org/officeDocument/2006/relationships/hyperlink" Target="http://jiraproj.sg.uobnet.com/browse/PEDAGML-123" TargetMode="External"/><Relationship Id="rId380" Type="http://schemas.openxmlformats.org/officeDocument/2006/relationships/hyperlink" Target="http://jiraproj.sg.uobnet.com/secure/attachment/251297/_thumb_251297.png" TargetMode="External"/><Relationship Id="rId415" Type="http://schemas.openxmlformats.org/officeDocument/2006/relationships/hyperlink" Target="http://jiraproj.sg.uobnet.com/secure/attachment/243135/_thumb_243135.png" TargetMode="External"/><Relationship Id="rId436" Type="http://schemas.openxmlformats.org/officeDocument/2006/relationships/hyperlink" Target="http://jiraproj.sg.uobnet.com/secure/attachment/240328/_thumb_240328.png" TargetMode="External"/><Relationship Id="rId240" Type="http://schemas.openxmlformats.org/officeDocument/2006/relationships/hyperlink" Target="http://jiraproj.sg.uobnet.com/browse/PEDAGML-112" TargetMode="External"/><Relationship Id="rId261" Type="http://schemas.openxmlformats.org/officeDocument/2006/relationships/hyperlink" Target="http://jiraproj.sg.uobnet.com/browse/PEDAGML-91" TargetMode="External"/><Relationship Id="rId14" Type="http://schemas.openxmlformats.org/officeDocument/2006/relationships/hyperlink" Target="http://jiraproj.sg.uobnet.com/browse/PEDAGML-340" TargetMode="External"/><Relationship Id="rId35" Type="http://schemas.openxmlformats.org/officeDocument/2006/relationships/hyperlink" Target="http://jiraproj.sg.uobnet.com/browse/PEDAGML-319" TargetMode="External"/><Relationship Id="rId56" Type="http://schemas.openxmlformats.org/officeDocument/2006/relationships/hyperlink" Target="http://jiraproj.sg.uobnet.com/browse/PEDAGML-298" TargetMode="External"/><Relationship Id="rId77" Type="http://schemas.openxmlformats.org/officeDocument/2006/relationships/hyperlink" Target="http://jiraproj.sg.uobnet.com/browse/PEDAGML-277" TargetMode="External"/><Relationship Id="rId100" Type="http://schemas.openxmlformats.org/officeDocument/2006/relationships/hyperlink" Target="http://jiraproj.sg.uobnet.com/browse/PEDAGML-254" TargetMode="External"/><Relationship Id="rId282" Type="http://schemas.openxmlformats.org/officeDocument/2006/relationships/hyperlink" Target="http://jiraproj.sg.uobnet.com/browse/PEDAGML-70" TargetMode="External"/><Relationship Id="rId317" Type="http://schemas.openxmlformats.org/officeDocument/2006/relationships/hyperlink" Target="http://jiraproj.sg.uobnet.com/browse/PEDAGML-354" TargetMode="External"/><Relationship Id="rId338" Type="http://schemas.openxmlformats.org/officeDocument/2006/relationships/hyperlink" Target="http://jiraproj.sg.uobnet.com/browse/PEDAGML-381" TargetMode="External"/><Relationship Id="rId359" Type="http://schemas.openxmlformats.org/officeDocument/2006/relationships/hyperlink" Target="http://jiraproj.sg.uobnet.com/browse/PEDAGML-421" TargetMode="External"/><Relationship Id="rId8" Type="http://schemas.openxmlformats.org/officeDocument/2006/relationships/hyperlink" Target="http://jiraproj.sg.uobnet.com/browse/PEDAGML-346" TargetMode="External"/><Relationship Id="rId98" Type="http://schemas.openxmlformats.org/officeDocument/2006/relationships/hyperlink" Target="http://jiraproj.sg.uobnet.com/browse/PEDAGML-256" TargetMode="External"/><Relationship Id="rId121" Type="http://schemas.openxmlformats.org/officeDocument/2006/relationships/hyperlink" Target="http://jiraproj.sg.uobnet.com/browse/PEDAGML-232" TargetMode="External"/><Relationship Id="rId142" Type="http://schemas.openxmlformats.org/officeDocument/2006/relationships/hyperlink" Target="http://jiraproj.sg.uobnet.com/browse/PEDAGML-210" TargetMode="External"/><Relationship Id="rId163" Type="http://schemas.openxmlformats.org/officeDocument/2006/relationships/hyperlink" Target="http://jiraproj.sg.uobnet.com/browse/PEDAGML-189" TargetMode="External"/><Relationship Id="rId184" Type="http://schemas.openxmlformats.org/officeDocument/2006/relationships/hyperlink" Target="http://jiraproj.sg.uobnet.com/browse/PEDAGML-168" TargetMode="External"/><Relationship Id="rId219" Type="http://schemas.openxmlformats.org/officeDocument/2006/relationships/hyperlink" Target="http://jiraproj.sg.uobnet.com/browse/PEDAGML-133" TargetMode="External"/><Relationship Id="rId370" Type="http://schemas.openxmlformats.org/officeDocument/2006/relationships/hyperlink" Target="http://jiraproj.sg.uobnet.com/browse/PEDAGML-407" TargetMode="External"/><Relationship Id="rId391" Type="http://schemas.openxmlformats.org/officeDocument/2006/relationships/hyperlink" Target="http://jiraproj.sg.uobnet.com/secure/attachment/248228/_thumb_248228.png" TargetMode="External"/><Relationship Id="rId405" Type="http://schemas.openxmlformats.org/officeDocument/2006/relationships/hyperlink" Target="http://jiraproj.sg.uobnet.com/secure/attachment/243064/_thumb_243064.png" TargetMode="External"/><Relationship Id="rId426" Type="http://schemas.openxmlformats.org/officeDocument/2006/relationships/hyperlink" Target="http://jiraproj.sg.uobnet.com/secure/attachment/241455/_thumb_241455.png" TargetMode="External"/><Relationship Id="rId230" Type="http://schemas.openxmlformats.org/officeDocument/2006/relationships/hyperlink" Target="http://jiraproj.sg.uobnet.com/browse/PEDAGML-122" TargetMode="External"/><Relationship Id="rId251" Type="http://schemas.openxmlformats.org/officeDocument/2006/relationships/hyperlink" Target="http://jiraproj.sg.uobnet.com/browse/PEDAGML-101" TargetMode="External"/><Relationship Id="rId25" Type="http://schemas.openxmlformats.org/officeDocument/2006/relationships/hyperlink" Target="http://jiraproj.sg.uobnet.com/browse/PEDAGML-329" TargetMode="External"/><Relationship Id="rId46" Type="http://schemas.openxmlformats.org/officeDocument/2006/relationships/hyperlink" Target="http://jiraproj.sg.uobnet.com/browse/PEDAGML-308" TargetMode="External"/><Relationship Id="rId67" Type="http://schemas.openxmlformats.org/officeDocument/2006/relationships/hyperlink" Target="http://jiraproj.sg.uobnet.com/browse/PEDAGML-287" TargetMode="External"/><Relationship Id="rId272" Type="http://schemas.openxmlformats.org/officeDocument/2006/relationships/hyperlink" Target="http://jiraproj.sg.uobnet.com/browse/PEDAGML-80" TargetMode="External"/><Relationship Id="rId293" Type="http://schemas.openxmlformats.org/officeDocument/2006/relationships/hyperlink" Target="http://jiraproj.sg.uobnet.com/browse/PEDAGML-59" TargetMode="External"/><Relationship Id="rId307" Type="http://schemas.openxmlformats.org/officeDocument/2006/relationships/hyperlink" Target="http://jiraproj.sg.uobnet.com/browse/PEDAGML-44" TargetMode="External"/><Relationship Id="rId328" Type="http://schemas.openxmlformats.org/officeDocument/2006/relationships/hyperlink" Target="http://jiraproj.sg.uobnet.com/browse/PEDAGML-365" TargetMode="External"/><Relationship Id="rId349" Type="http://schemas.openxmlformats.org/officeDocument/2006/relationships/hyperlink" Target="http://jiraproj.sg.uobnet.com/browse/PEDAGML-387" TargetMode="External"/><Relationship Id="rId88" Type="http://schemas.openxmlformats.org/officeDocument/2006/relationships/hyperlink" Target="http://jiraproj.sg.uobnet.com/browse/PEDAGML-266" TargetMode="External"/><Relationship Id="rId111" Type="http://schemas.openxmlformats.org/officeDocument/2006/relationships/hyperlink" Target="http://jiraproj.sg.uobnet.com/browse/PEDAGML-243" TargetMode="External"/><Relationship Id="rId132" Type="http://schemas.openxmlformats.org/officeDocument/2006/relationships/hyperlink" Target="http://jiraproj.sg.uobnet.com/browse/PEDAGML-220" TargetMode="External"/><Relationship Id="rId153" Type="http://schemas.openxmlformats.org/officeDocument/2006/relationships/hyperlink" Target="http://jiraproj.sg.uobnet.com/browse/PEDAGML-199" TargetMode="External"/><Relationship Id="rId174" Type="http://schemas.openxmlformats.org/officeDocument/2006/relationships/hyperlink" Target="http://jiraproj.sg.uobnet.com/browse/PEDAGML-178" TargetMode="External"/><Relationship Id="rId195" Type="http://schemas.openxmlformats.org/officeDocument/2006/relationships/hyperlink" Target="http://jiraproj.sg.uobnet.com/browse/PEDAGML-157" TargetMode="External"/><Relationship Id="rId209" Type="http://schemas.openxmlformats.org/officeDocument/2006/relationships/hyperlink" Target="http://jiraproj.sg.uobnet.com/browse/PEDAGML-143" TargetMode="External"/><Relationship Id="rId360" Type="http://schemas.openxmlformats.org/officeDocument/2006/relationships/hyperlink" Target="http://jiraproj.sg.uobnet.com/browse/PEDAGML-420" TargetMode="External"/><Relationship Id="rId381" Type="http://schemas.openxmlformats.org/officeDocument/2006/relationships/hyperlink" Target="http://jiraproj.sg.uobnet.com/secure/attachment/252303/_thumb_252303.png" TargetMode="External"/><Relationship Id="rId416" Type="http://schemas.openxmlformats.org/officeDocument/2006/relationships/hyperlink" Target="http://jiraproj.sg.uobnet.com/secure/attachment/242383/_thumb_242383.png" TargetMode="External"/><Relationship Id="rId220" Type="http://schemas.openxmlformats.org/officeDocument/2006/relationships/hyperlink" Target="http://jiraproj.sg.uobnet.com/browse/PEDAGML-132" TargetMode="External"/><Relationship Id="rId241" Type="http://schemas.openxmlformats.org/officeDocument/2006/relationships/hyperlink" Target="http://jiraproj.sg.uobnet.com/browse/PEDAGML-111" TargetMode="External"/><Relationship Id="rId437" Type="http://schemas.openxmlformats.org/officeDocument/2006/relationships/hyperlink" Target="http://jiraproj.sg.uobnet.com/secure/attachment/242257/_thumb_242257.png" TargetMode="External"/><Relationship Id="rId15" Type="http://schemas.openxmlformats.org/officeDocument/2006/relationships/hyperlink" Target="http://jiraproj.sg.uobnet.com/browse/PEDAGML-339" TargetMode="External"/><Relationship Id="rId36" Type="http://schemas.openxmlformats.org/officeDocument/2006/relationships/hyperlink" Target="http://jiraproj.sg.uobnet.com/browse/PEDAGML-318" TargetMode="External"/><Relationship Id="rId57" Type="http://schemas.openxmlformats.org/officeDocument/2006/relationships/hyperlink" Target="http://jiraproj.sg.uobnet.com/browse/PEDAGML-297" TargetMode="External"/><Relationship Id="rId262" Type="http://schemas.openxmlformats.org/officeDocument/2006/relationships/hyperlink" Target="http://jiraproj.sg.uobnet.com/browse/PEDAGML-90" TargetMode="External"/><Relationship Id="rId283" Type="http://schemas.openxmlformats.org/officeDocument/2006/relationships/hyperlink" Target="http://jiraproj.sg.uobnet.com/browse/PEDAGML-69" TargetMode="External"/><Relationship Id="rId318" Type="http://schemas.openxmlformats.org/officeDocument/2006/relationships/hyperlink" Target="http://jiraproj.sg.uobnet.com/browse/PEDAGML-355" TargetMode="External"/><Relationship Id="rId339" Type="http://schemas.openxmlformats.org/officeDocument/2006/relationships/hyperlink" Target="http://jiraproj.sg.uobnet.com/browse/PEDAGML-380" TargetMode="External"/><Relationship Id="rId78" Type="http://schemas.openxmlformats.org/officeDocument/2006/relationships/hyperlink" Target="http://jiraproj.sg.uobnet.com/browse/PEDAGML-276" TargetMode="External"/><Relationship Id="rId99" Type="http://schemas.openxmlformats.org/officeDocument/2006/relationships/hyperlink" Target="http://jiraproj.sg.uobnet.com/browse/PEDAGML-255" TargetMode="External"/><Relationship Id="rId101" Type="http://schemas.openxmlformats.org/officeDocument/2006/relationships/hyperlink" Target="http://jiraproj.sg.uobnet.com/browse/PEDAGML-253" TargetMode="External"/><Relationship Id="rId122" Type="http://schemas.openxmlformats.org/officeDocument/2006/relationships/hyperlink" Target="http://jiraproj.sg.uobnet.com/browse/PEDAGML-231" TargetMode="External"/><Relationship Id="rId143" Type="http://schemas.openxmlformats.org/officeDocument/2006/relationships/hyperlink" Target="http://jiraproj.sg.uobnet.com/browse/PEDAGML-209" TargetMode="External"/><Relationship Id="rId164" Type="http://schemas.openxmlformats.org/officeDocument/2006/relationships/hyperlink" Target="http://jiraproj.sg.uobnet.com/browse/PEDAGML-188" TargetMode="External"/><Relationship Id="rId185" Type="http://schemas.openxmlformats.org/officeDocument/2006/relationships/hyperlink" Target="http://jiraproj.sg.uobnet.com/browse/PEDAGML-167" TargetMode="External"/><Relationship Id="rId350" Type="http://schemas.openxmlformats.org/officeDocument/2006/relationships/hyperlink" Target="http://jiraproj.sg.uobnet.com/browse/PEDAGML-388" TargetMode="External"/><Relationship Id="rId371" Type="http://schemas.openxmlformats.org/officeDocument/2006/relationships/hyperlink" Target="http://jiraproj.sg.uobnet.com/browse/PEDAGML-406" TargetMode="External"/><Relationship Id="rId406" Type="http://schemas.openxmlformats.org/officeDocument/2006/relationships/hyperlink" Target="http://jiraproj.sg.uobnet.com/secure/attachment/242995/_thumb_242995.png" TargetMode="External"/><Relationship Id="rId9" Type="http://schemas.openxmlformats.org/officeDocument/2006/relationships/hyperlink" Target="http://jiraproj.sg.uobnet.com/browse/PEDAGML-345" TargetMode="External"/><Relationship Id="rId210" Type="http://schemas.openxmlformats.org/officeDocument/2006/relationships/hyperlink" Target="http://jiraproj.sg.uobnet.com/browse/PEDAGML-142" TargetMode="External"/><Relationship Id="rId392" Type="http://schemas.openxmlformats.org/officeDocument/2006/relationships/hyperlink" Target="http://jiraproj.sg.uobnet.com/secure/attachment/246251/_thumb_246251.png" TargetMode="External"/><Relationship Id="rId427" Type="http://schemas.openxmlformats.org/officeDocument/2006/relationships/hyperlink" Target="http://jiraproj.sg.uobnet.com/secure/attachment/241400/_thumb_241400.png" TargetMode="External"/><Relationship Id="rId26" Type="http://schemas.openxmlformats.org/officeDocument/2006/relationships/hyperlink" Target="http://jiraproj.sg.uobnet.com/browse/PEDAGML-328" TargetMode="External"/><Relationship Id="rId231" Type="http://schemas.openxmlformats.org/officeDocument/2006/relationships/hyperlink" Target="http://jiraproj.sg.uobnet.com/browse/PEDAGML-121" TargetMode="External"/><Relationship Id="rId252" Type="http://schemas.openxmlformats.org/officeDocument/2006/relationships/hyperlink" Target="http://jiraproj.sg.uobnet.com/browse/PEDAGML-100" TargetMode="External"/><Relationship Id="rId273" Type="http://schemas.openxmlformats.org/officeDocument/2006/relationships/hyperlink" Target="http://jiraproj.sg.uobnet.com/browse/PEDAGML-79" TargetMode="External"/><Relationship Id="rId294" Type="http://schemas.openxmlformats.org/officeDocument/2006/relationships/hyperlink" Target="http://jiraproj.sg.uobnet.com/browse/PEDAGML-58" TargetMode="External"/><Relationship Id="rId308" Type="http://schemas.openxmlformats.org/officeDocument/2006/relationships/hyperlink" Target="http://jiraproj.sg.uobnet.com/browse/PEDAGML-43" TargetMode="External"/><Relationship Id="rId329" Type="http://schemas.openxmlformats.org/officeDocument/2006/relationships/hyperlink" Target="http://jiraproj.sg.uobnet.com/browse/PEDAGML-364" TargetMode="External"/><Relationship Id="rId47" Type="http://schemas.openxmlformats.org/officeDocument/2006/relationships/hyperlink" Target="http://jiraproj.sg.uobnet.com/browse/PEDAGML-307" TargetMode="External"/><Relationship Id="rId68" Type="http://schemas.openxmlformats.org/officeDocument/2006/relationships/hyperlink" Target="http://jiraproj.sg.uobnet.com/browse/PEDAGML-286" TargetMode="External"/><Relationship Id="rId89" Type="http://schemas.openxmlformats.org/officeDocument/2006/relationships/hyperlink" Target="http://jiraproj.sg.uobnet.com/browse/PEDAGML-265" TargetMode="External"/><Relationship Id="rId112" Type="http://schemas.openxmlformats.org/officeDocument/2006/relationships/hyperlink" Target="http://jiraproj.sg.uobnet.com/browse/PEDAGML-242" TargetMode="External"/><Relationship Id="rId133" Type="http://schemas.openxmlformats.org/officeDocument/2006/relationships/hyperlink" Target="http://jiraproj.sg.uobnet.com/browse/PEDAGML-219" TargetMode="External"/><Relationship Id="rId154" Type="http://schemas.openxmlformats.org/officeDocument/2006/relationships/hyperlink" Target="http://jiraproj.sg.uobnet.com/browse/PEDAGML-198" TargetMode="External"/><Relationship Id="rId175" Type="http://schemas.openxmlformats.org/officeDocument/2006/relationships/hyperlink" Target="http://jiraproj.sg.uobnet.com/browse/PEDAGML-177" TargetMode="External"/><Relationship Id="rId340" Type="http://schemas.openxmlformats.org/officeDocument/2006/relationships/hyperlink" Target="http://jiraproj.sg.uobnet.com/browse/PEDAGML-393" TargetMode="External"/><Relationship Id="rId361" Type="http://schemas.openxmlformats.org/officeDocument/2006/relationships/hyperlink" Target="http://jiraproj.sg.uobnet.com/browse/PEDAGML-419" TargetMode="External"/><Relationship Id="rId196" Type="http://schemas.openxmlformats.org/officeDocument/2006/relationships/hyperlink" Target="http://jiraproj.sg.uobnet.com/browse/PEDAGML-156" TargetMode="External"/><Relationship Id="rId200" Type="http://schemas.openxmlformats.org/officeDocument/2006/relationships/hyperlink" Target="http://jiraproj.sg.uobnet.com/browse/PEDAGML-152" TargetMode="External"/><Relationship Id="rId382" Type="http://schemas.openxmlformats.org/officeDocument/2006/relationships/hyperlink" Target="http://jiraproj.sg.uobnet.com/secure/attachment/250319/_thumb_250319.png" TargetMode="External"/><Relationship Id="rId417" Type="http://schemas.openxmlformats.org/officeDocument/2006/relationships/hyperlink" Target="http://jiraproj.sg.uobnet.com/secure/attachment/242382/_thumb_242382.png" TargetMode="External"/><Relationship Id="rId438" Type="http://schemas.openxmlformats.org/officeDocument/2006/relationships/hyperlink" Target="http://jiraproj.sg.uobnet.com/secure/attachment/239487/_thumb_239487.png" TargetMode="External"/><Relationship Id="rId16" Type="http://schemas.openxmlformats.org/officeDocument/2006/relationships/hyperlink" Target="http://jiraproj.sg.uobnet.com/browse/PEDAGML-338" TargetMode="External"/><Relationship Id="rId221" Type="http://schemas.openxmlformats.org/officeDocument/2006/relationships/hyperlink" Target="http://jiraproj.sg.uobnet.com/browse/PEDAGML-131" TargetMode="External"/><Relationship Id="rId242" Type="http://schemas.openxmlformats.org/officeDocument/2006/relationships/hyperlink" Target="http://jiraproj.sg.uobnet.com/browse/PEDAGML-110" TargetMode="External"/><Relationship Id="rId263" Type="http://schemas.openxmlformats.org/officeDocument/2006/relationships/hyperlink" Target="http://jiraproj.sg.uobnet.com/browse/PEDAGML-89" TargetMode="External"/><Relationship Id="rId284" Type="http://schemas.openxmlformats.org/officeDocument/2006/relationships/hyperlink" Target="http://jiraproj.sg.uobnet.com/browse/PEDAGML-68" TargetMode="External"/><Relationship Id="rId319" Type="http://schemas.openxmlformats.org/officeDocument/2006/relationships/hyperlink" Target="http://jiraproj.sg.uobnet.com/browse/PEDAGML-374" TargetMode="External"/><Relationship Id="rId37" Type="http://schemas.openxmlformats.org/officeDocument/2006/relationships/hyperlink" Target="http://jiraproj.sg.uobnet.com/browse/PEDAGML-317" TargetMode="External"/><Relationship Id="rId58" Type="http://schemas.openxmlformats.org/officeDocument/2006/relationships/hyperlink" Target="http://jiraproj.sg.uobnet.com/browse/PEDAGML-296" TargetMode="External"/><Relationship Id="rId79" Type="http://schemas.openxmlformats.org/officeDocument/2006/relationships/hyperlink" Target="http://jiraproj.sg.uobnet.com/browse/PEDAGML-275" TargetMode="External"/><Relationship Id="rId102" Type="http://schemas.openxmlformats.org/officeDocument/2006/relationships/hyperlink" Target="http://jiraproj.sg.uobnet.com/browse/PEDAGML-252" TargetMode="External"/><Relationship Id="rId123" Type="http://schemas.openxmlformats.org/officeDocument/2006/relationships/hyperlink" Target="http://jiraproj.sg.uobnet.com/browse/PEDAGML-230" TargetMode="External"/><Relationship Id="rId144" Type="http://schemas.openxmlformats.org/officeDocument/2006/relationships/hyperlink" Target="http://jiraproj.sg.uobnet.com/browse/PEDAGML-208" TargetMode="External"/><Relationship Id="rId330" Type="http://schemas.openxmlformats.org/officeDocument/2006/relationships/hyperlink" Target="http://jiraproj.sg.uobnet.com/browse/PEDAGML-363" TargetMode="External"/><Relationship Id="rId90" Type="http://schemas.openxmlformats.org/officeDocument/2006/relationships/hyperlink" Target="http://jiraproj.sg.uobnet.com/browse/PEDAGML-264" TargetMode="External"/><Relationship Id="rId165" Type="http://schemas.openxmlformats.org/officeDocument/2006/relationships/hyperlink" Target="http://jiraproj.sg.uobnet.com/browse/PEDAGML-187" TargetMode="External"/><Relationship Id="rId186" Type="http://schemas.openxmlformats.org/officeDocument/2006/relationships/hyperlink" Target="http://jiraproj.sg.uobnet.com/browse/PEDAGML-166" TargetMode="External"/><Relationship Id="rId351" Type="http://schemas.openxmlformats.org/officeDocument/2006/relationships/hyperlink" Target="http://jiraproj.sg.uobnet.com/browse/PEDAGML-389" TargetMode="External"/><Relationship Id="rId372" Type="http://schemas.openxmlformats.org/officeDocument/2006/relationships/hyperlink" Target="http://jiraproj.sg.uobnet.com/browse/PEDAGML-402" TargetMode="External"/><Relationship Id="rId393" Type="http://schemas.openxmlformats.org/officeDocument/2006/relationships/hyperlink" Target="http://jiraproj.sg.uobnet.com/secure/attachment/245880/_thumb_245880.png" TargetMode="External"/><Relationship Id="rId407" Type="http://schemas.openxmlformats.org/officeDocument/2006/relationships/hyperlink" Target="http://jiraproj.sg.uobnet.com/secure/attachment/242989/_thumb_242989.png" TargetMode="External"/><Relationship Id="rId428" Type="http://schemas.openxmlformats.org/officeDocument/2006/relationships/hyperlink" Target="http://jiraproj.sg.uobnet.com/secure/attachment/246219/_thumb_246219.png" TargetMode="External"/><Relationship Id="rId211" Type="http://schemas.openxmlformats.org/officeDocument/2006/relationships/hyperlink" Target="http://jiraproj.sg.uobnet.com/browse/PEDAGML-141" TargetMode="External"/><Relationship Id="rId232" Type="http://schemas.openxmlformats.org/officeDocument/2006/relationships/hyperlink" Target="http://jiraproj.sg.uobnet.com/browse/PEDAGML-120" TargetMode="External"/><Relationship Id="rId253" Type="http://schemas.openxmlformats.org/officeDocument/2006/relationships/hyperlink" Target="http://jiraproj.sg.uobnet.com/browse/PEDAGML-99" TargetMode="External"/><Relationship Id="rId274" Type="http://schemas.openxmlformats.org/officeDocument/2006/relationships/hyperlink" Target="http://jiraproj.sg.uobnet.com/browse/PEDAGML-78" TargetMode="External"/><Relationship Id="rId295" Type="http://schemas.openxmlformats.org/officeDocument/2006/relationships/hyperlink" Target="http://jiraproj.sg.uobnet.com/browse/PEDAGML-57" TargetMode="External"/><Relationship Id="rId309" Type="http://schemas.openxmlformats.org/officeDocument/2006/relationships/hyperlink" Target="http://jiraproj.sg.uobnet.com/browse/PEDAGML-42" TargetMode="External"/><Relationship Id="rId27" Type="http://schemas.openxmlformats.org/officeDocument/2006/relationships/hyperlink" Target="http://jiraproj.sg.uobnet.com/browse/PEDAGML-327" TargetMode="External"/><Relationship Id="rId48" Type="http://schemas.openxmlformats.org/officeDocument/2006/relationships/hyperlink" Target="http://jiraproj.sg.uobnet.com/browse/PEDAGML-306" TargetMode="External"/><Relationship Id="rId69" Type="http://schemas.openxmlformats.org/officeDocument/2006/relationships/hyperlink" Target="http://jiraproj.sg.uobnet.com/browse/PEDAGML-285" TargetMode="External"/><Relationship Id="rId113" Type="http://schemas.openxmlformats.org/officeDocument/2006/relationships/hyperlink" Target="http://jiraproj.sg.uobnet.com/browse/PEDAGML-241" TargetMode="External"/><Relationship Id="rId134" Type="http://schemas.openxmlformats.org/officeDocument/2006/relationships/hyperlink" Target="http://jiraproj.sg.uobnet.com/browse/PEDAGML-218" TargetMode="External"/><Relationship Id="rId320" Type="http://schemas.openxmlformats.org/officeDocument/2006/relationships/hyperlink" Target="http://jiraproj.sg.uobnet.com/browse/PEDAGML-373" TargetMode="External"/><Relationship Id="rId80" Type="http://schemas.openxmlformats.org/officeDocument/2006/relationships/hyperlink" Target="http://jiraproj.sg.uobnet.com/browse/PEDAGML-274" TargetMode="External"/><Relationship Id="rId155" Type="http://schemas.openxmlformats.org/officeDocument/2006/relationships/hyperlink" Target="http://jiraproj.sg.uobnet.com/browse/PEDAGML-197" TargetMode="External"/><Relationship Id="rId176" Type="http://schemas.openxmlformats.org/officeDocument/2006/relationships/hyperlink" Target="http://jiraproj.sg.uobnet.com/browse/PEDAGML-176" TargetMode="External"/><Relationship Id="rId197" Type="http://schemas.openxmlformats.org/officeDocument/2006/relationships/hyperlink" Target="http://jiraproj.sg.uobnet.com/browse/PEDAGML-155" TargetMode="External"/><Relationship Id="rId341" Type="http://schemas.openxmlformats.org/officeDocument/2006/relationships/hyperlink" Target="http://jiraproj.sg.uobnet.com/browse/PEDAGML-396" TargetMode="External"/><Relationship Id="rId362" Type="http://schemas.openxmlformats.org/officeDocument/2006/relationships/hyperlink" Target="http://jiraproj.sg.uobnet.com/browse/PEDAGML-418" TargetMode="External"/><Relationship Id="rId383" Type="http://schemas.openxmlformats.org/officeDocument/2006/relationships/hyperlink" Target="http://jiraproj.sg.uobnet.com/secure/attachment/250022/_thumb_250022.png" TargetMode="External"/><Relationship Id="rId418" Type="http://schemas.openxmlformats.org/officeDocument/2006/relationships/hyperlink" Target="http://jiraproj.sg.uobnet.com/secure/attachment/242380/_thumb_242380.png" TargetMode="External"/><Relationship Id="rId439" Type="http://schemas.openxmlformats.org/officeDocument/2006/relationships/hyperlink" Target="http://jiraproj.sg.uobnet.com/secure/attachment/238157/_thumb_238157.png" TargetMode="External"/><Relationship Id="rId201" Type="http://schemas.openxmlformats.org/officeDocument/2006/relationships/hyperlink" Target="http://jiraproj.sg.uobnet.com/browse/PEDAGML-151" TargetMode="External"/><Relationship Id="rId222" Type="http://schemas.openxmlformats.org/officeDocument/2006/relationships/hyperlink" Target="http://jiraproj.sg.uobnet.com/browse/PEDAGML-130" TargetMode="External"/><Relationship Id="rId243" Type="http://schemas.openxmlformats.org/officeDocument/2006/relationships/hyperlink" Target="http://jiraproj.sg.uobnet.com/browse/PEDAGML-109" TargetMode="External"/><Relationship Id="rId264" Type="http://schemas.openxmlformats.org/officeDocument/2006/relationships/hyperlink" Target="http://jiraproj.sg.uobnet.com/browse/PEDAGML-88" TargetMode="External"/><Relationship Id="rId285" Type="http://schemas.openxmlformats.org/officeDocument/2006/relationships/hyperlink" Target="http://jiraproj.sg.uobnet.com/browse/PEDAGML-67" TargetMode="External"/><Relationship Id="rId17" Type="http://schemas.openxmlformats.org/officeDocument/2006/relationships/hyperlink" Target="http://jiraproj.sg.uobnet.com/browse/PEDAGML-337" TargetMode="External"/><Relationship Id="rId38" Type="http://schemas.openxmlformats.org/officeDocument/2006/relationships/hyperlink" Target="http://jiraproj.sg.uobnet.com/browse/PEDAGML-316" TargetMode="External"/><Relationship Id="rId59" Type="http://schemas.openxmlformats.org/officeDocument/2006/relationships/hyperlink" Target="http://jiraproj.sg.uobnet.com/browse/PEDAGML-295" TargetMode="External"/><Relationship Id="rId103" Type="http://schemas.openxmlformats.org/officeDocument/2006/relationships/hyperlink" Target="http://jiraproj.sg.uobnet.com/browse/PEDAGML-251" TargetMode="External"/><Relationship Id="rId124" Type="http://schemas.openxmlformats.org/officeDocument/2006/relationships/hyperlink" Target="http://jiraproj.sg.uobnet.com/browse/PEDAGML-229" TargetMode="External"/><Relationship Id="rId310" Type="http://schemas.openxmlformats.org/officeDocument/2006/relationships/hyperlink" Target="http://jiraproj.sg.uobnet.com/browse/PEDAGML-41" TargetMode="External"/><Relationship Id="rId70" Type="http://schemas.openxmlformats.org/officeDocument/2006/relationships/hyperlink" Target="http://jiraproj.sg.uobnet.com/browse/PEDAGML-284" TargetMode="External"/><Relationship Id="rId91" Type="http://schemas.openxmlformats.org/officeDocument/2006/relationships/hyperlink" Target="http://jiraproj.sg.uobnet.com/browse/PEDAGML-263" TargetMode="External"/><Relationship Id="rId145" Type="http://schemas.openxmlformats.org/officeDocument/2006/relationships/hyperlink" Target="http://jiraproj.sg.uobnet.com/browse/PEDAGML-207" TargetMode="External"/><Relationship Id="rId166" Type="http://schemas.openxmlformats.org/officeDocument/2006/relationships/hyperlink" Target="http://jiraproj.sg.uobnet.com/browse/PEDAGML-186" TargetMode="External"/><Relationship Id="rId187" Type="http://schemas.openxmlformats.org/officeDocument/2006/relationships/hyperlink" Target="http://jiraproj.sg.uobnet.com/browse/PEDAGML-165" TargetMode="External"/><Relationship Id="rId331" Type="http://schemas.openxmlformats.org/officeDocument/2006/relationships/hyperlink" Target="http://jiraproj.sg.uobnet.com/browse/PEDAGML-362" TargetMode="External"/><Relationship Id="rId352" Type="http://schemas.openxmlformats.org/officeDocument/2006/relationships/hyperlink" Target="http://jiraproj.sg.uobnet.com/browse/PEDAGML-390" TargetMode="External"/><Relationship Id="rId373" Type="http://schemas.openxmlformats.org/officeDocument/2006/relationships/hyperlink" Target="http://jiraproj.sg.uobnet.com/browse/PEDAGML-401" TargetMode="External"/><Relationship Id="rId394" Type="http://schemas.openxmlformats.org/officeDocument/2006/relationships/hyperlink" Target="http://jiraproj.sg.uobnet.com/secure/attachment/245134/_thumb_245134.png" TargetMode="External"/><Relationship Id="rId408" Type="http://schemas.openxmlformats.org/officeDocument/2006/relationships/hyperlink" Target="http://jiraproj.sg.uobnet.com/secure/attachment/242889/_thumb_242889.png" TargetMode="External"/><Relationship Id="rId429" Type="http://schemas.openxmlformats.org/officeDocument/2006/relationships/hyperlink" Target="http://jiraproj.sg.uobnet.com/secure/attachment/241174/_thumb_241174.png" TargetMode="External"/><Relationship Id="rId1" Type="http://schemas.openxmlformats.org/officeDocument/2006/relationships/hyperlink" Target="http://jiraproj.sg.uobnet.com/browse/PEDAGML-353" TargetMode="External"/><Relationship Id="rId212" Type="http://schemas.openxmlformats.org/officeDocument/2006/relationships/hyperlink" Target="http://jiraproj.sg.uobnet.com/browse/PEDAGML-140" TargetMode="External"/><Relationship Id="rId233" Type="http://schemas.openxmlformats.org/officeDocument/2006/relationships/hyperlink" Target="http://jiraproj.sg.uobnet.com/browse/PEDAGML-119" TargetMode="External"/><Relationship Id="rId254" Type="http://schemas.openxmlformats.org/officeDocument/2006/relationships/hyperlink" Target="http://jiraproj.sg.uobnet.com/browse/PEDAGML-98" TargetMode="External"/><Relationship Id="rId440" Type="http://schemas.openxmlformats.org/officeDocument/2006/relationships/hyperlink" Target="http://jiraproj.sg.uobnet.com/secure/attachment/237653/_thumb_237653.png" TargetMode="External"/><Relationship Id="rId28" Type="http://schemas.openxmlformats.org/officeDocument/2006/relationships/hyperlink" Target="http://jiraproj.sg.uobnet.com/browse/PEDAGML-326" TargetMode="External"/><Relationship Id="rId49" Type="http://schemas.openxmlformats.org/officeDocument/2006/relationships/hyperlink" Target="http://jiraproj.sg.uobnet.com/browse/PEDAGML-305" TargetMode="External"/><Relationship Id="rId114" Type="http://schemas.openxmlformats.org/officeDocument/2006/relationships/hyperlink" Target="http://jiraproj.sg.uobnet.com/browse/PEDAGML-240" TargetMode="External"/><Relationship Id="rId275" Type="http://schemas.openxmlformats.org/officeDocument/2006/relationships/hyperlink" Target="http://jiraproj.sg.uobnet.com/browse/PEDAGML-77" TargetMode="External"/><Relationship Id="rId296" Type="http://schemas.openxmlformats.org/officeDocument/2006/relationships/hyperlink" Target="http://jiraproj.sg.uobnet.com/browse/PEDAGML-56" TargetMode="External"/><Relationship Id="rId300" Type="http://schemas.openxmlformats.org/officeDocument/2006/relationships/hyperlink" Target="http://jiraproj.sg.uobnet.com/browse/PEDAGML-52" TargetMode="External"/><Relationship Id="rId60" Type="http://schemas.openxmlformats.org/officeDocument/2006/relationships/hyperlink" Target="http://jiraproj.sg.uobnet.com/browse/PEDAGML-294" TargetMode="External"/><Relationship Id="rId81" Type="http://schemas.openxmlformats.org/officeDocument/2006/relationships/hyperlink" Target="http://jiraproj.sg.uobnet.com/browse/PEDAGML-273" TargetMode="External"/><Relationship Id="rId135" Type="http://schemas.openxmlformats.org/officeDocument/2006/relationships/hyperlink" Target="http://jiraproj.sg.uobnet.com/browse/PEDAGML-217" TargetMode="External"/><Relationship Id="rId156" Type="http://schemas.openxmlformats.org/officeDocument/2006/relationships/hyperlink" Target="http://jiraproj.sg.uobnet.com/browse/PEDAGML-196" TargetMode="External"/><Relationship Id="rId177" Type="http://schemas.openxmlformats.org/officeDocument/2006/relationships/hyperlink" Target="http://jiraproj.sg.uobnet.com/browse/PEDAGML-175" TargetMode="External"/><Relationship Id="rId198" Type="http://schemas.openxmlformats.org/officeDocument/2006/relationships/hyperlink" Target="http://jiraproj.sg.uobnet.com/browse/PEDAGML-154" TargetMode="External"/><Relationship Id="rId321" Type="http://schemas.openxmlformats.org/officeDocument/2006/relationships/hyperlink" Target="http://jiraproj.sg.uobnet.com/browse/PEDAGML-372" TargetMode="External"/><Relationship Id="rId342" Type="http://schemas.openxmlformats.org/officeDocument/2006/relationships/hyperlink" Target="http://jiraproj.sg.uobnet.com/browse/PEDAGML-398" TargetMode="External"/><Relationship Id="rId363" Type="http://schemas.openxmlformats.org/officeDocument/2006/relationships/hyperlink" Target="http://jiraproj.sg.uobnet.com/browse/PEDAGML-415" TargetMode="External"/><Relationship Id="rId384" Type="http://schemas.openxmlformats.org/officeDocument/2006/relationships/hyperlink" Target="http://jiraproj.sg.uobnet.com/secure/attachment/249807/_thumb_249807.png" TargetMode="External"/><Relationship Id="rId419" Type="http://schemas.openxmlformats.org/officeDocument/2006/relationships/hyperlink" Target="http://jiraproj.sg.uobnet.com/secure/attachment/242346/_thumb_242346.png" TargetMode="External"/><Relationship Id="rId202" Type="http://schemas.openxmlformats.org/officeDocument/2006/relationships/hyperlink" Target="http://jiraproj.sg.uobnet.com/browse/PEDAGML-150" TargetMode="External"/><Relationship Id="rId223" Type="http://schemas.openxmlformats.org/officeDocument/2006/relationships/hyperlink" Target="http://jiraproj.sg.uobnet.com/browse/PEDAGML-129" TargetMode="External"/><Relationship Id="rId244" Type="http://schemas.openxmlformats.org/officeDocument/2006/relationships/hyperlink" Target="http://jiraproj.sg.uobnet.com/browse/PEDAGML-108" TargetMode="External"/><Relationship Id="rId430" Type="http://schemas.openxmlformats.org/officeDocument/2006/relationships/hyperlink" Target="http://jiraproj.sg.uobnet.com/secure/attachment/240944/_thumb_240944.png" TargetMode="External"/><Relationship Id="rId18" Type="http://schemas.openxmlformats.org/officeDocument/2006/relationships/hyperlink" Target="http://jiraproj.sg.uobnet.com/browse/PEDAGML-336" TargetMode="External"/><Relationship Id="rId39" Type="http://schemas.openxmlformats.org/officeDocument/2006/relationships/hyperlink" Target="http://jiraproj.sg.uobnet.com/browse/PEDAGML-315" TargetMode="External"/><Relationship Id="rId265" Type="http://schemas.openxmlformats.org/officeDocument/2006/relationships/hyperlink" Target="http://jiraproj.sg.uobnet.com/browse/PEDAGML-87" TargetMode="External"/><Relationship Id="rId286" Type="http://schemas.openxmlformats.org/officeDocument/2006/relationships/hyperlink" Target="http://jiraproj.sg.uobnet.com/browse/PEDAGML-66" TargetMode="External"/><Relationship Id="rId50" Type="http://schemas.openxmlformats.org/officeDocument/2006/relationships/hyperlink" Target="http://jiraproj.sg.uobnet.com/browse/PEDAGML-304" TargetMode="External"/><Relationship Id="rId104" Type="http://schemas.openxmlformats.org/officeDocument/2006/relationships/hyperlink" Target="http://jiraproj.sg.uobnet.com/browse/PEDAGML-250" TargetMode="External"/><Relationship Id="rId125" Type="http://schemas.openxmlformats.org/officeDocument/2006/relationships/hyperlink" Target="http://jiraproj.sg.uobnet.com/browse/PEDAGML-227" TargetMode="External"/><Relationship Id="rId146" Type="http://schemas.openxmlformats.org/officeDocument/2006/relationships/hyperlink" Target="http://jiraproj.sg.uobnet.com/browse/PEDAGML-206" TargetMode="External"/><Relationship Id="rId167" Type="http://schemas.openxmlformats.org/officeDocument/2006/relationships/hyperlink" Target="http://jiraproj.sg.uobnet.com/browse/PEDAGML-185" TargetMode="External"/><Relationship Id="rId188" Type="http://schemas.openxmlformats.org/officeDocument/2006/relationships/hyperlink" Target="http://jiraproj.sg.uobnet.com/browse/PEDAGML-164" TargetMode="External"/><Relationship Id="rId311" Type="http://schemas.openxmlformats.org/officeDocument/2006/relationships/hyperlink" Target="http://jiraproj.sg.uobnet.com/browse/PEDAGML-228" TargetMode="External"/><Relationship Id="rId332" Type="http://schemas.openxmlformats.org/officeDocument/2006/relationships/hyperlink" Target="http://jiraproj.sg.uobnet.com/browse/PEDAGML-361" TargetMode="External"/><Relationship Id="rId353" Type="http://schemas.openxmlformats.org/officeDocument/2006/relationships/hyperlink" Target="http://jiraproj.sg.uobnet.com/browse/PEDAGML-391" TargetMode="External"/><Relationship Id="rId374" Type="http://schemas.openxmlformats.org/officeDocument/2006/relationships/hyperlink" Target="http://jiraproj.sg.uobnet.com/browse/PEDAGML-400" TargetMode="External"/><Relationship Id="rId395" Type="http://schemas.openxmlformats.org/officeDocument/2006/relationships/hyperlink" Target="http://jiraproj.sg.uobnet.com/secure/attachment/245133/_thumb_245133.png" TargetMode="External"/><Relationship Id="rId409" Type="http://schemas.openxmlformats.org/officeDocument/2006/relationships/hyperlink" Target="http://jiraproj.sg.uobnet.com/secure/attachment/242855/_thumb_242855.png" TargetMode="External"/><Relationship Id="rId71" Type="http://schemas.openxmlformats.org/officeDocument/2006/relationships/hyperlink" Target="http://jiraproj.sg.uobnet.com/browse/PEDAGML-283" TargetMode="External"/><Relationship Id="rId92" Type="http://schemas.openxmlformats.org/officeDocument/2006/relationships/hyperlink" Target="http://jiraproj.sg.uobnet.com/browse/PEDAGML-262" TargetMode="External"/><Relationship Id="rId213" Type="http://schemas.openxmlformats.org/officeDocument/2006/relationships/hyperlink" Target="http://jiraproj.sg.uobnet.com/browse/PEDAGML-139" TargetMode="External"/><Relationship Id="rId234" Type="http://schemas.openxmlformats.org/officeDocument/2006/relationships/hyperlink" Target="http://jiraproj.sg.uobnet.com/browse/PEDAGML-118" TargetMode="External"/><Relationship Id="rId420" Type="http://schemas.openxmlformats.org/officeDocument/2006/relationships/hyperlink" Target="http://jiraproj.sg.uobnet.com/secure/attachment/242306/_thumb_242306.png" TargetMode="External"/><Relationship Id="rId2" Type="http://schemas.openxmlformats.org/officeDocument/2006/relationships/hyperlink" Target="http://jiraproj.sg.uobnet.com/browse/PEDAGML-352" TargetMode="External"/><Relationship Id="rId29" Type="http://schemas.openxmlformats.org/officeDocument/2006/relationships/hyperlink" Target="http://jiraproj.sg.uobnet.com/browse/PEDAGML-325" TargetMode="External"/><Relationship Id="rId255" Type="http://schemas.openxmlformats.org/officeDocument/2006/relationships/hyperlink" Target="http://jiraproj.sg.uobnet.com/browse/PEDAGML-97" TargetMode="External"/><Relationship Id="rId276" Type="http://schemas.openxmlformats.org/officeDocument/2006/relationships/hyperlink" Target="http://jiraproj.sg.uobnet.com/browse/PEDAGML-76" TargetMode="External"/><Relationship Id="rId297" Type="http://schemas.openxmlformats.org/officeDocument/2006/relationships/hyperlink" Target="http://jiraproj.sg.uobnet.com/browse/PEDAGML-55" TargetMode="External"/><Relationship Id="rId441" Type="http://schemas.openxmlformats.org/officeDocument/2006/relationships/hyperlink" Target="http://jiraproj.sg.uobnet.com/secure/attachment/238149/_thumb_238149.png" TargetMode="External"/><Relationship Id="rId40" Type="http://schemas.openxmlformats.org/officeDocument/2006/relationships/hyperlink" Target="http://jiraproj.sg.uobnet.com/browse/PEDAGML-314" TargetMode="External"/><Relationship Id="rId115" Type="http://schemas.openxmlformats.org/officeDocument/2006/relationships/hyperlink" Target="http://jiraproj.sg.uobnet.com/browse/PEDAGML-239" TargetMode="External"/><Relationship Id="rId136" Type="http://schemas.openxmlformats.org/officeDocument/2006/relationships/hyperlink" Target="http://jiraproj.sg.uobnet.com/browse/PEDAGML-216" TargetMode="External"/><Relationship Id="rId157" Type="http://schemas.openxmlformats.org/officeDocument/2006/relationships/hyperlink" Target="http://jiraproj.sg.uobnet.com/browse/PEDAGML-195" TargetMode="External"/><Relationship Id="rId178" Type="http://schemas.openxmlformats.org/officeDocument/2006/relationships/hyperlink" Target="http://jiraproj.sg.uobnet.com/browse/PEDAGML-174" TargetMode="External"/><Relationship Id="rId301" Type="http://schemas.openxmlformats.org/officeDocument/2006/relationships/hyperlink" Target="http://jiraproj.sg.uobnet.com/browse/PEDAGML-51" TargetMode="External"/><Relationship Id="rId322" Type="http://schemas.openxmlformats.org/officeDocument/2006/relationships/hyperlink" Target="http://jiraproj.sg.uobnet.com/browse/PEDAGML-371" TargetMode="External"/><Relationship Id="rId343" Type="http://schemas.openxmlformats.org/officeDocument/2006/relationships/hyperlink" Target="http://jiraproj.sg.uobnet.com/browse/PEDAGML-399" TargetMode="External"/><Relationship Id="rId364" Type="http://schemas.openxmlformats.org/officeDocument/2006/relationships/hyperlink" Target="http://jiraproj.sg.uobnet.com/browse/PEDAGML-414" TargetMode="External"/><Relationship Id="rId61" Type="http://schemas.openxmlformats.org/officeDocument/2006/relationships/hyperlink" Target="http://jiraproj.sg.uobnet.com/browse/PEDAGML-293" TargetMode="External"/><Relationship Id="rId82" Type="http://schemas.openxmlformats.org/officeDocument/2006/relationships/hyperlink" Target="http://jiraproj.sg.uobnet.com/browse/PEDAGML-272" TargetMode="External"/><Relationship Id="rId199" Type="http://schemas.openxmlformats.org/officeDocument/2006/relationships/hyperlink" Target="http://jiraproj.sg.uobnet.com/browse/PEDAGML-153" TargetMode="External"/><Relationship Id="rId203" Type="http://schemas.openxmlformats.org/officeDocument/2006/relationships/hyperlink" Target="http://jiraproj.sg.uobnet.com/browse/PEDAGML-149" TargetMode="External"/><Relationship Id="rId385" Type="http://schemas.openxmlformats.org/officeDocument/2006/relationships/hyperlink" Target="http://jiraproj.sg.uobnet.com/secure/attachment/249793/_thumb_249793.png" TargetMode="External"/><Relationship Id="rId19" Type="http://schemas.openxmlformats.org/officeDocument/2006/relationships/hyperlink" Target="http://jiraproj.sg.uobnet.com/browse/PEDAGML-335" TargetMode="External"/><Relationship Id="rId224" Type="http://schemas.openxmlformats.org/officeDocument/2006/relationships/hyperlink" Target="http://jiraproj.sg.uobnet.com/browse/PEDAGML-128" TargetMode="External"/><Relationship Id="rId245" Type="http://schemas.openxmlformats.org/officeDocument/2006/relationships/hyperlink" Target="http://jiraproj.sg.uobnet.com/browse/PEDAGML-107" TargetMode="External"/><Relationship Id="rId266" Type="http://schemas.openxmlformats.org/officeDocument/2006/relationships/hyperlink" Target="http://jiraproj.sg.uobnet.com/browse/PEDAGML-86" TargetMode="External"/><Relationship Id="rId287" Type="http://schemas.openxmlformats.org/officeDocument/2006/relationships/hyperlink" Target="http://jiraproj.sg.uobnet.com/browse/PEDAGML-65" TargetMode="External"/><Relationship Id="rId410" Type="http://schemas.openxmlformats.org/officeDocument/2006/relationships/hyperlink" Target="http://jiraproj.sg.uobnet.com/secure/attachment/242838/_thumb_242838.png" TargetMode="External"/><Relationship Id="rId431" Type="http://schemas.openxmlformats.org/officeDocument/2006/relationships/hyperlink" Target="http://jiraproj.sg.uobnet.com/secure/attachment/240942/_thumb_240942.png" TargetMode="External"/><Relationship Id="rId30" Type="http://schemas.openxmlformats.org/officeDocument/2006/relationships/hyperlink" Target="http://jiraproj.sg.uobnet.com/browse/PEDAGML-324" TargetMode="External"/><Relationship Id="rId105" Type="http://schemas.openxmlformats.org/officeDocument/2006/relationships/hyperlink" Target="http://jiraproj.sg.uobnet.com/browse/PEDAGML-249" TargetMode="External"/><Relationship Id="rId126" Type="http://schemas.openxmlformats.org/officeDocument/2006/relationships/hyperlink" Target="http://jiraproj.sg.uobnet.com/browse/PEDAGML-226" TargetMode="External"/><Relationship Id="rId147" Type="http://schemas.openxmlformats.org/officeDocument/2006/relationships/hyperlink" Target="http://jiraproj.sg.uobnet.com/browse/PEDAGML-205" TargetMode="External"/><Relationship Id="rId168" Type="http://schemas.openxmlformats.org/officeDocument/2006/relationships/hyperlink" Target="http://jiraproj.sg.uobnet.com/browse/PEDAGML-184" TargetMode="External"/><Relationship Id="rId312" Type="http://schemas.openxmlformats.org/officeDocument/2006/relationships/hyperlink" Target="http://jiraproj.sg.uobnet.com/browse/PEDAGML-360" TargetMode="External"/><Relationship Id="rId333" Type="http://schemas.openxmlformats.org/officeDocument/2006/relationships/hyperlink" Target="http://jiraproj.sg.uobnet.com/browse/PEDAGML-378" TargetMode="External"/><Relationship Id="rId354" Type="http://schemas.openxmlformats.org/officeDocument/2006/relationships/hyperlink" Target="http://jiraproj.sg.uobnet.com/browse/PEDAGML-427" TargetMode="External"/><Relationship Id="rId51" Type="http://schemas.openxmlformats.org/officeDocument/2006/relationships/hyperlink" Target="http://jiraproj.sg.uobnet.com/browse/PEDAGML-303" TargetMode="External"/><Relationship Id="rId72" Type="http://schemas.openxmlformats.org/officeDocument/2006/relationships/hyperlink" Target="http://jiraproj.sg.uobnet.com/browse/PEDAGML-282" TargetMode="External"/><Relationship Id="rId93" Type="http://schemas.openxmlformats.org/officeDocument/2006/relationships/hyperlink" Target="http://jiraproj.sg.uobnet.com/browse/PEDAGML-261" TargetMode="External"/><Relationship Id="rId189" Type="http://schemas.openxmlformats.org/officeDocument/2006/relationships/hyperlink" Target="http://jiraproj.sg.uobnet.com/browse/PEDAGML-163" TargetMode="External"/><Relationship Id="rId375" Type="http://schemas.openxmlformats.org/officeDocument/2006/relationships/hyperlink" Target="http://jiraproj.sg.uobnet.com/browse/PEDAGML-432" TargetMode="External"/><Relationship Id="rId396" Type="http://schemas.openxmlformats.org/officeDocument/2006/relationships/hyperlink" Target="http://jiraproj.sg.uobnet.com/secure/attachment/244550/_thumb_244550.png" TargetMode="External"/><Relationship Id="rId3" Type="http://schemas.openxmlformats.org/officeDocument/2006/relationships/hyperlink" Target="http://jiraproj.sg.uobnet.com/browse/PEDAGML-351" TargetMode="External"/><Relationship Id="rId214" Type="http://schemas.openxmlformats.org/officeDocument/2006/relationships/hyperlink" Target="http://jiraproj.sg.uobnet.com/browse/PEDAGML-138" TargetMode="External"/><Relationship Id="rId235" Type="http://schemas.openxmlformats.org/officeDocument/2006/relationships/hyperlink" Target="http://jiraproj.sg.uobnet.com/browse/PEDAGML-117" TargetMode="External"/><Relationship Id="rId256" Type="http://schemas.openxmlformats.org/officeDocument/2006/relationships/hyperlink" Target="http://jiraproj.sg.uobnet.com/browse/PEDAGML-96" TargetMode="External"/><Relationship Id="rId277" Type="http://schemas.openxmlformats.org/officeDocument/2006/relationships/hyperlink" Target="http://jiraproj.sg.uobnet.com/browse/PEDAGML-75" TargetMode="External"/><Relationship Id="rId298" Type="http://schemas.openxmlformats.org/officeDocument/2006/relationships/hyperlink" Target="http://jiraproj.sg.uobnet.com/browse/PEDAGML-54" TargetMode="External"/><Relationship Id="rId400" Type="http://schemas.openxmlformats.org/officeDocument/2006/relationships/hyperlink" Target="http://jiraproj.sg.uobnet.com/secure/attachment/243628/_thumb_243628.png" TargetMode="External"/><Relationship Id="rId421" Type="http://schemas.openxmlformats.org/officeDocument/2006/relationships/hyperlink" Target="http://jiraproj.sg.uobnet.com/secure/attachment/242005/_thumb_242005.png" TargetMode="External"/><Relationship Id="rId442" Type="http://schemas.openxmlformats.org/officeDocument/2006/relationships/hyperlink" Target="http://jiraproj.sg.uobnet.com/secure/attachment/235052/_thumb_235052.png" TargetMode="External"/><Relationship Id="rId116" Type="http://schemas.openxmlformats.org/officeDocument/2006/relationships/hyperlink" Target="http://jiraproj.sg.uobnet.com/browse/PEDAGML-238" TargetMode="External"/><Relationship Id="rId137" Type="http://schemas.openxmlformats.org/officeDocument/2006/relationships/hyperlink" Target="http://jiraproj.sg.uobnet.com/browse/PEDAGML-215" TargetMode="External"/><Relationship Id="rId158" Type="http://schemas.openxmlformats.org/officeDocument/2006/relationships/hyperlink" Target="http://jiraproj.sg.uobnet.com/browse/PEDAGML-194" TargetMode="External"/><Relationship Id="rId302" Type="http://schemas.openxmlformats.org/officeDocument/2006/relationships/hyperlink" Target="http://jiraproj.sg.uobnet.com/browse/PEDAGML-49" TargetMode="External"/><Relationship Id="rId323" Type="http://schemas.openxmlformats.org/officeDocument/2006/relationships/hyperlink" Target="http://jiraproj.sg.uobnet.com/browse/PEDAGML-370" TargetMode="External"/><Relationship Id="rId344" Type="http://schemas.openxmlformats.org/officeDocument/2006/relationships/hyperlink" Target="http://jiraproj.sg.uobnet.com/browse/PEDAGML-392" TargetMode="External"/><Relationship Id="rId20" Type="http://schemas.openxmlformats.org/officeDocument/2006/relationships/hyperlink" Target="http://jiraproj.sg.uobnet.com/browse/PEDAGML-334" TargetMode="External"/><Relationship Id="rId41" Type="http://schemas.openxmlformats.org/officeDocument/2006/relationships/hyperlink" Target="http://jiraproj.sg.uobnet.com/browse/PEDAGML-313" TargetMode="External"/><Relationship Id="rId62" Type="http://schemas.openxmlformats.org/officeDocument/2006/relationships/hyperlink" Target="http://jiraproj.sg.uobnet.com/browse/PEDAGML-292" TargetMode="External"/><Relationship Id="rId83" Type="http://schemas.openxmlformats.org/officeDocument/2006/relationships/hyperlink" Target="http://jiraproj.sg.uobnet.com/browse/PEDAGML-271" TargetMode="External"/><Relationship Id="rId179" Type="http://schemas.openxmlformats.org/officeDocument/2006/relationships/hyperlink" Target="http://jiraproj.sg.uobnet.com/browse/PEDAGML-173" TargetMode="External"/><Relationship Id="rId365" Type="http://schemas.openxmlformats.org/officeDocument/2006/relationships/hyperlink" Target="http://jiraproj.sg.uobnet.com/browse/PEDAGML-412" TargetMode="External"/><Relationship Id="rId386" Type="http://schemas.openxmlformats.org/officeDocument/2006/relationships/hyperlink" Target="http://jiraproj.sg.uobnet.com/secure/attachment/249640/_thumb_249640.png" TargetMode="External"/><Relationship Id="rId190" Type="http://schemas.openxmlformats.org/officeDocument/2006/relationships/hyperlink" Target="http://jiraproj.sg.uobnet.com/browse/PEDAGML-162" TargetMode="External"/><Relationship Id="rId204" Type="http://schemas.openxmlformats.org/officeDocument/2006/relationships/hyperlink" Target="http://jiraproj.sg.uobnet.com/browse/PEDAGML-148" TargetMode="External"/><Relationship Id="rId225" Type="http://schemas.openxmlformats.org/officeDocument/2006/relationships/hyperlink" Target="http://jiraproj.sg.uobnet.com/browse/PEDAGML-127" TargetMode="External"/><Relationship Id="rId246" Type="http://schemas.openxmlformats.org/officeDocument/2006/relationships/hyperlink" Target="http://jiraproj.sg.uobnet.com/browse/PEDAGML-106" TargetMode="External"/><Relationship Id="rId267" Type="http://schemas.openxmlformats.org/officeDocument/2006/relationships/hyperlink" Target="http://jiraproj.sg.uobnet.com/browse/PEDAGML-85" TargetMode="External"/><Relationship Id="rId288" Type="http://schemas.openxmlformats.org/officeDocument/2006/relationships/hyperlink" Target="http://jiraproj.sg.uobnet.com/browse/PEDAGML-64" TargetMode="External"/><Relationship Id="rId411" Type="http://schemas.openxmlformats.org/officeDocument/2006/relationships/hyperlink" Target="http://jiraproj.sg.uobnet.com/secure/attachment/242839/_thumb_242839.png" TargetMode="External"/><Relationship Id="rId432" Type="http://schemas.openxmlformats.org/officeDocument/2006/relationships/hyperlink" Target="http://jiraproj.sg.uobnet.com/secure/attachment/240841/_thumb_240841.png" TargetMode="External"/><Relationship Id="rId106" Type="http://schemas.openxmlformats.org/officeDocument/2006/relationships/hyperlink" Target="http://jiraproj.sg.uobnet.com/browse/PEDAGML-248" TargetMode="External"/><Relationship Id="rId127" Type="http://schemas.openxmlformats.org/officeDocument/2006/relationships/hyperlink" Target="http://jiraproj.sg.uobnet.com/browse/PEDAGML-225" TargetMode="External"/><Relationship Id="rId313" Type="http://schemas.openxmlformats.org/officeDocument/2006/relationships/hyperlink" Target="http://jiraproj.sg.uobnet.com/browse/PEDAGML-359" TargetMode="External"/><Relationship Id="rId10" Type="http://schemas.openxmlformats.org/officeDocument/2006/relationships/hyperlink" Target="http://jiraproj.sg.uobnet.com/browse/PEDAGML-344" TargetMode="External"/><Relationship Id="rId31" Type="http://schemas.openxmlformats.org/officeDocument/2006/relationships/hyperlink" Target="http://jiraproj.sg.uobnet.com/browse/PEDAGML-323" TargetMode="External"/><Relationship Id="rId52" Type="http://schemas.openxmlformats.org/officeDocument/2006/relationships/hyperlink" Target="http://jiraproj.sg.uobnet.com/browse/PEDAGML-302" TargetMode="External"/><Relationship Id="rId73" Type="http://schemas.openxmlformats.org/officeDocument/2006/relationships/hyperlink" Target="http://jiraproj.sg.uobnet.com/browse/PEDAGML-281" TargetMode="External"/><Relationship Id="rId94" Type="http://schemas.openxmlformats.org/officeDocument/2006/relationships/hyperlink" Target="http://jiraproj.sg.uobnet.com/browse/PEDAGML-260" TargetMode="External"/><Relationship Id="rId148" Type="http://schemas.openxmlformats.org/officeDocument/2006/relationships/hyperlink" Target="http://jiraproj.sg.uobnet.com/browse/PEDAGML-204" TargetMode="External"/><Relationship Id="rId169" Type="http://schemas.openxmlformats.org/officeDocument/2006/relationships/hyperlink" Target="http://jiraproj.sg.uobnet.com/browse/PEDAGML-183" TargetMode="External"/><Relationship Id="rId334" Type="http://schemas.openxmlformats.org/officeDocument/2006/relationships/hyperlink" Target="http://jiraproj.sg.uobnet.com/browse/PEDAGML-377" TargetMode="External"/><Relationship Id="rId355" Type="http://schemas.openxmlformats.org/officeDocument/2006/relationships/hyperlink" Target="http://jiraproj.sg.uobnet.com/browse/PEDAGML-425" TargetMode="External"/><Relationship Id="rId376" Type="http://schemas.openxmlformats.org/officeDocument/2006/relationships/hyperlink" Target="http://jiraproj.sg.uobnet.com/browse/PEDAGML-431" TargetMode="External"/><Relationship Id="rId397" Type="http://schemas.openxmlformats.org/officeDocument/2006/relationships/hyperlink" Target="http://jiraproj.sg.uobnet.com/secure/attachment/244206/_thumb_244206.png" TargetMode="External"/><Relationship Id="rId4" Type="http://schemas.openxmlformats.org/officeDocument/2006/relationships/hyperlink" Target="http://jiraproj.sg.uobnet.com/browse/PEDAGML-350" TargetMode="External"/><Relationship Id="rId180" Type="http://schemas.openxmlformats.org/officeDocument/2006/relationships/hyperlink" Target="http://jiraproj.sg.uobnet.com/browse/PEDAGML-172" TargetMode="External"/><Relationship Id="rId215" Type="http://schemas.openxmlformats.org/officeDocument/2006/relationships/hyperlink" Target="http://jiraproj.sg.uobnet.com/browse/PEDAGML-137" TargetMode="External"/><Relationship Id="rId236" Type="http://schemas.openxmlformats.org/officeDocument/2006/relationships/hyperlink" Target="http://jiraproj.sg.uobnet.com/browse/PEDAGML-116" TargetMode="External"/><Relationship Id="rId257" Type="http://schemas.openxmlformats.org/officeDocument/2006/relationships/hyperlink" Target="http://jiraproj.sg.uobnet.com/browse/PEDAGML-95" TargetMode="External"/><Relationship Id="rId278" Type="http://schemas.openxmlformats.org/officeDocument/2006/relationships/hyperlink" Target="http://jiraproj.sg.uobnet.com/browse/PEDAGML-74" TargetMode="External"/><Relationship Id="rId401" Type="http://schemas.openxmlformats.org/officeDocument/2006/relationships/hyperlink" Target="http://jiraproj.sg.uobnet.com/secure/attachment/243422/_thumb_243422.png" TargetMode="External"/><Relationship Id="rId422" Type="http://schemas.openxmlformats.org/officeDocument/2006/relationships/hyperlink" Target="http://jiraproj.sg.uobnet.com/secure/attachment/241980/_thumb_241980.png" TargetMode="External"/><Relationship Id="rId443" Type="http://schemas.openxmlformats.org/officeDocument/2006/relationships/hyperlink" Target="http://jiraproj.sg.uobnet.com/browse/PEDAGML-236" TargetMode="External"/><Relationship Id="rId303" Type="http://schemas.openxmlformats.org/officeDocument/2006/relationships/hyperlink" Target="http://jiraproj.sg.uobnet.com/browse/PEDAGML-48" TargetMode="External"/><Relationship Id="rId42" Type="http://schemas.openxmlformats.org/officeDocument/2006/relationships/hyperlink" Target="http://jiraproj.sg.uobnet.com/browse/PEDAGML-312" TargetMode="External"/><Relationship Id="rId84" Type="http://schemas.openxmlformats.org/officeDocument/2006/relationships/hyperlink" Target="http://jiraproj.sg.uobnet.com/browse/PEDAGML-270" TargetMode="External"/><Relationship Id="rId138" Type="http://schemas.openxmlformats.org/officeDocument/2006/relationships/hyperlink" Target="http://jiraproj.sg.uobnet.com/browse/PEDAGML-214" TargetMode="External"/><Relationship Id="rId345" Type="http://schemas.openxmlformats.org/officeDocument/2006/relationships/hyperlink" Target="http://jiraproj.sg.uobnet.com/browse/PEDAGML-382" TargetMode="External"/><Relationship Id="rId387" Type="http://schemas.openxmlformats.org/officeDocument/2006/relationships/hyperlink" Target="http://jiraproj.sg.uobnet.com/secure/attachment/248810/_thumb_248810.png" TargetMode="External"/><Relationship Id="rId191" Type="http://schemas.openxmlformats.org/officeDocument/2006/relationships/hyperlink" Target="http://jiraproj.sg.uobnet.com/browse/PEDAGML-161" TargetMode="External"/><Relationship Id="rId205" Type="http://schemas.openxmlformats.org/officeDocument/2006/relationships/hyperlink" Target="http://jiraproj.sg.uobnet.com/browse/PEDAGML-147" TargetMode="External"/><Relationship Id="rId247" Type="http://schemas.openxmlformats.org/officeDocument/2006/relationships/hyperlink" Target="http://jiraproj.sg.uobnet.com/browse/PEDAGML-105" TargetMode="External"/><Relationship Id="rId412" Type="http://schemas.openxmlformats.org/officeDocument/2006/relationships/hyperlink" Target="http://jiraproj.sg.uobnet.com/secure/attachment/242743/_thumb_242743.png" TargetMode="External"/><Relationship Id="rId107" Type="http://schemas.openxmlformats.org/officeDocument/2006/relationships/hyperlink" Target="http://jiraproj.sg.uobnet.com/browse/PEDAGML-247" TargetMode="External"/><Relationship Id="rId289" Type="http://schemas.openxmlformats.org/officeDocument/2006/relationships/hyperlink" Target="http://jiraproj.sg.uobnet.com/browse/PEDAGML-63" TargetMode="External"/><Relationship Id="rId11" Type="http://schemas.openxmlformats.org/officeDocument/2006/relationships/hyperlink" Target="http://jiraproj.sg.uobnet.com/browse/PEDAGML-343" TargetMode="External"/><Relationship Id="rId53" Type="http://schemas.openxmlformats.org/officeDocument/2006/relationships/hyperlink" Target="http://jiraproj.sg.uobnet.com/browse/PEDAGML-301" TargetMode="External"/><Relationship Id="rId149" Type="http://schemas.openxmlformats.org/officeDocument/2006/relationships/hyperlink" Target="http://jiraproj.sg.uobnet.com/browse/PEDAGML-203" TargetMode="External"/><Relationship Id="rId314" Type="http://schemas.openxmlformats.org/officeDocument/2006/relationships/hyperlink" Target="http://jiraproj.sg.uobnet.com/browse/PEDAGML-358" TargetMode="External"/><Relationship Id="rId356" Type="http://schemas.openxmlformats.org/officeDocument/2006/relationships/hyperlink" Target="http://jiraproj.sg.uobnet.com/browse/PEDAGML-424" TargetMode="External"/><Relationship Id="rId398" Type="http://schemas.openxmlformats.org/officeDocument/2006/relationships/hyperlink" Target="http://jiraproj.sg.uobnet.com/secure/attachment/244119/_thumb_244119.png" TargetMode="External"/><Relationship Id="rId95" Type="http://schemas.openxmlformats.org/officeDocument/2006/relationships/hyperlink" Target="http://jiraproj.sg.uobnet.com/browse/PEDAGML-259" TargetMode="External"/><Relationship Id="rId160" Type="http://schemas.openxmlformats.org/officeDocument/2006/relationships/hyperlink" Target="http://jiraproj.sg.uobnet.com/browse/PEDAGML-192" TargetMode="External"/><Relationship Id="rId216" Type="http://schemas.openxmlformats.org/officeDocument/2006/relationships/hyperlink" Target="http://jiraproj.sg.uobnet.com/browse/PEDAGML-136" TargetMode="External"/><Relationship Id="rId423" Type="http://schemas.openxmlformats.org/officeDocument/2006/relationships/hyperlink" Target="http://jiraproj.sg.uobnet.com/secure/attachment/241967/_thumb_241967.png" TargetMode="External"/><Relationship Id="rId258" Type="http://schemas.openxmlformats.org/officeDocument/2006/relationships/hyperlink" Target="http://jiraproj.sg.uobnet.com/browse/PEDAGML-94" TargetMode="External"/><Relationship Id="rId22" Type="http://schemas.openxmlformats.org/officeDocument/2006/relationships/hyperlink" Target="http://jiraproj.sg.uobnet.com/browse/PEDAGML-332" TargetMode="External"/><Relationship Id="rId64" Type="http://schemas.openxmlformats.org/officeDocument/2006/relationships/hyperlink" Target="http://jiraproj.sg.uobnet.com/browse/PEDAGML-290" TargetMode="External"/><Relationship Id="rId118" Type="http://schemas.openxmlformats.org/officeDocument/2006/relationships/hyperlink" Target="http://jiraproj.sg.uobnet.com/browse/PEDAGML-235" TargetMode="External"/><Relationship Id="rId325" Type="http://schemas.openxmlformats.org/officeDocument/2006/relationships/hyperlink" Target="http://jiraproj.sg.uobnet.com/browse/PEDAGML-368" TargetMode="External"/><Relationship Id="rId367" Type="http://schemas.openxmlformats.org/officeDocument/2006/relationships/hyperlink" Target="http://jiraproj.sg.uobnet.com/browse/PEDAGML-410" TargetMode="External"/><Relationship Id="rId171" Type="http://schemas.openxmlformats.org/officeDocument/2006/relationships/hyperlink" Target="http://jiraproj.sg.uobnet.com/browse/PEDAGML-181" TargetMode="External"/><Relationship Id="rId227" Type="http://schemas.openxmlformats.org/officeDocument/2006/relationships/hyperlink" Target="http://jiraproj.sg.uobnet.com/browse/PEDAGML-125" TargetMode="External"/><Relationship Id="rId269" Type="http://schemas.openxmlformats.org/officeDocument/2006/relationships/hyperlink" Target="http://jiraproj.sg.uobnet.com/browse/PEDAGML-83" TargetMode="External"/><Relationship Id="rId434" Type="http://schemas.openxmlformats.org/officeDocument/2006/relationships/hyperlink" Target="http://jiraproj.sg.uobnet.com/secure/attachment/240902/_thumb_240902.png"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17" Type="http://schemas.openxmlformats.org/officeDocument/2006/relationships/hyperlink" Target="http://jiraproj.sg.uobnet.com/browse/PEDAGML-237" TargetMode="External"/><Relationship Id="rId299" Type="http://schemas.openxmlformats.org/officeDocument/2006/relationships/hyperlink" Target="http://jiraproj.sg.uobnet.com/browse/PEDAGML-53" TargetMode="External"/><Relationship Id="rId21" Type="http://schemas.openxmlformats.org/officeDocument/2006/relationships/hyperlink" Target="http://jiraproj.sg.uobnet.com/browse/PEDAGML-333" TargetMode="External"/><Relationship Id="rId63" Type="http://schemas.openxmlformats.org/officeDocument/2006/relationships/hyperlink" Target="http://jiraproj.sg.uobnet.com/browse/PEDAGML-291" TargetMode="External"/><Relationship Id="rId159" Type="http://schemas.openxmlformats.org/officeDocument/2006/relationships/hyperlink" Target="http://jiraproj.sg.uobnet.com/browse/PEDAGML-193" TargetMode="External"/><Relationship Id="rId324" Type="http://schemas.openxmlformats.org/officeDocument/2006/relationships/hyperlink" Target="http://jiraproj.sg.uobnet.com/browse/PEDAGML-369" TargetMode="External"/><Relationship Id="rId366" Type="http://schemas.openxmlformats.org/officeDocument/2006/relationships/hyperlink" Target="http://jiraproj.sg.uobnet.com/browse/PEDAGML-411" TargetMode="External"/><Relationship Id="rId170" Type="http://schemas.openxmlformats.org/officeDocument/2006/relationships/hyperlink" Target="http://jiraproj.sg.uobnet.com/browse/PEDAGML-182" TargetMode="External"/><Relationship Id="rId226" Type="http://schemas.openxmlformats.org/officeDocument/2006/relationships/hyperlink" Target="http://jiraproj.sg.uobnet.com/browse/PEDAGML-126" TargetMode="External"/><Relationship Id="rId433" Type="http://schemas.openxmlformats.org/officeDocument/2006/relationships/hyperlink" Target="http://jiraproj.sg.uobnet.com/secure/attachment/240775/_thumb_240775.png" TargetMode="External"/><Relationship Id="rId268" Type="http://schemas.openxmlformats.org/officeDocument/2006/relationships/hyperlink" Target="http://jiraproj.sg.uobnet.com/browse/PEDAGML-84" TargetMode="External"/><Relationship Id="rId32" Type="http://schemas.openxmlformats.org/officeDocument/2006/relationships/hyperlink" Target="http://jiraproj.sg.uobnet.com/browse/PEDAGML-322" TargetMode="External"/><Relationship Id="rId74" Type="http://schemas.openxmlformats.org/officeDocument/2006/relationships/hyperlink" Target="http://jiraproj.sg.uobnet.com/browse/PEDAGML-280" TargetMode="External"/><Relationship Id="rId128" Type="http://schemas.openxmlformats.org/officeDocument/2006/relationships/hyperlink" Target="http://jiraproj.sg.uobnet.com/browse/PEDAGML-224" TargetMode="External"/><Relationship Id="rId335" Type="http://schemas.openxmlformats.org/officeDocument/2006/relationships/hyperlink" Target="http://jiraproj.sg.uobnet.com/browse/PEDAGML-376" TargetMode="External"/><Relationship Id="rId377" Type="http://schemas.openxmlformats.org/officeDocument/2006/relationships/hyperlink" Target="http://jiraproj.sg.uobnet.com/browse/PEDAGML-430" TargetMode="External"/><Relationship Id="rId5" Type="http://schemas.openxmlformats.org/officeDocument/2006/relationships/hyperlink" Target="http://jiraproj.sg.uobnet.com/browse/PEDAGML-349" TargetMode="External"/><Relationship Id="rId181" Type="http://schemas.openxmlformats.org/officeDocument/2006/relationships/hyperlink" Target="http://jiraproj.sg.uobnet.com/browse/PEDAGML-171" TargetMode="External"/><Relationship Id="rId237" Type="http://schemas.openxmlformats.org/officeDocument/2006/relationships/hyperlink" Target="http://jiraproj.sg.uobnet.com/browse/PEDAGML-115" TargetMode="External"/><Relationship Id="rId402" Type="http://schemas.openxmlformats.org/officeDocument/2006/relationships/hyperlink" Target="http://jiraproj.sg.uobnet.com/secure/attachment/243281/_thumb_243281.png" TargetMode="External"/><Relationship Id="rId279" Type="http://schemas.openxmlformats.org/officeDocument/2006/relationships/hyperlink" Target="http://jiraproj.sg.uobnet.com/browse/PEDAGML-73" TargetMode="External"/><Relationship Id="rId43" Type="http://schemas.openxmlformats.org/officeDocument/2006/relationships/hyperlink" Target="http://jiraproj.sg.uobnet.com/browse/PEDAGML-311" TargetMode="External"/><Relationship Id="rId139" Type="http://schemas.openxmlformats.org/officeDocument/2006/relationships/hyperlink" Target="http://jiraproj.sg.uobnet.com/browse/PEDAGML-213" TargetMode="External"/><Relationship Id="rId290" Type="http://schemas.openxmlformats.org/officeDocument/2006/relationships/hyperlink" Target="http://jiraproj.sg.uobnet.com/browse/PEDAGML-62" TargetMode="External"/><Relationship Id="rId304" Type="http://schemas.openxmlformats.org/officeDocument/2006/relationships/hyperlink" Target="http://jiraproj.sg.uobnet.com/browse/PEDAGML-47" TargetMode="External"/><Relationship Id="rId346" Type="http://schemas.openxmlformats.org/officeDocument/2006/relationships/hyperlink" Target="http://jiraproj.sg.uobnet.com/browse/PEDAGML-383" TargetMode="External"/><Relationship Id="rId388" Type="http://schemas.openxmlformats.org/officeDocument/2006/relationships/hyperlink" Target="http://jiraproj.sg.uobnet.com/secure/attachment/248676/_thumb_248676.png" TargetMode="External"/><Relationship Id="rId85" Type="http://schemas.openxmlformats.org/officeDocument/2006/relationships/hyperlink" Target="http://jiraproj.sg.uobnet.com/browse/PEDAGML-269" TargetMode="External"/><Relationship Id="rId150" Type="http://schemas.openxmlformats.org/officeDocument/2006/relationships/hyperlink" Target="http://jiraproj.sg.uobnet.com/browse/PEDAGML-202" TargetMode="External"/><Relationship Id="rId192" Type="http://schemas.openxmlformats.org/officeDocument/2006/relationships/hyperlink" Target="http://jiraproj.sg.uobnet.com/browse/PEDAGML-160" TargetMode="External"/><Relationship Id="rId206" Type="http://schemas.openxmlformats.org/officeDocument/2006/relationships/hyperlink" Target="http://jiraproj.sg.uobnet.com/browse/PEDAGML-146" TargetMode="External"/><Relationship Id="rId413" Type="http://schemas.openxmlformats.org/officeDocument/2006/relationships/hyperlink" Target="http://jiraproj.sg.uobnet.com/secure/attachment/242725/_thumb_242725.png" TargetMode="External"/><Relationship Id="rId248" Type="http://schemas.openxmlformats.org/officeDocument/2006/relationships/hyperlink" Target="http://jiraproj.sg.uobnet.com/browse/PEDAGML-104" TargetMode="External"/><Relationship Id="rId12" Type="http://schemas.openxmlformats.org/officeDocument/2006/relationships/hyperlink" Target="http://jiraproj.sg.uobnet.com/browse/PEDAGML-342" TargetMode="External"/><Relationship Id="rId33" Type="http://schemas.openxmlformats.org/officeDocument/2006/relationships/hyperlink" Target="http://jiraproj.sg.uobnet.com/browse/PEDAGML-321" TargetMode="External"/><Relationship Id="rId108" Type="http://schemas.openxmlformats.org/officeDocument/2006/relationships/hyperlink" Target="http://jiraproj.sg.uobnet.com/browse/PEDAGML-246" TargetMode="External"/><Relationship Id="rId129" Type="http://schemas.openxmlformats.org/officeDocument/2006/relationships/hyperlink" Target="http://jiraproj.sg.uobnet.com/browse/PEDAGML-223" TargetMode="External"/><Relationship Id="rId280" Type="http://schemas.openxmlformats.org/officeDocument/2006/relationships/hyperlink" Target="http://jiraproj.sg.uobnet.com/browse/PEDAGML-72" TargetMode="External"/><Relationship Id="rId315" Type="http://schemas.openxmlformats.org/officeDocument/2006/relationships/hyperlink" Target="http://jiraproj.sg.uobnet.com/browse/PEDAGML-357" TargetMode="External"/><Relationship Id="rId336" Type="http://schemas.openxmlformats.org/officeDocument/2006/relationships/hyperlink" Target="http://jiraproj.sg.uobnet.com/browse/PEDAGML-375" TargetMode="External"/><Relationship Id="rId357" Type="http://schemas.openxmlformats.org/officeDocument/2006/relationships/hyperlink" Target="http://jiraproj.sg.uobnet.com/browse/PEDAGML-423" TargetMode="External"/><Relationship Id="rId54" Type="http://schemas.openxmlformats.org/officeDocument/2006/relationships/hyperlink" Target="http://jiraproj.sg.uobnet.com/browse/PEDAGML-300" TargetMode="External"/><Relationship Id="rId75" Type="http://schemas.openxmlformats.org/officeDocument/2006/relationships/hyperlink" Target="http://jiraproj.sg.uobnet.com/browse/PEDAGML-279" TargetMode="External"/><Relationship Id="rId96" Type="http://schemas.openxmlformats.org/officeDocument/2006/relationships/hyperlink" Target="http://jiraproj.sg.uobnet.com/browse/PEDAGML-258" TargetMode="External"/><Relationship Id="rId140" Type="http://schemas.openxmlformats.org/officeDocument/2006/relationships/hyperlink" Target="http://jiraproj.sg.uobnet.com/browse/PEDAGML-212" TargetMode="External"/><Relationship Id="rId161" Type="http://schemas.openxmlformats.org/officeDocument/2006/relationships/hyperlink" Target="http://jiraproj.sg.uobnet.com/browse/PEDAGML-191" TargetMode="External"/><Relationship Id="rId182" Type="http://schemas.openxmlformats.org/officeDocument/2006/relationships/hyperlink" Target="http://jiraproj.sg.uobnet.com/browse/PEDAGML-170" TargetMode="External"/><Relationship Id="rId217" Type="http://schemas.openxmlformats.org/officeDocument/2006/relationships/hyperlink" Target="http://jiraproj.sg.uobnet.com/browse/PEDAGML-135" TargetMode="External"/><Relationship Id="rId378" Type="http://schemas.openxmlformats.org/officeDocument/2006/relationships/hyperlink" Target="http://jiraproj.sg.uobnet.com/browse/PEDAGML-429" TargetMode="External"/><Relationship Id="rId399" Type="http://schemas.openxmlformats.org/officeDocument/2006/relationships/hyperlink" Target="http://jiraproj.sg.uobnet.com/secure/attachment/243692/_thumb_243692.png" TargetMode="External"/><Relationship Id="rId403" Type="http://schemas.openxmlformats.org/officeDocument/2006/relationships/hyperlink" Target="http://jiraproj.sg.uobnet.com/secure/attachment/243122/_thumb_243122.png" TargetMode="External"/><Relationship Id="rId6" Type="http://schemas.openxmlformats.org/officeDocument/2006/relationships/hyperlink" Target="http://jiraproj.sg.uobnet.com/browse/PEDAGML-348" TargetMode="External"/><Relationship Id="rId238" Type="http://schemas.openxmlformats.org/officeDocument/2006/relationships/hyperlink" Target="http://jiraproj.sg.uobnet.com/browse/PEDAGML-114" TargetMode="External"/><Relationship Id="rId259" Type="http://schemas.openxmlformats.org/officeDocument/2006/relationships/hyperlink" Target="http://jiraproj.sg.uobnet.com/browse/PEDAGML-93" TargetMode="External"/><Relationship Id="rId424" Type="http://schemas.openxmlformats.org/officeDocument/2006/relationships/hyperlink" Target="http://jiraproj.sg.uobnet.com/secure/attachment/241844/_thumb_241844.png" TargetMode="External"/><Relationship Id="rId23" Type="http://schemas.openxmlformats.org/officeDocument/2006/relationships/hyperlink" Target="http://jiraproj.sg.uobnet.com/browse/PEDAGML-331" TargetMode="External"/><Relationship Id="rId119" Type="http://schemas.openxmlformats.org/officeDocument/2006/relationships/hyperlink" Target="http://jiraproj.sg.uobnet.com/browse/PEDAGML-234" TargetMode="External"/><Relationship Id="rId270" Type="http://schemas.openxmlformats.org/officeDocument/2006/relationships/hyperlink" Target="http://jiraproj.sg.uobnet.com/browse/PEDAGML-82" TargetMode="External"/><Relationship Id="rId291" Type="http://schemas.openxmlformats.org/officeDocument/2006/relationships/hyperlink" Target="http://jiraproj.sg.uobnet.com/browse/PEDAGML-61" TargetMode="External"/><Relationship Id="rId305" Type="http://schemas.openxmlformats.org/officeDocument/2006/relationships/hyperlink" Target="http://jiraproj.sg.uobnet.com/browse/PEDAGML-46" TargetMode="External"/><Relationship Id="rId326" Type="http://schemas.openxmlformats.org/officeDocument/2006/relationships/hyperlink" Target="http://jiraproj.sg.uobnet.com/browse/PEDAGML-367" TargetMode="External"/><Relationship Id="rId347" Type="http://schemas.openxmlformats.org/officeDocument/2006/relationships/hyperlink" Target="http://jiraproj.sg.uobnet.com/browse/PEDAGML-385" TargetMode="External"/><Relationship Id="rId44" Type="http://schemas.openxmlformats.org/officeDocument/2006/relationships/hyperlink" Target="http://jiraproj.sg.uobnet.com/browse/PEDAGML-310" TargetMode="External"/><Relationship Id="rId65" Type="http://schemas.openxmlformats.org/officeDocument/2006/relationships/hyperlink" Target="http://jiraproj.sg.uobnet.com/browse/PEDAGML-289" TargetMode="External"/><Relationship Id="rId86" Type="http://schemas.openxmlformats.org/officeDocument/2006/relationships/hyperlink" Target="http://jiraproj.sg.uobnet.com/browse/PEDAGML-268" TargetMode="External"/><Relationship Id="rId130" Type="http://schemas.openxmlformats.org/officeDocument/2006/relationships/hyperlink" Target="http://jiraproj.sg.uobnet.com/browse/PEDAGML-222" TargetMode="External"/><Relationship Id="rId151" Type="http://schemas.openxmlformats.org/officeDocument/2006/relationships/hyperlink" Target="http://jiraproj.sg.uobnet.com/browse/PEDAGML-201" TargetMode="External"/><Relationship Id="rId368" Type="http://schemas.openxmlformats.org/officeDocument/2006/relationships/hyperlink" Target="http://jiraproj.sg.uobnet.com/browse/PEDAGML-409" TargetMode="External"/><Relationship Id="rId389" Type="http://schemas.openxmlformats.org/officeDocument/2006/relationships/hyperlink" Target="http://jiraproj.sg.uobnet.com/secure/attachment/248653/_thumb_248653.png" TargetMode="External"/><Relationship Id="rId172" Type="http://schemas.openxmlformats.org/officeDocument/2006/relationships/hyperlink" Target="http://jiraproj.sg.uobnet.com/browse/PEDAGML-180" TargetMode="External"/><Relationship Id="rId193" Type="http://schemas.openxmlformats.org/officeDocument/2006/relationships/hyperlink" Target="http://jiraproj.sg.uobnet.com/browse/PEDAGML-159" TargetMode="External"/><Relationship Id="rId207" Type="http://schemas.openxmlformats.org/officeDocument/2006/relationships/hyperlink" Target="http://jiraproj.sg.uobnet.com/browse/PEDAGML-145" TargetMode="External"/><Relationship Id="rId228" Type="http://schemas.openxmlformats.org/officeDocument/2006/relationships/hyperlink" Target="http://jiraproj.sg.uobnet.com/browse/PEDAGML-124" TargetMode="External"/><Relationship Id="rId249" Type="http://schemas.openxmlformats.org/officeDocument/2006/relationships/hyperlink" Target="http://jiraproj.sg.uobnet.com/browse/PEDAGML-103" TargetMode="External"/><Relationship Id="rId414" Type="http://schemas.openxmlformats.org/officeDocument/2006/relationships/hyperlink" Target="http://jiraproj.sg.uobnet.com/secure/attachment/242542/_thumb_242542.png" TargetMode="External"/><Relationship Id="rId435" Type="http://schemas.openxmlformats.org/officeDocument/2006/relationships/hyperlink" Target="http://jiraproj.sg.uobnet.com/secure/attachment/243480/_thumb_243480.png" TargetMode="External"/><Relationship Id="rId13" Type="http://schemas.openxmlformats.org/officeDocument/2006/relationships/hyperlink" Target="http://jiraproj.sg.uobnet.com/browse/PEDAGML-341" TargetMode="External"/><Relationship Id="rId109" Type="http://schemas.openxmlformats.org/officeDocument/2006/relationships/hyperlink" Target="http://jiraproj.sg.uobnet.com/browse/PEDAGML-245" TargetMode="External"/><Relationship Id="rId260" Type="http://schemas.openxmlformats.org/officeDocument/2006/relationships/hyperlink" Target="http://jiraproj.sg.uobnet.com/browse/PEDAGML-92" TargetMode="External"/><Relationship Id="rId281" Type="http://schemas.openxmlformats.org/officeDocument/2006/relationships/hyperlink" Target="http://jiraproj.sg.uobnet.com/browse/PEDAGML-71" TargetMode="External"/><Relationship Id="rId316" Type="http://schemas.openxmlformats.org/officeDocument/2006/relationships/hyperlink" Target="http://jiraproj.sg.uobnet.com/browse/PEDAGML-356" TargetMode="External"/><Relationship Id="rId337" Type="http://schemas.openxmlformats.org/officeDocument/2006/relationships/hyperlink" Target="http://jiraproj.sg.uobnet.com/browse/PEDAGML-379" TargetMode="External"/><Relationship Id="rId34" Type="http://schemas.openxmlformats.org/officeDocument/2006/relationships/hyperlink" Target="http://jiraproj.sg.uobnet.com/browse/PEDAGML-320" TargetMode="External"/><Relationship Id="rId55" Type="http://schemas.openxmlformats.org/officeDocument/2006/relationships/hyperlink" Target="http://jiraproj.sg.uobnet.com/browse/PEDAGML-299" TargetMode="External"/><Relationship Id="rId76" Type="http://schemas.openxmlformats.org/officeDocument/2006/relationships/hyperlink" Target="http://jiraproj.sg.uobnet.com/browse/PEDAGML-278" TargetMode="External"/><Relationship Id="rId97" Type="http://schemas.openxmlformats.org/officeDocument/2006/relationships/hyperlink" Target="http://jiraproj.sg.uobnet.com/browse/PEDAGML-257" TargetMode="External"/><Relationship Id="rId120" Type="http://schemas.openxmlformats.org/officeDocument/2006/relationships/hyperlink" Target="http://jiraproj.sg.uobnet.com/browse/PEDAGML-233" TargetMode="External"/><Relationship Id="rId141" Type="http://schemas.openxmlformats.org/officeDocument/2006/relationships/hyperlink" Target="http://jiraproj.sg.uobnet.com/browse/PEDAGML-211" TargetMode="External"/><Relationship Id="rId358" Type="http://schemas.openxmlformats.org/officeDocument/2006/relationships/hyperlink" Target="http://jiraproj.sg.uobnet.com/browse/PEDAGML-422" TargetMode="External"/><Relationship Id="rId379" Type="http://schemas.openxmlformats.org/officeDocument/2006/relationships/hyperlink" Target="http://jiraproj.sg.uobnet.com/secure/attachment/251406/_thumb_251406.png" TargetMode="External"/><Relationship Id="rId7" Type="http://schemas.openxmlformats.org/officeDocument/2006/relationships/hyperlink" Target="http://jiraproj.sg.uobnet.com/browse/PEDAGML-347" TargetMode="External"/><Relationship Id="rId162" Type="http://schemas.openxmlformats.org/officeDocument/2006/relationships/hyperlink" Target="http://jiraproj.sg.uobnet.com/browse/PEDAGML-190" TargetMode="External"/><Relationship Id="rId183" Type="http://schemas.openxmlformats.org/officeDocument/2006/relationships/hyperlink" Target="http://jiraproj.sg.uobnet.com/browse/PEDAGML-169" TargetMode="External"/><Relationship Id="rId218" Type="http://schemas.openxmlformats.org/officeDocument/2006/relationships/hyperlink" Target="http://jiraproj.sg.uobnet.com/browse/PEDAGML-134" TargetMode="External"/><Relationship Id="rId239" Type="http://schemas.openxmlformats.org/officeDocument/2006/relationships/hyperlink" Target="http://jiraproj.sg.uobnet.com/browse/PEDAGML-113" TargetMode="External"/><Relationship Id="rId390" Type="http://schemas.openxmlformats.org/officeDocument/2006/relationships/hyperlink" Target="http://jiraproj.sg.uobnet.com/secure/attachment/248610/_thumb_248610.png" TargetMode="External"/><Relationship Id="rId404" Type="http://schemas.openxmlformats.org/officeDocument/2006/relationships/hyperlink" Target="http://jiraproj.sg.uobnet.com/secure/attachment/243077/_thumb_243077.png" TargetMode="External"/><Relationship Id="rId425" Type="http://schemas.openxmlformats.org/officeDocument/2006/relationships/hyperlink" Target="http://jiraproj.sg.uobnet.com/secure/attachment/241595/_thumb_241595.png" TargetMode="External"/><Relationship Id="rId250" Type="http://schemas.openxmlformats.org/officeDocument/2006/relationships/hyperlink" Target="http://jiraproj.sg.uobnet.com/browse/PEDAGML-102" TargetMode="External"/><Relationship Id="rId271" Type="http://schemas.openxmlformats.org/officeDocument/2006/relationships/hyperlink" Target="http://jiraproj.sg.uobnet.com/browse/PEDAGML-81" TargetMode="External"/><Relationship Id="rId292" Type="http://schemas.openxmlformats.org/officeDocument/2006/relationships/hyperlink" Target="http://jiraproj.sg.uobnet.com/browse/PEDAGML-60" TargetMode="External"/><Relationship Id="rId306" Type="http://schemas.openxmlformats.org/officeDocument/2006/relationships/hyperlink" Target="http://jiraproj.sg.uobnet.com/browse/PEDAGML-45" TargetMode="External"/><Relationship Id="rId24" Type="http://schemas.openxmlformats.org/officeDocument/2006/relationships/hyperlink" Target="http://jiraproj.sg.uobnet.com/browse/PEDAGML-330" TargetMode="External"/><Relationship Id="rId45" Type="http://schemas.openxmlformats.org/officeDocument/2006/relationships/hyperlink" Target="http://jiraproj.sg.uobnet.com/browse/PEDAGML-309" TargetMode="External"/><Relationship Id="rId66" Type="http://schemas.openxmlformats.org/officeDocument/2006/relationships/hyperlink" Target="http://jiraproj.sg.uobnet.com/browse/PEDAGML-288" TargetMode="External"/><Relationship Id="rId87" Type="http://schemas.openxmlformats.org/officeDocument/2006/relationships/hyperlink" Target="http://jiraproj.sg.uobnet.com/browse/PEDAGML-267" TargetMode="External"/><Relationship Id="rId110" Type="http://schemas.openxmlformats.org/officeDocument/2006/relationships/hyperlink" Target="http://jiraproj.sg.uobnet.com/browse/PEDAGML-244" TargetMode="External"/><Relationship Id="rId131" Type="http://schemas.openxmlformats.org/officeDocument/2006/relationships/hyperlink" Target="http://jiraproj.sg.uobnet.com/browse/PEDAGML-221" TargetMode="External"/><Relationship Id="rId327" Type="http://schemas.openxmlformats.org/officeDocument/2006/relationships/hyperlink" Target="http://jiraproj.sg.uobnet.com/browse/PEDAGML-366" TargetMode="External"/><Relationship Id="rId348" Type="http://schemas.openxmlformats.org/officeDocument/2006/relationships/hyperlink" Target="http://jiraproj.sg.uobnet.com/browse/PEDAGML-386" TargetMode="External"/><Relationship Id="rId369" Type="http://schemas.openxmlformats.org/officeDocument/2006/relationships/hyperlink" Target="http://jiraproj.sg.uobnet.com/browse/PEDAGML-408" TargetMode="External"/><Relationship Id="rId152" Type="http://schemas.openxmlformats.org/officeDocument/2006/relationships/hyperlink" Target="http://jiraproj.sg.uobnet.com/browse/PEDAGML-200" TargetMode="External"/><Relationship Id="rId173" Type="http://schemas.openxmlformats.org/officeDocument/2006/relationships/hyperlink" Target="http://jiraproj.sg.uobnet.com/browse/PEDAGML-179" TargetMode="External"/><Relationship Id="rId194" Type="http://schemas.openxmlformats.org/officeDocument/2006/relationships/hyperlink" Target="http://jiraproj.sg.uobnet.com/browse/PEDAGML-158" TargetMode="External"/><Relationship Id="rId208" Type="http://schemas.openxmlformats.org/officeDocument/2006/relationships/hyperlink" Target="http://jiraproj.sg.uobnet.com/browse/PEDAGML-144" TargetMode="External"/><Relationship Id="rId229" Type="http://schemas.openxmlformats.org/officeDocument/2006/relationships/hyperlink" Target="http://jiraproj.sg.uobnet.com/browse/PEDAGML-123" TargetMode="External"/><Relationship Id="rId380" Type="http://schemas.openxmlformats.org/officeDocument/2006/relationships/hyperlink" Target="http://jiraproj.sg.uobnet.com/secure/attachment/251297/_thumb_251297.png" TargetMode="External"/><Relationship Id="rId415" Type="http://schemas.openxmlformats.org/officeDocument/2006/relationships/hyperlink" Target="http://jiraproj.sg.uobnet.com/secure/attachment/243135/_thumb_243135.png" TargetMode="External"/><Relationship Id="rId436" Type="http://schemas.openxmlformats.org/officeDocument/2006/relationships/hyperlink" Target="http://jiraproj.sg.uobnet.com/secure/attachment/240328/_thumb_240328.png" TargetMode="External"/><Relationship Id="rId240" Type="http://schemas.openxmlformats.org/officeDocument/2006/relationships/hyperlink" Target="http://jiraproj.sg.uobnet.com/browse/PEDAGML-112" TargetMode="External"/><Relationship Id="rId261" Type="http://schemas.openxmlformats.org/officeDocument/2006/relationships/hyperlink" Target="http://jiraproj.sg.uobnet.com/browse/PEDAGML-91" TargetMode="External"/><Relationship Id="rId14" Type="http://schemas.openxmlformats.org/officeDocument/2006/relationships/hyperlink" Target="http://jiraproj.sg.uobnet.com/browse/PEDAGML-340" TargetMode="External"/><Relationship Id="rId35" Type="http://schemas.openxmlformats.org/officeDocument/2006/relationships/hyperlink" Target="http://jiraproj.sg.uobnet.com/browse/PEDAGML-319" TargetMode="External"/><Relationship Id="rId56" Type="http://schemas.openxmlformats.org/officeDocument/2006/relationships/hyperlink" Target="http://jiraproj.sg.uobnet.com/browse/PEDAGML-298" TargetMode="External"/><Relationship Id="rId77" Type="http://schemas.openxmlformats.org/officeDocument/2006/relationships/hyperlink" Target="http://jiraproj.sg.uobnet.com/browse/PEDAGML-277" TargetMode="External"/><Relationship Id="rId100" Type="http://schemas.openxmlformats.org/officeDocument/2006/relationships/hyperlink" Target="http://jiraproj.sg.uobnet.com/browse/PEDAGML-254" TargetMode="External"/><Relationship Id="rId282" Type="http://schemas.openxmlformats.org/officeDocument/2006/relationships/hyperlink" Target="http://jiraproj.sg.uobnet.com/browse/PEDAGML-70" TargetMode="External"/><Relationship Id="rId317" Type="http://schemas.openxmlformats.org/officeDocument/2006/relationships/hyperlink" Target="http://jiraproj.sg.uobnet.com/browse/PEDAGML-354" TargetMode="External"/><Relationship Id="rId338" Type="http://schemas.openxmlformats.org/officeDocument/2006/relationships/hyperlink" Target="http://jiraproj.sg.uobnet.com/browse/PEDAGML-381" TargetMode="External"/><Relationship Id="rId359" Type="http://schemas.openxmlformats.org/officeDocument/2006/relationships/hyperlink" Target="http://jiraproj.sg.uobnet.com/browse/PEDAGML-421" TargetMode="External"/><Relationship Id="rId8" Type="http://schemas.openxmlformats.org/officeDocument/2006/relationships/hyperlink" Target="http://jiraproj.sg.uobnet.com/browse/PEDAGML-346" TargetMode="External"/><Relationship Id="rId98" Type="http://schemas.openxmlformats.org/officeDocument/2006/relationships/hyperlink" Target="http://jiraproj.sg.uobnet.com/browse/PEDAGML-256" TargetMode="External"/><Relationship Id="rId121" Type="http://schemas.openxmlformats.org/officeDocument/2006/relationships/hyperlink" Target="http://jiraproj.sg.uobnet.com/browse/PEDAGML-232" TargetMode="External"/><Relationship Id="rId142" Type="http://schemas.openxmlformats.org/officeDocument/2006/relationships/hyperlink" Target="http://jiraproj.sg.uobnet.com/browse/PEDAGML-210" TargetMode="External"/><Relationship Id="rId163" Type="http://schemas.openxmlformats.org/officeDocument/2006/relationships/hyperlink" Target="http://jiraproj.sg.uobnet.com/browse/PEDAGML-189" TargetMode="External"/><Relationship Id="rId184" Type="http://schemas.openxmlformats.org/officeDocument/2006/relationships/hyperlink" Target="http://jiraproj.sg.uobnet.com/browse/PEDAGML-168" TargetMode="External"/><Relationship Id="rId219" Type="http://schemas.openxmlformats.org/officeDocument/2006/relationships/hyperlink" Target="http://jiraproj.sg.uobnet.com/browse/PEDAGML-133" TargetMode="External"/><Relationship Id="rId370" Type="http://schemas.openxmlformats.org/officeDocument/2006/relationships/hyperlink" Target="http://jiraproj.sg.uobnet.com/browse/PEDAGML-407" TargetMode="External"/><Relationship Id="rId391" Type="http://schemas.openxmlformats.org/officeDocument/2006/relationships/hyperlink" Target="http://jiraproj.sg.uobnet.com/secure/attachment/248228/_thumb_248228.png" TargetMode="External"/><Relationship Id="rId405" Type="http://schemas.openxmlformats.org/officeDocument/2006/relationships/hyperlink" Target="http://jiraproj.sg.uobnet.com/secure/attachment/243064/_thumb_243064.png" TargetMode="External"/><Relationship Id="rId426" Type="http://schemas.openxmlformats.org/officeDocument/2006/relationships/hyperlink" Target="http://jiraproj.sg.uobnet.com/secure/attachment/241455/_thumb_241455.png" TargetMode="External"/><Relationship Id="rId230" Type="http://schemas.openxmlformats.org/officeDocument/2006/relationships/hyperlink" Target="http://jiraproj.sg.uobnet.com/browse/PEDAGML-122" TargetMode="External"/><Relationship Id="rId251" Type="http://schemas.openxmlformats.org/officeDocument/2006/relationships/hyperlink" Target="http://jiraproj.sg.uobnet.com/browse/PEDAGML-101" TargetMode="External"/><Relationship Id="rId25" Type="http://schemas.openxmlformats.org/officeDocument/2006/relationships/hyperlink" Target="http://jiraproj.sg.uobnet.com/browse/PEDAGML-329" TargetMode="External"/><Relationship Id="rId46" Type="http://schemas.openxmlformats.org/officeDocument/2006/relationships/hyperlink" Target="http://jiraproj.sg.uobnet.com/browse/PEDAGML-308" TargetMode="External"/><Relationship Id="rId67" Type="http://schemas.openxmlformats.org/officeDocument/2006/relationships/hyperlink" Target="http://jiraproj.sg.uobnet.com/browse/PEDAGML-287" TargetMode="External"/><Relationship Id="rId272" Type="http://schemas.openxmlformats.org/officeDocument/2006/relationships/hyperlink" Target="http://jiraproj.sg.uobnet.com/browse/PEDAGML-80" TargetMode="External"/><Relationship Id="rId293" Type="http://schemas.openxmlformats.org/officeDocument/2006/relationships/hyperlink" Target="http://jiraproj.sg.uobnet.com/browse/PEDAGML-59" TargetMode="External"/><Relationship Id="rId307" Type="http://schemas.openxmlformats.org/officeDocument/2006/relationships/hyperlink" Target="http://jiraproj.sg.uobnet.com/browse/PEDAGML-44" TargetMode="External"/><Relationship Id="rId328" Type="http://schemas.openxmlformats.org/officeDocument/2006/relationships/hyperlink" Target="http://jiraproj.sg.uobnet.com/browse/PEDAGML-365" TargetMode="External"/><Relationship Id="rId349" Type="http://schemas.openxmlformats.org/officeDocument/2006/relationships/hyperlink" Target="http://jiraproj.sg.uobnet.com/browse/PEDAGML-387" TargetMode="External"/><Relationship Id="rId88" Type="http://schemas.openxmlformats.org/officeDocument/2006/relationships/hyperlink" Target="http://jiraproj.sg.uobnet.com/browse/PEDAGML-266" TargetMode="External"/><Relationship Id="rId111" Type="http://schemas.openxmlformats.org/officeDocument/2006/relationships/hyperlink" Target="http://jiraproj.sg.uobnet.com/browse/PEDAGML-243" TargetMode="External"/><Relationship Id="rId132" Type="http://schemas.openxmlformats.org/officeDocument/2006/relationships/hyperlink" Target="http://jiraproj.sg.uobnet.com/browse/PEDAGML-220" TargetMode="External"/><Relationship Id="rId153" Type="http://schemas.openxmlformats.org/officeDocument/2006/relationships/hyperlink" Target="http://jiraproj.sg.uobnet.com/browse/PEDAGML-199" TargetMode="External"/><Relationship Id="rId174" Type="http://schemas.openxmlformats.org/officeDocument/2006/relationships/hyperlink" Target="http://jiraproj.sg.uobnet.com/browse/PEDAGML-178" TargetMode="External"/><Relationship Id="rId195" Type="http://schemas.openxmlformats.org/officeDocument/2006/relationships/hyperlink" Target="http://jiraproj.sg.uobnet.com/browse/PEDAGML-157" TargetMode="External"/><Relationship Id="rId209" Type="http://schemas.openxmlformats.org/officeDocument/2006/relationships/hyperlink" Target="http://jiraproj.sg.uobnet.com/browse/PEDAGML-143" TargetMode="External"/><Relationship Id="rId360" Type="http://schemas.openxmlformats.org/officeDocument/2006/relationships/hyperlink" Target="http://jiraproj.sg.uobnet.com/browse/PEDAGML-420" TargetMode="External"/><Relationship Id="rId381" Type="http://schemas.openxmlformats.org/officeDocument/2006/relationships/hyperlink" Target="http://jiraproj.sg.uobnet.com/secure/attachment/252303/_thumb_252303.png" TargetMode="External"/><Relationship Id="rId416" Type="http://schemas.openxmlformats.org/officeDocument/2006/relationships/hyperlink" Target="http://jiraproj.sg.uobnet.com/secure/attachment/242383/_thumb_242383.png" TargetMode="External"/><Relationship Id="rId220" Type="http://schemas.openxmlformats.org/officeDocument/2006/relationships/hyperlink" Target="http://jiraproj.sg.uobnet.com/browse/PEDAGML-132" TargetMode="External"/><Relationship Id="rId241" Type="http://schemas.openxmlformats.org/officeDocument/2006/relationships/hyperlink" Target="http://jiraproj.sg.uobnet.com/browse/PEDAGML-111" TargetMode="External"/><Relationship Id="rId437" Type="http://schemas.openxmlformats.org/officeDocument/2006/relationships/hyperlink" Target="http://jiraproj.sg.uobnet.com/secure/attachment/242257/_thumb_242257.png" TargetMode="External"/><Relationship Id="rId15" Type="http://schemas.openxmlformats.org/officeDocument/2006/relationships/hyperlink" Target="http://jiraproj.sg.uobnet.com/browse/PEDAGML-339" TargetMode="External"/><Relationship Id="rId36" Type="http://schemas.openxmlformats.org/officeDocument/2006/relationships/hyperlink" Target="http://jiraproj.sg.uobnet.com/browse/PEDAGML-318" TargetMode="External"/><Relationship Id="rId57" Type="http://schemas.openxmlformats.org/officeDocument/2006/relationships/hyperlink" Target="http://jiraproj.sg.uobnet.com/browse/PEDAGML-297" TargetMode="External"/><Relationship Id="rId262" Type="http://schemas.openxmlformats.org/officeDocument/2006/relationships/hyperlink" Target="http://jiraproj.sg.uobnet.com/browse/PEDAGML-90" TargetMode="External"/><Relationship Id="rId283" Type="http://schemas.openxmlformats.org/officeDocument/2006/relationships/hyperlink" Target="http://jiraproj.sg.uobnet.com/browse/PEDAGML-69" TargetMode="External"/><Relationship Id="rId318" Type="http://schemas.openxmlformats.org/officeDocument/2006/relationships/hyperlink" Target="http://jiraproj.sg.uobnet.com/browse/PEDAGML-355" TargetMode="External"/><Relationship Id="rId339" Type="http://schemas.openxmlformats.org/officeDocument/2006/relationships/hyperlink" Target="http://jiraproj.sg.uobnet.com/browse/PEDAGML-380" TargetMode="External"/><Relationship Id="rId78" Type="http://schemas.openxmlformats.org/officeDocument/2006/relationships/hyperlink" Target="http://jiraproj.sg.uobnet.com/browse/PEDAGML-276" TargetMode="External"/><Relationship Id="rId99" Type="http://schemas.openxmlformats.org/officeDocument/2006/relationships/hyperlink" Target="http://jiraproj.sg.uobnet.com/browse/PEDAGML-255" TargetMode="External"/><Relationship Id="rId101" Type="http://schemas.openxmlformats.org/officeDocument/2006/relationships/hyperlink" Target="http://jiraproj.sg.uobnet.com/browse/PEDAGML-253" TargetMode="External"/><Relationship Id="rId122" Type="http://schemas.openxmlformats.org/officeDocument/2006/relationships/hyperlink" Target="http://jiraproj.sg.uobnet.com/browse/PEDAGML-231" TargetMode="External"/><Relationship Id="rId143" Type="http://schemas.openxmlformats.org/officeDocument/2006/relationships/hyperlink" Target="http://jiraproj.sg.uobnet.com/browse/PEDAGML-209" TargetMode="External"/><Relationship Id="rId164" Type="http://schemas.openxmlformats.org/officeDocument/2006/relationships/hyperlink" Target="http://jiraproj.sg.uobnet.com/browse/PEDAGML-188" TargetMode="External"/><Relationship Id="rId185" Type="http://schemas.openxmlformats.org/officeDocument/2006/relationships/hyperlink" Target="http://jiraproj.sg.uobnet.com/browse/PEDAGML-167" TargetMode="External"/><Relationship Id="rId350" Type="http://schemas.openxmlformats.org/officeDocument/2006/relationships/hyperlink" Target="http://jiraproj.sg.uobnet.com/browse/PEDAGML-388" TargetMode="External"/><Relationship Id="rId371" Type="http://schemas.openxmlformats.org/officeDocument/2006/relationships/hyperlink" Target="http://jiraproj.sg.uobnet.com/browse/PEDAGML-406" TargetMode="External"/><Relationship Id="rId406" Type="http://schemas.openxmlformats.org/officeDocument/2006/relationships/hyperlink" Target="http://jiraproj.sg.uobnet.com/secure/attachment/242995/_thumb_242995.png" TargetMode="External"/><Relationship Id="rId9" Type="http://schemas.openxmlformats.org/officeDocument/2006/relationships/hyperlink" Target="http://jiraproj.sg.uobnet.com/browse/PEDAGML-345" TargetMode="External"/><Relationship Id="rId210" Type="http://schemas.openxmlformats.org/officeDocument/2006/relationships/hyperlink" Target="http://jiraproj.sg.uobnet.com/browse/PEDAGML-142" TargetMode="External"/><Relationship Id="rId392" Type="http://schemas.openxmlformats.org/officeDocument/2006/relationships/hyperlink" Target="http://jiraproj.sg.uobnet.com/secure/attachment/246251/_thumb_246251.png" TargetMode="External"/><Relationship Id="rId427" Type="http://schemas.openxmlformats.org/officeDocument/2006/relationships/hyperlink" Target="http://jiraproj.sg.uobnet.com/secure/attachment/241400/_thumb_241400.png" TargetMode="External"/><Relationship Id="rId26" Type="http://schemas.openxmlformats.org/officeDocument/2006/relationships/hyperlink" Target="http://jiraproj.sg.uobnet.com/browse/PEDAGML-328" TargetMode="External"/><Relationship Id="rId231" Type="http://schemas.openxmlformats.org/officeDocument/2006/relationships/hyperlink" Target="http://jiraproj.sg.uobnet.com/browse/PEDAGML-121" TargetMode="External"/><Relationship Id="rId252" Type="http://schemas.openxmlformats.org/officeDocument/2006/relationships/hyperlink" Target="http://jiraproj.sg.uobnet.com/browse/PEDAGML-100" TargetMode="External"/><Relationship Id="rId273" Type="http://schemas.openxmlformats.org/officeDocument/2006/relationships/hyperlink" Target="http://jiraproj.sg.uobnet.com/browse/PEDAGML-79" TargetMode="External"/><Relationship Id="rId294" Type="http://schemas.openxmlformats.org/officeDocument/2006/relationships/hyperlink" Target="http://jiraproj.sg.uobnet.com/browse/PEDAGML-58" TargetMode="External"/><Relationship Id="rId308" Type="http://schemas.openxmlformats.org/officeDocument/2006/relationships/hyperlink" Target="http://jiraproj.sg.uobnet.com/browse/PEDAGML-43" TargetMode="External"/><Relationship Id="rId329" Type="http://schemas.openxmlformats.org/officeDocument/2006/relationships/hyperlink" Target="http://jiraproj.sg.uobnet.com/browse/PEDAGML-364" TargetMode="External"/><Relationship Id="rId47" Type="http://schemas.openxmlformats.org/officeDocument/2006/relationships/hyperlink" Target="http://jiraproj.sg.uobnet.com/browse/PEDAGML-307" TargetMode="External"/><Relationship Id="rId68" Type="http://schemas.openxmlformats.org/officeDocument/2006/relationships/hyperlink" Target="http://jiraproj.sg.uobnet.com/browse/PEDAGML-286" TargetMode="External"/><Relationship Id="rId89" Type="http://schemas.openxmlformats.org/officeDocument/2006/relationships/hyperlink" Target="http://jiraproj.sg.uobnet.com/browse/PEDAGML-265" TargetMode="External"/><Relationship Id="rId112" Type="http://schemas.openxmlformats.org/officeDocument/2006/relationships/hyperlink" Target="http://jiraproj.sg.uobnet.com/browse/PEDAGML-242" TargetMode="External"/><Relationship Id="rId133" Type="http://schemas.openxmlformats.org/officeDocument/2006/relationships/hyperlink" Target="http://jiraproj.sg.uobnet.com/browse/PEDAGML-219" TargetMode="External"/><Relationship Id="rId154" Type="http://schemas.openxmlformats.org/officeDocument/2006/relationships/hyperlink" Target="http://jiraproj.sg.uobnet.com/browse/PEDAGML-198" TargetMode="External"/><Relationship Id="rId175" Type="http://schemas.openxmlformats.org/officeDocument/2006/relationships/hyperlink" Target="http://jiraproj.sg.uobnet.com/browse/PEDAGML-177" TargetMode="External"/><Relationship Id="rId340" Type="http://schemas.openxmlformats.org/officeDocument/2006/relationships/hyperlink" Target="http://jiraproj.sg.uobnet.com/browse/PEDAGML-393" TargetMode="External"/><Relationship Id="rId361" Type="http://schemas.openxmlformats.org/officeDocument/2006/relationships/hyperlink" Target="http://jiraproj.sg.uobnet.com/browse/PEDAGML-419" TargetMode="External"/><Relationship Id="rId196" Type="http://schemas.openxmlformats.org/officeDocument/2006/relationships/hyperlink" Target="http://jiraproj.sg.uobnet.com/browse/PEDAGML-156" TargetMode="External"/><Relationship Id="rId200" Type="http://schemas.openxmlformats.org/officeDocument/2006/relationships/hyperlink" Target="http://jiraproj.sg.uobnet.com/browse/PEDAGML-152" TargetMode="External"/><Relationship Id="rId382" Type="http://schemas.openxmlformats.org/officeDocument/2006/relationships/hyperlink" Target="http://jiraproj.sg.uobnet.com/secure/attachment/250319/_thumb_250319.png" TargetMode="External"/><Relationship Id="rId417" Type="http://schemas.openxmlformats.org/officeDocument/2006/relationships/hyperlink" Target="http://jiraproj.sg.uobnet.com/secure/attachment/242382/_thumb_242382.png" TargetMode="External"/><Relationship Id="rId438" Type="http://schemas.openxmlformats.org/officeDocument/2006/relationships/hyperlink" Target="http://jiraproj.sg.uobnet.com/secure/attachment/239487/_thumb_239487.png" TargetMode="External"/><Relationship Id="rId16" Type="http://schemas.openxmlformats.org/officeDocument/2006/relationships/hyperlink" Target="http://jiraproj.sg.uobnet.com/browse/PEDAGML-338" TargetMode="External"/><Relationship Id="rId221" Type="http://schemas.openxmlformats.org/officeDocument/2006/relationships/hyperlink" Target="http://jiraproj.sg.uobnet.com/browse/PEDAGML-131" TargetMode="External"/><Relationship Id="rId242" Type="http://schemas.openxmlformats.org/officeDocument/2006/relationships/hyperlink" Target="http://jiraproj.sg.uobnet.com/browse/PEDAGML-110" TargetMode="External"/><Relationship Id="rId263" Type="http://schemas.openxmlformats.org/officeDocument/2006/relationships/hyperlink" Target="http://jiraproj.sg.uobnet.com/browse/PEDAGML-89" TargetMode="External"/><Relationship Id="rId284" Type="http://schemas.openxmlformats.org/officeDocument/2006/relationships/hyperlink" Target="http://jiraproj.sg.uobnet.com/browse/PEDAGML-68" TargetMode="External"/><Relationship Id="rId319" Type="http://schemas.openxmlformats.org/officeDocument/2006/relationships/hyperlink" Target="http://jiraproj.sg.uobnet.com/browse/PEDAGML-374" TargetMode="External"/><Relationship Id="rId37" Type="http://schemas.openxmlformats.org/officeDocument/2006/relationships/hyperlink" Target="http://jiraproj.sg.uobnet.com/browse/PEDAGML-317" TargetMode="External"/><Relationship Id="rId58" Type="http://schemas.openxmlformats.org/officeDocument/2006/relationships/hyperlink" Target="http://jiraproj.sg.uobnet.com/browse/PEDAGML-296" TargetMode="External"/><Relationship Id="rId79" Type="http://schemas.openxmlformats.org/officeDocument/2006/relationships/hyperlink" Target="http://jiraproj.sg.uobnet.com/browse/PEDAGML-275" TargetMode="External"/><Relationship Id="rId102" Type="http://schemas.openxmlformats.org/officeDocument/2006/relationships/hyperlink" Target="http://jiraproj.sg.uobnet.com/browse/PEDAGML-252" TargetMode="External"/><Relationship Id="rId123" Type="http://schemas.openxmlformats.org/officeDocument/2006/relationships/hyperlink" Target="http://jiraproj.sg.uobnet.com/browse/PEDAGML-230" TargetMode="External"/><Relationship Id="rId144" Type="http://schemas.openxmlformats.org/officeDocument/2006/relationships/hyperlink" Target="http://jiraproj.sg.uobnet.com/browse/PEDAGML-208" TargetMode="External"/><Relationship Id="rId330" Type="http://schemas.openxmlformats.org/officeDocument/2006/relationships/hyperlink" Target="http://jiraproj.sg.uobnet.com/browse/PEDAGML-363" TargetMode="External"/><Relationship Id="rId90" Type="http://schemas.openxmlformats.org/officeDocument/2006/relationships/hyperlink" Target="http://jiraproj.sg.uobnet.com/browse/PEDAGML-264" TargetMode="External"/><Relationship Id="rId165" Type="http://schemas.openxmlformats.org/officeDocument/2006/relationships/hyperlink" Target="http://jiraproj.sg.uobnet.com/browse/PEDAGML-187" TargetMode="External"/><Relationship Id="rId186" Type="http://schemas.openxmlformats.org/officeDocument/2006/relationships/hyperlink" Target="http://jiraproj.sg.uobnet.com/browse/PEDAGML-166" TargetMode="External"/><Relationship Id="rId351" Type="http://schemas.openxmlformats.org/officeDocument/2006/relationships/hyperlink" Target="http://jiraproj.sg.uobnet.com/browse/PEDAGML-389" TargetMode="External"/><Relationship Id="rId372" Type="http://schemas.openxmlformats.org/officeDocument/2006/relationships/hyperlink" Target="http://jiraproj.sg.uobnet.com/browse/PEDAGML-402" TargetMode="External"/><Relationship Id="rId393" Type="http://schemas.openxmlformats.org/officeDocument/2006/relationships/hyperlink" Target="http://jiraproj.sg.uobnet.com/secure/attachment/245880/_thumb_245880.png" TargetMode="External"/><Relationship Id="rId407" Type="http://schemas.openxmlformats.org/officeDocument/2006/relationships/hyperlink" Target="http://jiraproj.sg.uobnet.com/secure/attachment/242989/_thumb_242989.png" TargetMode="External"/><Relationship Id="rId428" Type="http://schemas.openxmlformats.org/officeDocument/2006/relationships/hyperlink" Target="http://jiraproj.sg.uobnet.com/secure/attachment/246219/_thumb_246219.png" TargetMode="External"/><Relationship Id="rId211" Type="http://schemas.openxmlformats.org/officeDocument/2006/relationships/hyperlink" Target="http://jiraproj.sg.uobnet.com/browse/PEDAGML-141" TargetMode="External"/><Relationship Id="rId232" Type="http://schemas.openxmlformats.org/officeDocument/2006/relationships/hyperlink" Target="http://jiraproj.sg.uobnet.com/browse/PEDAGML-120" TargetMode="External"/><Relationship Id="rId253" Type="http://schemas.openxmlformats.org/officeDocument/2006/relationships/hyperlink" Target="http://jiraproj.sg.uobnet.com/browse/PEDAGML-99" TargetMode="External"/><Relationship Id="rId274" Type="http://schemas.openxmlformats.org/officeDocument/2006/relationships/hyperlink" Target="http://jiraproj.sg.uobnet.com/browse/PEDAGML-78" TargetMode="External"/><Relationship Id="rId295" Type="http://schemas.openxmlformats.org/officeDocument/2006/relationships/hyperlink" Target="http://jiraproj.sg.uobnet.com/browse/PEDAGML-57" TargetMode="External"/><Relationship Id="rId309" Type="http://schemas.openxmlformats.org/officeDocument/2006/relationships/hyperlink" Target="http://jiraproj.sg.uobnet.com/browse/PEDAGML-42" TargetMode="External"/><Relationship Id="rId27" Type="http://schemas.openxmlformats.org/officeDocument/2006/relationships/hyperlink" Target="http://jiraproj.sg.uobnet.com/browse/PEDAGML-327" TargetMode="External"/><Relationship Id="rId48" Type="http://schemas.openxmlformats.org/officeDocument/2006/relationships/hyperlink" Target="http://jiraproj.sg.uobnet.com/browse/PEDAGML-306" TargetMode="External"/><Relationship Id="rId69" Type="http://schemas.openxmlformats.org/officeDocument/2006/relationships/hyperlink" Target="http://jiraproj.sg.uobnet.com/browse/PEDAGML-285" TargetMode="External"/><Relationship Id="rId113" Type="http://schemas.openxmlformats.org/officeDocument/2006/relationships/hyperlink" Target="http://jiraproj.sg.uobnet.com/browse/PEDAGML-241" TargetMode="External"/><Relationship Id="rId134" Type="http://schemas.openxmlformats.org/officeDocument/2006/relationships/hyperlink" Target="http://jiraproj.sg.uobnet.com/browse/PEDAGML-218" TargetMode="External"/><Relationship Id="rId320" Type="http://schemas.openxmlformats.org/officeDocument/2006/relationships/hyperlink" Target="http://jiraproj.sg.uobnet.com/browse/PEDAGML-373" TargetMode="External"/><Relationship Id="rId80" Type="http://schemas.openxmlformats.org/officeDocument/2006/relationships/hyperlink" Target="http://jiraproj.sg.uobnet.com/browse/PEDAGML-274" TargetMode="External"/><Relationship Id="rId155" Type="http://schemas.openxmlformats.org/officeDocument/2006/relationships/hyperlink" Target="http://jiraproj.sg.uobnet.com/browse/PEDAGML-197" TargetMode="External"/><Relationship Id="rId176" Type="http://schemas.openxmlformats.org/officeDocument/2006/relationships/hyperlink" Target="http://jiraproj.sg.uobnet.com/browse/PEDAGML-176" TargetMode="External"/><Relationship Id="rId197" Type="http://schemas.openxmlformats.org/officeDocument/2006/relationships/hyperlink" Target="http://jiraproj.sg.uobnet.com/browse/PEDAGML-155" TargetMode="External"/><Relationship Id="rId341" Type="http://schemas.openxmlformats.org/officeDocument/2006/relationships/hyperlink" Target="http://jiraproj.sg.uobnet.com/browse/PEDAGML-396" TargetMode="External"/><Relationship Id="rId362" Type="http://schemas.openxmlformats.org/officeDocument/2006/relationships/hyperlink" Target="http://jiraproj.sg.uobnet.com/browse/PEDAGML-418" TargetMode="External"/><Relationship Id="rId383" Type="http://schemas.openxmlformats.org/officeDocument/2006/relationships/hyperlink" Target="http://jiraproj.sg.uobnet.com/secure/attachment/250022/_thumb_250022.png" TargetMode="External"/><Relationship Id="rId418" Type="http://schemas.openxmlformats.org/officeDocument/2006/relationships/hyperlink" Target="http://jiraproj.sg.uobnet.com/secure/attachment/242380/_thumb_242380.png" TargetMode="External"/><Relationship Id="rId439" Type="http://schemas.openxmlformats.org/officeDocument/2006/relationships/hyperlink" Target="http://jiraproj.sg.uobnet.com/secure/attachment/238157/_thumb_238157.png" TargetMode="External"/><Relationship Id="rId201" Type="http://schemas.openxmlformats.org/officeDocument/2006/relationships/hyperlink" Target="http://jiraproj.sg.uobnet.com/browse/PEDAGML-151" TargetMode="External"/><Relationship Id="rId222" Type="http://schemas.openxmlformats.org/officeDocument/2006/relationships/hyperlink" Target="http://jiraproj.sg.uobnet.com/browse/PEDAGML-130" TargetMode="External"/><Relationship Id="rId243" Type="http://schemas.openxmlformats.org/officeDocument/2006/relationships/hyperlink" Target="http://jiraproj.sg.uobnet.com/browse/PEDAGML-109" TargetMode="External"/><Relationship Id="rId264" Type="http://schemas.openxmlformats.org/officeDocument/2006/relationships/hyperlink" Target="http://jiraproj.sg.uobnet.com/browse/PEDAGML-88" TargetMode="External"/><Relationship Id="rId285" Type="http://schemas.openxmlformats.org/officeDocument/2006/relationships/hyperlink" Target="http://jiraproj.sg.uobnet.com/browse/PEDAGML-67" TargetMode="External"/><Relationship Id="rId17" Type="http://schemas.openxmlformats.org/officeDocument/2006/relationships/hyperlink" Target="http://jiraproj.sg.uobnet.com/browse/PEDAGML-337" TargetMode="External"/><Relationship Id="rId38" Type="http://schemas.openxmlformats.org/officeDocument/2006/relationships/hyperlink" Target="http://jiraproj.sg.uobnet.com/browse/PEDAGML-316" TargetMode="External"/><Relationship Id="rId59" Type="http://schemas.openxmlformats.org/officeDocument/2006/relationships/hyperlink" Target="http://jiraproj.sg.uobnet.com/browse/PEDAGML-295" TargetMode="External"/><Relationship Id="rId103" Type="http://schemas.openxmlformats.org/officeDocument/2006/relationships/hyperlink" Target="http://jiraproj.sg.uobnet.com/browse/PEDAGML-251" TargetMode="External"/><Relationship Id="rId124" Type="http://schemas.openxmlformats.org/officeDocument/2006/relationships/hyperlink" Target="http://jiraproj.sg.uobnet.com/browse/PEDAGML-229" TargetMode="External"/><Relationship Id="rId310" Type="http://schemas.openxmlformats.org/officeDocument/2006/relationships/hyperlink" Target="http://jiraproj.sg.uobnet.com/browse/PEDAGML-41" TargetMode="External"/><Relationship Id="rId70" Type="http://schemas.openxmlformats.org/officeDocument/2006/relationships/hyperlink" Target="http://jiraproj.sg.uobnet.com/browse/PEDAGML-284" TargetMode="External"/><Relationship Id="rId91" Type="http://schemas.openxmlformats.org/officeDocument/2006/relationships/hyperlink" Target="http://jiraproj.sg.uobnet.com/browse/PEDAGML-263" TargetMode="External"/><Relationship Id="rId145" Type="http://schemas.openxmlformats.org/officeDocument/2006/relationships/hyperlink" Target="http://jiraproj.sg.uobnet.com/browse/PEDAGML-207" TargetMode="External"/><Relationship Id="rId166" Type="http://schemas.openxmlformats.org/officeDocument/2006/relationships/hyperlink" Target="http://jiraproj.sg.uobnet.com/browse/PEDAGML-186" TargetMode="External"/><Relationship Id="rId187" Type="http://schemas.openxmlformats.org/officeDocument/2006/relationships/hyperlink" Target="http://jiraproj.sg.uobnet.com/browse/PEDAGML-165" TargetMode="External"/><Relationship Id="rId331" Type="http://schemas.openxmlformats.org/officeDocument/2006/relationships/hyperlink" Target="http://jiraproj.sg.uobnet.com/browse/PEDAGML-362" TargetMode="External"/><Relationship Id="rId352" Type="http://schemas.openxmlformats.org/officeDocument/2006/relationships/hyperlink" Target="http://jiraproj.sg.uobnet.com/browse/PEDAGML-390" TargetMode="External"/><Relationship Id="rId373" Type="http://schemas.openxmlformats.org/officeDocument/2006/relationships/hyperlink" Target="http://jiraproj.sg.uobnet.com/browse/PEDAGML-401" TargetMode="External"/><Relationship Id="rId394" Type="http://schemas.openxmlformats.org/officeDocument/2006/relationships/hyperlink" Target="http://jiraproj.sg.uobnet.com/secure/attachment/245134/_thumb_245134.png" TargetMode="External"/><Relationship Id="rId408" Type="http://schemas.openxmlformats.org/officeDocument/2006/relationships/hyperlink" Target="http://jiraproj.sg.uobnet.com/secure/attachment/242889/_thumb_242889.png" TargetMode="External"/><Relationship Id="rId429" Type="http://schemas.openxmlformats.org/officeDocument/2006/relationships/hyperlink" Target="http://jiraproj.sg.uobnet.com/secure/attachment/241174/_thumb_241174.png" TargetMode="External"/><Relationship Id="rId1" Type="http://schemas.openxmlformats.org/officeDocument/2006/relationships/hyperlink" Target="http://jiraproj.sg.uobnet.com/browse/PEDAGML-353" TargetMode="External"/><Relationship Id="rId212" Type="http://schemas.openxmlformats.org/officeDocument/2006/relationships/hyperlink" Target="http://jiraproj.sg.uobnet.com/browse/PEDAGML-140" TargetMode="External"/><Relationship Id="rId233" Type="http://schemas.openxmlformats.org/officeDocument/2006/relationships/hyperlink" Target="http://jiraproj.sg.uobnet.com/browse/PEDAGML-119" TargetMode="External"/><Relationship Id="rId254" Type="http://schemas.openxmlformats.org/officeDocument/2006/relationships/hyperlink" Target="http://jiraproj.sg.uobnet.com/browse/PEDAGML-98" TargetMode="External"/><Relationship Id="rId440" Type="http://schemas.openxmlformats.org/officeDocument/2006/relationships/hyperlink" Target="http://jiraproj.sg.uobnet.com/secure/attachment/237653/_thumb_237653.png" TargetMode="External"/><Relationship Id="rId28" Type="http://schemas.openxmlformats.org/officeDocument/2006/relationships/hyperlink" Target="http://jiraproj.sg.uobnet.com/browse/PEDAGML-326" TargetMode="External"/><Relationship Id="rId49" Type="http://schemas.openxmlformats.org/officeDocument/2006/relationships/hyperlink" Target="http://jiraproj.sg.uobnet.com/browse/PEDAGML-305" TargetMode="External"/><Relationship Id="rId114" Type="http://schemas.openxmlformats.org/officeDocument/2006/relationships/hyperlink" Target="http://jiraproj.sg.uobnet.com/browse/PEDAGML-240" TargetMode="External"/><Relationship Id="rId275" Type="http://schemas.openxmlformats.org/officeDocument/2006/relationships/hyperlink" Target="http://jiraproj.sg.uobnet.com/browse/PEDAGML-77" TargetMode="External"/><Relationship Id="rId296" Type="http://schemas.openxmlformats.org/officeDocument/2006/relationships/hyperlink" Target="http://jiraproj.sg.uobnet.com/browse/PEDAGML-56" TargetMode="External"/><Relationship Id="rId300" Type="http://schemas.openxmlformats.org/officeDocument/2006/relationships/hyperlink" Target="http://jiraproj.sg.uobnet.com/browse/PEDAGML-52" TargetMode="External"/><Relationship Id="rId60" Type="http://schemas.openxmlformats.org/officeDocument/2006/relationships/hyperlink" Target="http://jiraproj.sg.uobnet.com/browse/PEDAGML-294" TargetMode="External"/><Relationship Id="rId81" Type="http://schemas.openxmlformats.org/officeDocument/2006/relationships/hyperlink" Target="http://jiraproj.sg.uobnet.com/browse/PEDAGML-273" TargetMode="External"/><Relationship Id="rId135" Type="http://schemas.openxmlformats.org/officeDocument/2006/relationships/hyperlink" Target="http://jiraproj.sg.uobnet.com/browse/PEDAGML-217" TargetMode="External"/><Relationship Id="rId156" Type="http://schemas.openxmlformats.org/officeDocument/2006/relationships/hyperlink" Target="http://jiraproj.sg.uobnet.com/browse/PEDAGML-196" TargetMode="External"/><Relationship Id="rId177" Type="http://schemas.openxmlformats.org/officeDocument/2006/relationships/hyperlink" Target="http://jiraproj.sg.uobnet.com/browse/PEDAGML-175" TargetMode="External"/><Relationship Id="rId198" Type="http://schemas.openxmlformats.org/officeDocument/2006/relationships/hyperlink" Target="http://jiraproj.sg.uobnet.com/browse/PEDAGML-154" TargetMode="External"/><Relationship Id="rId321" Type="http://schemas.openxmlformats.org/officeDocument/2006/relationships/hyperlink" Target="http://jiraproj.sg.uobnet.com/browse/PEDAGML-372" TargetMode="External"/><Relationship Id="rId342" Type="http://schemas.openxmlformats.org/officeDocument/2006/relationships/hyperlink" Target="http://jiraproj.sg.uobnet.com/browse/PEDAGML-398" TargetMode="External"/><Relationship Id="rId363" Type="http://schemas.openxmlformats.org/officeDocument/2006/relationships/hyperlink" Target="http://jiraproj.sg.uobnet.com/browse/PEDAGML-415" TargetMode="External"/><Relationship Id="rId384" Type="http://schemas.openxmlformats.org/officeDocument/2006/relationships/hyperlink" Target="http://jiraproj.sg.uobnet.com/secure/attachment/249807/_thumb_249807.png" TargetMode="External"/><Relationship Id="rId419" Type="http://schemas.openxmlformats.org/officeDocument/2006/relationships/hyperlink" Target="http://jiraproj.sg.uobnet.com/secure/attachment/242346/_thumb_242346.png" TargetMode="External"/><Relationship Id="rId202" Type="http://schemas.openxmlformats.org/officeDocument/2006/relationships/hyperlink" Target="http://jiraproj.sg.uobnet.com/browse/PEDAGML-150" TargetMode="External"/><Relationship Id="rId223" Type="http://schemas.openxmlformats.org/officeDocument/2006/relationships/hyperlink" Target="http://jiraproj.sg.uobnet.com/browse/PEDAGML-129" TargetMode="External"/><Relationship Id="rId244" Type="http://schemas.openxmlformats.org/officeDocument/2006/relationships/hyperlink" Target="http://jiraproj.sg.uobnet.com/browse/PEDAGML-108" TargetMode="External"/><Relationship Id="rId430" Type="http://schemas.openxmlformats.org/officeDocument/2006/relationships/hyperlink" Target="http://jiraproj.sg.uobnet.com/secure/attachment/240944/_thumb_240944.png" TargetMode="External"/><Relationship Id="rId18" Type="http://schemas.openxmlformats.org/officeDocument/2006/relationships/hyperlink" Target="http://jiraproj.sg.uobnet.com/browse/PEDAGML-336" TargetMode="External"/><Relationship Id="rId39" Type="http://schemas.openxmlformats.org/officeDocument/2006/relationships/hyperlink" Target="http://jiraproj.sg.uobnet.com/browse/PEDAGML-315" TargetMode="External"/><Relationship Id="rId265" Type="http://schemas.openxmlformats.org/officeDocument/2006/relationships/hyperlink" Target="http://jiraproj.sg.uobnet.com/browse/PEDAGML-87" TargetMode="External"/><Relationship Id="rId286" Type="http://schemas.openxmlformats.org/officeDocument/2006/relationships/hyperlink" Target="http://jiraproj.sg.uobnet.com/browse/PEDAGML-66" TargetMode="External"/><Relationship Id="rId50" Type="http://schemas.openxmlformats.org/officeDocument/2006/relationships/hyperlink" Target="http://jiraproj.sg.uobnet.com/browse/PEDAGML-304" TargetMode="External"/><Relationship Id="rId104" Type="http://schemas.openxmlformats.org/officeDocument/2006/relationships/hyperlink" Target="http://jiraproj.sg.uobnet.com/browse/PEDAGML-250" TargetMode="External"/><Relationship Id="rId125" Type="http://schemas.openxmlformats.org/officeDocument/2006/relationships/hyperlink" Target="http://jiraproj.sg.uobnet.com/browse/PEDAGML-227" TargetMode="External"/><Relationship Id="rId146" Type="http://schemas.openxmlformats.org/officeDocument/2006/relationships/hyperlink" Target="http://jiraproj.sg.uobnet.com/browse/PEDAGML-206" TargetMode="External"/><Relationship Id="rId167" Type="http://schemas.openxmlformats.org/officeDocument/2006/relationships/hyperlink" Target="http://jiraproj.sg.uobnet.com/browse/PEDAGML-185" TargetMode="External"/><Relationship Id="rId188" Type="http://schemas.openxmlformats.org/officeDocument/2006/relationships/hyperlink" Target="http://jiraproj.sg.uobnet.com/browse/PEDAGML-164" TargetMode="External"/><Relationship Id="rId311" Type="http://schemas.openxmlformats.org/officeDocument/2006/relationships/hyperlink" Target="http://jiraproj.sg.uobnet.com/browse/PEDAGML-228" TargetMode="External"/><Relationship Id="rId332" Type="http://schemas.openxmlformats.org/officeDocument/2006/relationships/hyperlink" Target="http://jiraproj.sg.uobnet.com/browse/PEDAGML-361" TargetMode="External"/><Relationship Id="rId353" Type="http://schemas.openxmlformats.org/officeDocument/2006/relationships/hyperlink" Target="http://jiraproj.sg.uobnet.com/browse/PEDAGML-391" TargetMode="External"/><Relationship Id="rId374" Type="http://schemas.openxmlformats.org/officeDocument/2006/relationships/hyperlink" Target="http://jiraproj.sg.uobnet.com/browse/PEDAGML-400" TargetMode="External"/><Relationship Id="rId395" Type="http://schemas.openxmlformats.org/officeDocument/2006/relationships/hyperlink" Target="http://jiraproj.sg.uobnet.com/secure/attachment/245133/_thumb_245133.png" TargetMode="External"/><Relationship Id="rId409" Type="http://schemas.openxmlformats.org/officeDocument/2006/relationships/hyperlink" Target="http://jiraproj.sg.uobnet.com/secure/attachment/242855/_thumb_242855.png" TargetMode="External"/><Relationship Id="rId71" Type="http://schemas.openxmlformats.org/officeDocument/2006/relationships/hyperlink" Target="http://jiraproj.sg.uobnet.com/browse/PEDAGML-283" TargetMode="External"/><Relationship Id="rId92" Type="http://schemas.openxmlformats.org/officeDocument/2006/relationships/hyperlink" Target="http://jiraproj.sg.uobnet.com/browse/PEDAGML-262" TargetMode="External"/><Relationship Id="rId213" Type="http://schemas.openxmlformats.org/officeDocument/2006/relationships/hyperlink" Target="http://jiraproj.sg.uobnet.com/browse/PEDAGML-139" TargetMode="External"/><Relationship Id="rId234" Type="http://schemas.openxmlformats.org/officeDocument/2006/relationships/hyperlink" Target="http://jiraproj.sg.uobnet.com/browse/PEDAGML-118" TargetMode="External"/><Relationship Id="rId420" Type="http://schemas.openxmlformats.org/officeDocument/2006/relationships/hyperlink" Target="http://jiraproj.sg.uobnet.com/secure/attachment/242306/_thumb_242306.png" TargetMode="External"/><Relationship Id="rId2" Type="http://schemas.openxmlformats.org/officeDocument/2006/relationships/hyperlink" Target="http://jiraproj.sg.uobnet.com/browse/PEDAGML-352" TargetMode="External"/><Relationship Id="rId29" Type="http://schemas.openxmlformats.org/officeDocument/2006/relationships/hyperlink" Target="http://jiraproj.sg.uobnet.com/browse/PEDAGML-325" TargetMode="External"/><Relationship Id="rId255" Type="http://schemas.openxmlformats.org/officeDocument/2006/relationships/hyperlink" Target="http://jiraproj.sg.uobnet.com/browse/PEDAGML-97" TargetMode="External"/><Relationship Id="rId276" Type="http://schemas.openxmlformats.org/officeDocument/2006/relationships/hyperlink" Target="http://jiraproj.sg.uobnet.com/browse/PEDAGML-76" TargetMode="External"/><Relationship Id="rId297" Type="http://schemas.openxmlformats.org/officeDocument/2006/relationships/hyperlink" Target="http://jiraproj.sg.uobnet.com/browse/PEDAGML-55" TargetMode="External"/><Relationship Id="rId441" Type="http://schemas.openxmlformats.org/officeDocument/2006/relationships/hyperlink" Target="http://jiraproj.sg.uobnet.com/secure/attachment/238149/_thumb_238149.png" TargetMode="External"/><Relationship Id="rId40" Type="http://schemas.openxmlformats.org/officeDocument/2006/relationships/hyperlink" Target="http://jiraproj.sg.uobnet.com/browse/PEDAGML-314" TargetMode="External"/><Relationship Id="rId115" Type="http://schemas.openxmlformats.org/officeDocument/2006/relationships/hyperlink" Target="http://jiraproj.sg.uobnet.com/browse/PEDAGML-239" TargetMode="External"/><Relationship Id="rId136" Type="http://schemas.openxmlformats.org/officeDocument/2006/relationships/hyperlink" Target="http://jiraproj.sg.uobnet.com/browse/PEDAGML-216" TargetMode="External"/><Relationship Id="rId157" Type="http://schemas.openxmlformats.org/officeDocument/2006/relationships/hyperlink" Target="http://jiraproj.sg.uobnet.com/browse/PEDAGML-195" TargetMode="External"/><Relationship Id="rId178" Type="http://schemas.openxmlformats.org/officeDocument/2006/relationships/hyperlink" Target="http://jiraproj.sg.uobnet.com/browse/PEDAGML-174" TargetMode="External"/><Relationship Id="rId301" Type="http://schemas.openxmlformats.org/officeDocument/2006/relationships/hyperlink" Target="http://jiraproj.sg.uobnet.com/browse/PEDAGML-51" TargetMode="External"/><Relationship Id="rId322" Type="http://schemas.openxmlformats.org/officeDocument/2006/relationships/hyperlink" Target="http://jiraproj.sg.uobnet.com/browse/PEDAGML-371" TargetMode="External"/><Relationship Id="rId343" Type="http://schemas.openxmlformats.org/officeDocument/2006/relationships/hyperlink" Target="http://jiraproj.sg.uobnet.com/browse/PEDAGML-399" TargetMode="External"/><Relationship Id="rId364" Type="http://schemas.openxmlformats.org/officeDocument/2006/relationships/hyperlink" Target="http://jiraproj.sg.uobnet.com/browse/PEDAGML-414" TargetMode="External"/><Relationship Id="rId61" Type="http://schemas.openxmlformats.org/officeDocument/2006/relationships/hyperlink" Target="http://jiraproj.sg.uobnet.com/browse/PEDAGML-293" TargetMode="External"/><Relationship Id="rId82" Type="http://schemas.openxmlformats.org/officeDocument/2006/relationships/hyperlink" Target="http://jiraproj.sg.uobnet.com/browse/PEDAGML-272" TargetMode="External"/><Relationship Id="rId199" Type="http://schemas.openxmlformats.org/officeDocument/2006/relationships/hyperlink" Target="http://jiraproj.sg.uobnet.com/browse/PEDAGML-153" TargetMode="External"/><Relationship Id="rId203" Type="http://schemas.openxmlformats.org/officeDocument/2006/relationships/hyperlink" Target="http://jiraproj.sg.uobnet.com/browse/PEDAGML-149" TargetMode="External"/><Relationship Id="rId385" Type="http://schemas.openxmlformats.org/officeDocument/2006/relationships/hyperlink" Target="http://jiraproj.sg.uobnet.com/secure/attachment/249793/_thumb_249793.png" TargetMode="External"/><Relationship Id="rId19" Type="http://schemas.openxmlformats.org/officeDocument/2006/relationships/hyperlink" Target="http://jiraproj.sg.uobnet.com/browse/PEDAGML-335" TargetMode="External"/><Relationship Id="rId224" Type="http://schemas.openxmlformats.org/officeDocument/2006/relationships/hyperlink" Target="http://jiraproj.sg.uobnet.com/browse/PEDAGML-128" TargetMode="External"/><Relationship Id="rId245" Type="http://schemas.openxmlformats.org/officeDocument/2006/relationships/hyperlink" Target="http://jiraproj.sg.uobnet.com/browse/PEDAGML-107" TargetMode="External"/><Relationship Id="rId266" Type="http://schemas.openxmlformats.org/officeDocument/2006/relationships/hyperlink" Target="http://jiraproj.sg.uobnet.com/browse/PEDAGML-86" TargetMode="External"/><Relationship Id="rId287" Type="http://schemas.openxmlformats.org/officeDocument/2006/relationships/hyperlink" Target="http://jiraproj.sg.uobnet.com/browse/PEDAGML-65" TargetMode="External"/><Relationship Id="rId410" Type="http://schemas.openxmlformats.org/officeDocument/2006/relationships/hyperlink" Target="http://jiraproj.sg.uobnet.com/secure/attachment/242838/_thumb_242838.png" TargetMode="External"/><Relationship Id="rId431" Type="http://schemas.openxmlformats.org/officeDocument/2006/relationships/hyperlink" Target="http://jiraproj.sg.uobnet.com/secure/attachment/240942/_thumb_240942.png" TargetMode="External"/><Relationship Id="rId30" Type="http://schemas.openxmlformats.org/officeDocument/2006/relationships/hyperlink" Target="http://jiraproj.sg.uobnet.com/browse/PEDAGML-324" TargetMode="External"/><Relationship Id="rId105" Type="http://schemas.openxmlformats.org/officeDocument/2006/relationships/hyperlink" Target="http://jiraproj.sg.uobnet.com/browse/PEDAGML-249" TargetMode="External"/><Relationship Id="rId126" Type="http://schemas.openxmlformats.org/officeDocument/2006/relationships/hyperlink" Target="http://jiraproj.sg.uobnet.com/browse/PEDAGML-226" TargetMode="External"/><Relationship Id="rId147" Type="http://schemas.openxmlformats.org/officeDocument/2006/relationships/hyperlink" Target="http://jiraproj.sg.uobnet.com/browse/PEDAGML-205" TargetMode="External"/><Relationship Id="rId168" Type="http://schemas.openxmlformats.org/officeDocument/2006/relationships/hyperlink" Target="http://jiraproj.sg.uobnet.com/browse/PEDAGML-184" TargetMode="External"/><Relationship Id="rId312" Type="http://schemas.openxmlformats.org/officeDocument/2006/relationships/hyperlink" Target="http://jiraproj.sg.uobnet.com/browse/PEDAGML-360" TargetMode="External"/><Relationship Id="rId333" Type="http://schemas.openxmlformats.org/officeDocument/2006/relationships/hyperlink" Target="http://jiraproj.sg.uobnet.com/browse/PEDAGML-378" TargetMode="External"/><Relationship Id="rId354" Type="http://schemas.openxmlformats.org/officeDocument/2006/relationships/hyperlink" Target="http://jiraproj.sg.uobnet.com/browse/PEDAGML-427" TargetMode="External"/><Relationship Id="rId51" Type="http://schemas.openxmlformats.org/officeDocument/2006/relationships/hyperlink" Target="http://jiraproj.sg.uobnet.com/browse/PEDAGML-303" TargetMode="External"/><Relationship Id="rId72" Type="http://schemas.openxmlformats.org/officeDocument/2006/relationships/hyperlink" Target="http://jiraproj.sg.uobnet.com/browse/PEDAGML-282" TargetMode="External"/><Relationship Id="rId93" Type="http://schemas.openxmlformats.org/officeDocument/2006/relationships/hyperlink" Target="http://jiraproj.sg.uobnet.com/browse/PEDAGML-261" TargetMode="External"/><Relationship Id="rId189" Type="http://schemas.openxmlformats.org/officeDocument/2006/relationships/hyperlink" Target="http://jiraproj.sg.uobnet.com/browse/PEDAGML-163" TargetMode="External"/><Relationship Id="rId375" Type="http://schemas.openxmlformats.org/officeDocument/2006/relationships/hyperlink" Target="http://jiraproj.sg.uobnet.com/browse/PEDAGML-432" TargetMode="External"/><Relationship Id="rId396" Type="http://schemas.openxmlformats.org/officeDocument/2006/relationships/hyperlink" Target="http://jiraproj.sg.uobnet.com/secure/attachment/244550/_thumb_244550.png" TargetMode="External"/><Relationship Id="rId3" Type="http://schemas.openxmlformats.org/officeDocument/2006/relationships/hyperlink" Target="http://jiraproj.sg.uobnet.com/browse/PEDAGML-351" TargetMode="External"/><Relationship Id="rId214" Type="http://schemas.openxmlformats.org/officeDocument/2006/relationships/hyperlink" Target="http://jiraproj.sg.uobnet.com/browse/PEDAGML-138" TargetMode="External"/><Relationship Id="rId235" Type="http://schemas.openxmlformats.org/officeDocument/2006/relationships/hyperlink" Target="http://jiraproj.sg.uobnet.com/browse/PEDAGML-117" TargetMode="External"/><Relationship Id="rId256" Type="http://schemas.openxmlformats.org/officeDocument/2006/relationships/hyperlink" Target="http://jiraproj.sg.uobnet.com/browse/PEDAGML-96" TargetMode="External"/><Relationship Id="rId277" Type="http://schemas.openxmlformats.org/officeDocument/2006/relationships/hyperlink" Target="http://jiraproj.sg.uobnet.com/browse/PEDAGML-75" TargetMode="External"/><Relationship Id="rId298" Type="http://schemas.openxmlformats.org/officeDocument/2006/relationships/hyperlink" Target="http://jiraproj.sg.uobnet.com/browse/PEDAGML-54" TargetMode="External"/><Relationship Id="rId400" Type="http://schemas.openxmlformats.org/officeDocument/2006/relationships/hyperlink" Target="http://jiraproj.sg.uobnet.com/secure/attachment/243628/_thumb_243628.png" TargetMode="External"/><Relationship Id="rId421" Type="http://schemas.openxmlformats.org/officeDocument/2006/relationships/hyperlink" Target="http://jiraproj.sg.uobnet.com/secure/attachment/242005/_thumb_242005.png" TargetMode="External"/><Relationship Id="rId442" Type="http://schemas.openxmlformats.org/officeDocument/2006/relationships/hyperlink" Target="http://jiraproj.sg.uobnet.com/secure/attachment/235052/_thumb_235052.png" TargetMode="External"/><Relationship Id="rId116" Type="http://schemas.openxmlformats.org/officeDocument/2006/relationships/hyperlink" Target="http://jiraproj.sg.uobnet.com/browse/PEDAGML-238" TargetMode="External"/><Relationship Id="rId137" Type="http://schemas.openxmlformats.org/officeDocument/2006/relationships/hyperlink" Target="http://jiraproj.sg.uobnet.com/browse/PEDAGML-215" TargetMode="External"/><Relationship Id="rId158" Type="http://schemas.openxmlformats.org/officeDocument/2006/relationships/hyperlink" Target="http://jiraproj.sg.uobnet.com/browse/PEDAGML-194" TargetMode="External"/><Relationship Id="rId302" Type="http://schemas.openxmlformats.org/officeDocument/2006/relationships/hyperlink" Target="http://jiraproj.sg.uobnet.com/browse/PEDAGML-49" TargetMode="External"/><Relationship Id="rId323" Type="http://schemas.openxmlformats.org/officeDocument/2006/relationships/hyperlink" Target="http://jiraproj.sg.uobnet.com/browse/PEDAGML-370" TargetMode="External"/><Relationship Id="rId344" Type="http://schemas.openxmlformats.org/officeDocument/2006/relationships/hyperlink" Target="http://jiraproj.sg.uobnet.com/browse/PEDAGML-392" TargetMode="External"/><Relationship Id="rId20" Type="http://schemas.openxmlformats.org/officeDocument/2006/relationships/hyperlink" Target="http://jiraproj.sg.uobnet.com/browse/PEDAGML-334" TargetMode="External"/><Relationship Id="rId41" Type="http://schemas.openxmlformats.org/officeDocument/2006/relationships/hyperlink" Target="http://jiraproj.sg.uobnet.com/browse/PEDAGML-313" TargetMode="External"/><Relationship Id="rId62" Type="http://schemas.openxmlformats.org/officeDocument/2006/relationships/hyperlink" Target="http://jiraproj.sg.uobnet.com/browse/PEDAGML-292" TargetMode="External"/><Relationship Id="rId83" Type="http://schemas.openxmlformats.org/officeDocument/2006/relationships/hyperlink" Target="http://jiraproj.sg.uobnet.com/browse/PEDAGML-271" TargetMode="External"/><Relationship Id="rId179" Type="http://schemas.openxmlformats.org/officeDocument/2006/relationships/hyperlink" Target="http://jiraproj.sg.uobnet.com/browse/PEDAGML-173" TargetMode="External"/><Relationship Id="rId365" Type="http://schemas.openxmlformats.org/officeDocument/2006/relationships/hyperlink" Target="http://jiraproj.sg.uobnet.com/browse/PEDAGML-412" TargetMode="External"/><Relationship Id="rId386" Type="http://schemas.openxmlformats.org/officeDocument/2006/relationships/hyperlink" Target="http://jiraproj.sg.uobnet.com/secure/attachment/249640/_thumb_249640.png" TargetMode="External"/><Relationship Id="rId190" Type="http://schemas.openxmlformats.org/officeDocument/2006/relationships/hyperlink" Target="http://jiraproj.sg.uobnet.com/browse/PEDAGML-162" TargetMode="External"/><Relationship Id="rId204" Type="http://schemas.openxmlformats.org/officeDocument/2006/relationships/hyperlink" Target="http://jiraproj.sg.uobnet.com/browse/PEDAGML-148" TargetMode="External"/><Relationship Id="rId225" Type="http://schemas.openxmlformats.org/officeDocument/2006/relationships/hyperlink" Target="http://jiraproj.sg.uobnet.com/browse/PEDAGML-127" TargetMode="External"/><Relationship Id="rId246" Type="http://schemas.openxmlformats.org/officeDocument/2006/relationships/hyperlink" Target="http://jiraproj.sg.uobnet.com/browse/PEDAGML-106" TargetMode="External"/><Relationship Id="rId267" Type="http://schemas.openxmlformats.org/officeDocument/2006/relationships/hyperlink" Target="http://jiraproj.sg.uobnet.com/browse/PEDAGML-85" TargetMode="External"/><Relationship Id="rId288" Type="http://schemas.openxmlformats.org/officeDocument/2006/relationships/hyperlink" Target="http://jiraproj.sg.uobnet.com/browse/PEDAGML-64" TargetMode="External"/><Relationship Id="rId411" Type="http://schemas.openxmlformats.org/officeDocument/2006/relationships/hyperlink" Target="http://jiraproj.sg.uobnet.com/secure/attachment/242839/_thumb_242839.png" TargetMode="External"/><Relationship Id="rId432" Type="http://schemas.openxmlformats.org/officeDocument/2006/relationships/hyperlink" Target="http://jiraproj.sg.uobnet.com/secure/attachment/240841/_thumb_240841.png" TargetMode="External"/><Relationship Id="rId106" Type="http://schemas.openxmlformats.org/officeDocument/2006/relationships/hyperlink" Target="http://jiraproj.sg.uobnet.com/browse/PEDAGML-248" TargetMode="External"/><Relationship Id="rId127" Type="http://schemas.openxmlformats.org/officeDocument/2006/relationships/hyperlink" Target="http://jiraproj.sg.uobnet.com/browse/PEDAGML-225" TargetMode="External"/><Relationship Id="rId313" Type="http://schemas.openxmlformats.org/officeDocument/2006/relationships/hyperlink" Target="http://jiraproj.sg.uobnet.com/browse/PEDAGML-359" TargetMode="External"/><Relationship Id="rId10" Type="http://schemas.openxmlformats.org/officeDocument/2006/relationships/hyperlink" Target="http://jiraproj.sg.uobnet.com/browse/PEDAGML-344" TargetMode="External"/><Relationship Id="rId31" Type="http://schemas.openxmlformats.org/officeDocument/2006/relationships/hyperlink" Target="http://jiraproj.sg.uobnet.com/browse/PEDAGML-323" TargetMode="External"/><Relationship Id="rId52" Type="http://schemas.openxmlformats.org/officeDocument/2006/relationships/hyperlink" Target="http://jiraproj.sg.uobnet.com/browse/PEDAGML-302" TargetMode="External"/><Relationship Id="rId73" Type="http://schemas.openxmlformats.org/officeDocument/2006/relationships/hyperlink" Target="http://jiraproj.sg.uobnet.com/browse/PEDAGML-281" TargetMode="External"/><Relationship Id="rId94" Type="http://schemas.openxmlformats.org/officeDocument/2006/relationships/hyperlink" Target="http://jiraproj.sg.uobnet.com/browse/PEDAGML-260" TargetMode="External"/><Relationship Id="rId148" Type="http://schemas.openxmlformats.org/officeDocument/2006/relationships/hyperlink" Target="http://jiraproj.sg.uobnet.com/browse/PEDAGML-204" TargetMode="External"/><Relationship Id="rId169" Type="http://schemas.openxmlformats.org/officeDocument/2006/relationships/hyperlink" Target="http://jiraproj.sg.uobnet.com/browse/PEDAGML-183" TargetMode="External"/><Relationship Id="rId334" Type="http://schemas.openxmlformats.org/officeDocument/2006/relationships/hyperlink" Target="http://jiraproj.sg.uobnet.com/browse/PEDAGML-377" TargetMode="External"/><Relationship Id="rId355" Type="http://schemas.openxmlformats.org/officeDocument/2006/relationships/hyperlink" Target="http://jiraproj.sg.uobnet.com/browse/PEDAGML-425" TargetMode="External"/><Relationship Id="rId376" Type="http://schemas.openxmlformats.org/officeDocument/2006/relationships/hyperlink" Target="http://jiraproj.sg.uobnet.com/browse/PEDAGML-431" TargetMode="External"/><Relationship Id="rId397" Type="http://schemas.openxmlformats.org/officeDocument/2006/relationships/hyperlink" Target="http://jiraproj.sg.uobnet.com/secure/attachment/244206/_thumb_244206.png" TargetMode="External"/><Relationship Id="rId4" Type="http://schemas.openxmlformats.org/officeDocument/2006/relationships/hyperlink" Target="http://jiraproj.sg.uobnet.com/browse/PEDAGML-350" TargetMode="External"/><Relationship Id="rId180" Type="http://schemas.openxmlformats.org/officeDocument/2006/relationships/hyperlink" Target="http://jiraproj.sg.uobnet.com/browse/PEDAGML-172" TargetMode="External"/><Relationship Id="rId215" Type="http://schemas.openxmlformats.org/officeDocument/2006/relationships/hyperlink" Target="http://jiraproj.sg.uobnet.com/browse/PEDAGML-137" TargetMode="External"/><Relationship Id="rId236" Type="http://schemas.openxmlformats.org/officeDocument/2006/relationships/hyperlink" Target="http://jiraproj.sg.uobnet.com/browse/PEDAGML-116" TargetMode="External"/><Relationship Id="rId257" Type="http://schemas.openxmlformats.org/officeDocument/2006/relationships/hyperlink" Target="http://jiraproj.sg.uobnet.com/browse/PEDAGML-95" TargetMode="External"/><Relationship Id="rId278" Type="http://schemas.openxmlformats.org/officeDocument/2006/relationships/hyperlink" Target="http://jiraproj.sg.uobnet.com/browse/PEDAGML-74" TargetMode="External"/><Relationship Id="rId401" Type="http://schemas.openxmlformats.org/officeDocument/2006/relationships/hyperlink" Target="http://jiraproj.sg.uobnet.com/secure/attachment/243422/_thumb_243422.png" TargetMode="External"/><Relationship Id="rId422" Type="http://schemas.openxmlformats.org/officeDocument/2006/relationships/hyperlink" Target="http://jiraproj.sg.uobnet.com/secure/attachment/241980/_thumb_241980.png" TargetMode="External"/><Relationship Id="rId443" Type="http://schemas.openxmlformats.org/officeDocument/2006/relationships/hyperlink" Target="http://jiraproj.sg.uobnet.com/browse/PEDAGML-236" TargetMode="External"/><Relationship Id="rId303" Type="http://schemas.openxmlformats.org/officeDocument/2006/relationships/hyperlink" Target="http://jiraproj.sg.uobnet.com/browse/PEDAGML-48" TargetMode="External"/><Relationship Id="rId42" Type="http://schemas.openxmlformats.org/officeDocument/2006/relationships/hyperlink" Target="http://jiraproj.sg.uobnet.com/browse/PEDAGML-312" TargetMode="External"/><Relationship Id="rId84" Type="http://schemas.openxmlformats.org/officeDocument/2006/relationships/hyperlink" Target="http://jiraproj.sg.uobnet.com/browse/PEDAGML-270" TargetMode="External"/><Relationship Id="rId138" Type="http://schemas.openxmlformats.org/officeDocument/2006/relationships/hyperlink" Target="http://jiraproj.sg.uobnet.com/browse/PEDAGML-214" TargetMode="External"/><Relationship Id="rId345" Type="http://schemas.openxmlformats.org/officeDocument/2006/relationships/hyperlink" Target="http://jiraproj.sg.uobnet.com/browse/PEDAGML-382" TargetMode="External"/><Relationship Id="rId387" Type="http://schemas.openxmlformats.org/officeDocument/2006/relationships/hyperlink" Target="http://jiraproj.sg.uobnet.com/secure/attachment/248810/_thumb_248810.png" TargetMode="External"/><Relationship Id="rId191" Type="http://schemas.openxmlformats.org/officeDocument/2006/relationships/hyperlink" Target="http://jiraproj.sg.uobnet.com/browse/PEDAGML-161" TargetMode="External"/><Relationship Id="rId205" Type="http://schemas.openxmlformats.org/officeDocument/2006/relationships/hyperlink" Target="http://jiraproj.sg.uobnet.com/browse/PEDAGML-147" TargetMode="External"/><Relationship Id="rId247" Type="http://schemas.openxmlformats.org/officeDocument/2006/relationships/hyperlink" Target="http://jiraproj.sg.uobnet.com/browse/PEDAGML-105" TargetMode="External"/><Relationship Id="rId412" Type="http://schemas.openxmlformats.org/officeDocument/2006/relationships/hyperlink" Target="http://jiraproj.sg.uobnet.com/secure/attachment/242743/_thumb_242743.png" TargetMode="External"/><Relationship Id="rId107" Type="http://schemas.openxmlformats.org/officeDocument/2006/relationships/hyperlink" Target="http://jiraproj.sg.uobnet.com/browse/PEDAGML-247" TargetMode="External"/><Relationship Id="rId289" Type="http://schemas.openxmlformats.org/officeDocument/2006/relationships/hyperlink" Target="http://jiraproj.sg.uobnet.com/browse/PEDAGML-63" TargetMode="External"/><Relationship Id="rId11" Type="http://schemas.openxmlformats.org/officeDocument/2006/relationships/hyperlink" Target="http://jiraproj.sg.uobnet.com/browse/PEDAGML-343" TargetMode="External"/><Relationship Id="rId53" Type="http://schemas.openxmlformats.org/officeDocument/2006/relationships/hyperlink" Target="http://jiraproj.sg.uobnet.com/browse/PEDAGML-301" TargetMode="External"/><Relationship Id="rId149" Type="http://schemas.openxmlformats.org/officeDocument/2006/relationships/hyperlink" Target="http://jiraproj.sg.uobnet.com/browse/PEDAGML-203" TargetMode="External"/><Relationship Id="rId314" Type="http://schemas.openxmlformats.org/officeDocument/2006/relationships/hyperlink" Target="http://jiraproj.sg.uobnet.com/browse/PEDAGML-358" TargetMode="External"/><Relationship Id="rId356" Type="http://schemas.openxmlformats.org/officeDocument/2006/relationships/hyperlink" Target="http://jiraproj.sg.uobnet.com/browse/PEDAGML-424" TargetMode="External"/><Relationship Id="rId398" Type="http://schemas.openxmlformats.org/officeDocument/2006/relationships/hyperlink" Target="http://jiraproj.sg.uobnet.com/secure/attachment/244119/_thumb_244119.png" TargetMode="External"/><Relationship Id="rId95" Type="http://schemas.openxmlformats.org/officeDocument/2006/relationships/hyperlink" Target="http://jiraproj.sg.uobnet.com/browse/PEDAGML-259" TargetMode="External"/><Relationship Id="rId160" Type="http://schemas.openxmlformats.org/officeDocument/2006/relationships/hyperlink" Target="http://jiraproj.sg.uobnet.com/browse/PEDAGML-192" TargetMode="External"/><Relationship Id="rId216" Type="http://schemas.openxmlformats.org/officeDocument/2006/relationships/hyperlink" Target="http://jiraproj.sg.uobnet.com/browse/PEDAGML-136" TargetMode="External"/><Relationship Id="rId423" Type="http://schemas.openxmlformats.org/officeDocument/2006/relationships/hyperlink" Target="http://jiraproj.sg.uobnet.com/secure/attachment/241967/_thumb_241967.png" TargetMode="External"/><Relationship Id="rId258" Type="http://schemas.openxmlformats.org/officeDocument/2006/relationships/hyperlink" Target="http://jiraproj.sg.uobnet.com/browse/PEDAGML-94" TargetMode="External"/><Relationship Id="rId22" Type="http://schemas.openxmlformats.org/officeDocument/2006/relationships/hyperlink" Target="http://jiraproj.sg.uobnet.com/browse/PEDAGML-332" TargetMode="External"/><Relationship Id="rId64" Type="http://schemas.openxmlformats.org/officeDocument/2006/relationships/hyperlink" Target="http://jiraproj.sg.uobnet.com/browse/PEDAGML-290" TargetMode="External"/><Relationship Id="rId118" Type="http://schemas.openxmlformats.org/officeDocument/2006/relationships/hyperlink" Target="http://jiraproj.sg.uobnet.com/browse/PEDAGML-235" TargetMode="External"/><Relationship Id="rId325" Type="http://schemas.openxmlformats.org/officeDocument/2006/relationships/hyperlink" Target="http://jiraproj.sg.uobnet.com/browse/PEDAGML-368" TargetMode="External"/><Relationship Id="rId367" Type="http://schemas.openxmlformats.org/officeDocument/2006/relationships/hyperlink" Target="http://jiraproj.sg.uobnet.com/browse/PEDAGML-410" TargetMode="External"/><Relationship Id="rId171" Type="http://schemas.openxmlformats.org/officeDocument/2006/relationships/hyperlink" Target="http://jiraproj.sg.uobnet.com/browse/PEDAGML-181" TargetMode="External"/><Relationship Id="rId227" Type="http://schemas.openxmlformats.org/officeDocument/2006/relationships/hyperlink" Target="http://jiraproj.sg.uobnet.com/browse/PEDAGML-125" TargetMode="External"/><Relationship Id="rId269" Type="http://schemas.openxmlformats.org/officeDocument/2006/relationships/hyperlink" Target="http://jiraproj.sg.uobnet.com/browse/PEDAGML-83" TargetMode="External"/><Relationship Id="rId434" Type="http://schemas.openxmlformats.org/officeDocument/2006/relationships/hyperlink" Target="http://jiraproj.sg.uobnet.com/secure/attachment/240902/_thumb_240902.pn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4"/>
  <sheetViews>
    <sheetView workbookViewId="0">
      <selection activeCell="X4" sqref="X4"/>
    </sheetView>
  </sheetViews>
  <sheetFormatPr defaultRowHeight="15" x14ac:dyDescent="0.25"/>
  <cols>
    <col min="1" max="1" width="13.140625" style="62" bestFit="1" customWidth="1"/>
    <col min="2" max="6" width="9.140625" style="62"/>
    <col min="7" max="7" width="13.140625" style="62" bestFit="1" customWidth="1"/>
    <col min="8" max="15" width="9.140625" style="62"/>
    <col min="16" max="16" width="12.5703125" style="62" bestFit="1" customWidth="1"/>
    <col min="17" max="21" width="9.140625" style="62"/>
    <col min="22" max="22" width="12.5703125" style="62" bestFit="1" customWidth="1"/>
    <col min="23" max="23" width="13.5703125" style="62" customWidth="1"/>
    <col min="24" max="24" width="18.28515625" style="62" customWidth="1"/>
    <col min="25" max="25" width="13.28515625" style="62" customWidth="1"/>
    <col min="26" max="26" width="17.7109375" style="66" customWidth="1"/>
    <col min="27" max="30" width="9.140625" style="62"/>
    <col min="31" max="31" width="13.7109375" style="62" customWidth="1"/>
    <col min="32" max="16384" width="9.140625" style="62"/>
  </cols>
  <sheetData>
    <row r="1" spans="1:26" x14ac:dyDescent="0.25">
      <c r="A1" s="61" t="s">
        <v>2008</v>
      </c>
      <c r="B1" s="61"/>
      <c r="C1" s="61"/>
      <c r="D1" s="61"/>
      <c r="E1" s="61"/>
      <c r="G1" s="61" t="s">
        <v>2011</v>
      </c>
      <c r="H1" s="61"/>
      <c r="I1" s="61"/>
      <c r="J1" s="61"/>
      <c r="K1" s="61"/>
      <c r="L1" s="61"/>
      <c r="M1" s="61"/>
      <c r="N1" s="61"/>
      <c r="P1" s="61" t="s">
        <v>2017</v>
      </c>
      <c r="Q1" s="61"/>
      <c r="R1" s="61"/>
      <c r="S1" s="61"/>
      <c r="T1" s="61"/>
      <c r="W1" s="61" t="s">
        <v>2023</v>
      </c>
      <c r="X1" s="61"/>
      <c r="Y1" s="61"/>
      <c r="Z1" s="61"/>
    </row>
    <row r="2" spans="1:26" x14ac:dyDescent="0.25">
      <c r="A2" s="63"/>
      <c r="B2" s="64" t="s">
        <v>2006</v>
      </c>
      <c r="C2" s="64"/>
      <c r="D2" s="64"/>
      <c r="E2" s="64"/>
      <c r="G2" s="63"/>
      <c r="H2" s="64" t="s">
        <v>52</v>
      </c>
      <c r="I2" s="64"/>
      <c r="J2" s="64"/>
      <c r="K2" s="64"/>
      <c r="L2" s="64"/>
      <c r="M2" s="64"/>
      <c r="N2" s="64"/>
      <c r="P2" s="63"/>
      <c r="Q2" s="64" t="s">
        <v>2012</v>
      </c>
      <c r="R2" s="64"/>
      <c r="S2" s="64"/>
      <c r="T2" s="64"/>
      <c r="V2" s="63"/>
      <c r="W2" s="64" t="s">
        <v>2027</v>
      </c>
      <c r="X2" s="64"/>
      <c r="Y2" s="65" t="s">
        <v>2028</v>
      </c>
      <c r="Z2" s="65"/>
    </row>
    <row r="3" spans="1:26" ht="45" x14ac:dyDescent="0.25">
      <c r="A3" s="63" t="s">
        <v>2007</v>
      </c>
      <c r="B3" s="63" t="s">
        <v>124</v>
      </c>
      <c r="C3" s="63" t="s">
        <v>93</v>
      </c>
      <c r="D3" s="63" t="s">
        <v>103</v>
      </c>
      <c r="E3" s="63" t="s">
        <v>167</v>
      </c>
      <c r="G3" s="63" t="s">
        <v>2007</v>
      </c>
      <c r="H3" s="63" t="s">
        <v>92</v>
      </c>
      <c r="I3" s="63" t="s">
        <v>2009</v>
      </c>
      <c r="J3" s="63" t="s">
        <v>110</v>
      </c>
      <c r="K3" s="63" t="s">
        <v>174</v>
      </c>
      <c r="L3" s="60" t="s">
        <v>323</v>
      </c>
      <c r="M3" s="60" t="s">
        <v>59</v>
      </c>
      <c r="N3" s="60" t="s">
        <v>2010</v>
      </c>
      <c r="P3" s="63" t="s">
        <v>45</v>
      </c>
      <c r="Q3" s="63" t="s">
        <v>2013</v>
      </c>
      <c r="R3" s="63" t="s">
        <v>2014</v>
      </c>
      <c r="S3" s="63" t="s">
        <v>2015</v>
      </c>
      <c r="T3" s="63" t="s">
        <v>2016</v>
      </c>
      <c r="V3" s="63" t="s">
        <v>45</v>
      </c>
      <c r="W3" s="63" t="s">
        <v>2024</v>
      </c>
      <c r="X3" s="60" t="s">
        <v>2029</v>
      </c>
      <c r="Y3" s="63" t="s">
        <v>2026</v>
      </c>
      <c r="Z3" s="60" t="s">
        <v>2030</v>
      </c>
    </row>
    <row r="4" spans="1:26" x14ac:dyDescent="0.25">
      <c r="A4" s="63" t="s">
        <v>3</v>
      </c>
      <c r="B4" s="63">
        <v>0</v>
      </c>
      <c r="C4" s="63">
        <v>0</v>
      </c>
      <c r="D4" s="63">
        <v>0</v>
      </c>
      <c r="E4" s="63">
        <v>0</v>
      </c>
      <c r="G4" s="63" t="s">
        <v>3</v>
      </c>
      <c r="H4" s="63">
        <v>0</v>
      </c>
      <c r="I4" s="63">
        <v>0</v>
      </c>
      <c r="J4" s="63">
        <v>0</v>
      </c>
      <c r="K4" s="63">
        <v>0</v>
      </c>
      <c r="L4" s="63">
        <v>0</v>
      </c>
      <c r="M4" s="63">
        <v>0</v>
      </c>
      <c r="N4" s="63">
        <v>0</v>
      </c>
      <c r="P4" s="63" t="s">
        <v>3</v>
      </c>
      <c r="Q4" s="63">
        <v>0</v>
      </c>
      <c r="R4" s="63">
        <v>0</v>
      </c>
      <c r="S4" s="63">
        <v>0</v>
      </c>
      <c r="T4" s="63">
        <v>0</v>
      </c>
      <c r="V4" s="63" t="s">
        <v>3</v>
      </c>
      <c r="W4" s="63">
        <v>0</v>
      </c>
      <c r="X4" s="63"/>
      <c r="Y4" s="63">
        <v>0</v>
      </c>
      <c r="Z4" s="60"/>
    </row>
    <row r="5" spans="1:26" x14ac:dyDescent="0.25">
      <c r="A5" s="63" t="s">
        <v>5</v>
      </c>
      <c r="B5" s="63">
        <v>0</v>
      </c>
      <c r="C5" s="63">
        <v>0</v>
      </c>
      <c r="D5" s="63">
        <v>0</v>
      </c>
      <c r="E5" s="63">
        <v>0</v>
      </c>
      <c r="G5" s="63" t="s">
        <v>5</v>
      </c>
      <c r="H5" s="63">
        <v>0</v>
      </c>
      <c r="I5" s="63">
        <v>0</v>
      </c>
      <c r="J5" s="63">
        <v>0</v>
      </c>
      <c r="K5" s="63">
        <v>0</v>
      </c>
      <c r="L5" s="63">
        <v>0</v>
      </c>
      <c r="M5" s="63">
        <v>0</v>
      </c>
      <c r="N5" s="63">
        <v>0</v>
      </c>
      <c r="P5" s="63" t="s">
        <v>5</v>
      </c>
      <c r="Q5" s="63">
        <v>0</v>
      </c>
      <c r="R5" s="63">
        <v>0</v>
      </c>
      <c r="S5" s="63">
        <v>0</v>
      </c>
      <c r="T5" s="63">
        <v>0</v>
      </c>
      <c r="V5" s="63" t="s">
        <v>5</v>
      </c>
      <c r="W5" s="63">
        <v>0</v>
      </c>
      <c r="X5" s="63"/>
      <c r="Y5" s="63">
        <v>0</v>
      </c>
      <c r="Z5" s="60"/>
    </row>
    <row r="6" spans="1:26" x14ac:dyDescent="0.25">
      <c r="A6" s="63" t="s">
        <v>7</v>
      </c>
      <c r="B6" s="63">
        <v>2</v>
      </c>
      <c r="C6" s="63">
        <v>7</v>
      </c>
      <c r="D6" s="63">
        <v>3</v>
      </c>
      <c r="E6" s="63">
        <v>0</v>
      </c>
      <c r="G6" s="63" t="s">
        <v>7</v>
      </c>
      <c r="H6" s="63">
        <v>0</v>
      </c>
      <c r="I6" s="63">
        <v>0</v>
      </c>
      <c r="J6" s="63">
        <v>0</v>
      </c>
      <c r="K6" s="63">
        <v>1</v>
      </c>
      <c r="L6" s="63">
        <v>0</v>
      </c>
      <c r="M6" s="63">
        <v>11</v>
      </c>
      <c r="N6" s="63">
        <v>0</v>
      </c>
      <c r="P6" s="63" t="s">
        <v>7</v>
      </c>
      <c r="Q6" s="63">
        <v>0</v>
      </c>
      <c r="R6" s="63">
        <v>0</v>
      </c>
      <c r="S6" s="63">
        <v>0</v>
      </c>
      <c r="T6" s="63">
        <v>12</v>
      </c>
      <c r="V6" s="63" t="s">
        <v>7</v>
      </c>
      <c r="W6" s="63">
        <v>0</v>
      </c>
      <c r="X6" s="63"/>
      <c r="Y6" s="63">
        <v>0</v>
      </c>
      <c r="Z6" s="60"/>
    </row>
    <row r="7" spans="1:26" x14ac:dyDescent="0.25">
      <c r="A7" s="63" t="s">
        <v>10</v>
      </c>
      <c r="B7" s="63">
        <v>4</v>
      </c>
      <c r="C7" s="63">
        <v>4</v>
      </c>
      <c r="D7" s="63">
        <v>3</v>
      </c>
      <c r="E7" s="63">
        <v>0</v>
      </c>
      <c r="G7" s="63" t="s">
        <v>10</v>
      </c>
      <c r="H7" s="63">
        <v>5</v>
      </c>
      <c r="I7" s="63">
        <v>0</v>
      </c>
      <c r="J7" s="63">
        <v>3</v>
      </c>
      <c r="K7" s="63">
        <v>1</v>
      </c>
      <c r="L7" s="63">
        <v>0</v>
      </c>
      <c r="M7" s="63">
        <v>2</v>
      </c>
      <c r="N7" s="63">
        <v>0</v>
      </c>
      <c r="P7" s="63" t="s">
        <v>10</v>
      </c>
      <c r="Q7" s="63">
        <v>0</v>
      </c>
      <c r="R7" s="63">
        <v>0</v>
      </c>
      <c r="S7" s="63">
        <v>0</v>
      </c>
      <c r="T7" s="63">
        <v>11</v>
      </c>
      <c r="V7" s="63" t="s">
        <v>10</v>
      </c>
      <c r="W7" s="63">
        <v>5</v>
      </c>
      <c r="X7" s="63">
        <v>34</v>
      </c>
      <c r="Y7" s="63">
        <v>0</v>
      </c>
      <c r="Z7" s="60"/>
    </row>
    <row r="8" spans="1:26" x14ac:dyDescent="0.25">
      <c r="A8" s="60" t="s">
        <v>13</v>
      </c>
      <c r="B8" s="63">
        <v>8</v>
      </c>
      <c r="C8" s="63">
        <v>10</v>
      </c>
      <c r="D8" s="63">
        <v>7</v>
      </c>
      <c r="E8" s="63">
        <v>10</v>
      </c>
      <c r="G8" s="60" t="s">
        <v>13</v>
      </c>
      <c r="H8" s="63">
        <v>1</v>
      </c>
      <c r="I8" s="63">
        <v>0</v>
      </c>
      <c r="J8" s="63">
        <v>0</v>
      </c>
      <c r="K8" s="63">
        <v>1</v>
      </c>
      <c r="L8" s="63">
        <v>0</v>
      </c>
      <c r="M8" s="63">
        <v>32</v>
      </c>
      <c r="N8" s="63">
        <v>1</v>
      </c>
      <c r="P8" s="60" t="s">
        <v>13</v>
      </c>
      <c r="Q8" s="63">
        <v>1</v>
      </c>
      <c r="R8" s="63">
        <v>1</v>
      </c>
      <c r="S8" s="63">
        <v>1</v>
      </c>
      <c r="T8" s="63">
        <v>34</v>
      </c>
      <c r="V8" s="60" t="s">
        <v>13</v>
      </c>
      <c r="W8" s="63">
        <v>1</v>
      </c>
      <c r="X8" s="63">
        <v>17</v>
      </c>
      <c r="Y8" s="63">
        <v>1</v>
      </c>
      <c r="Z8" s="60">
        <v>0</v>
      </c>
    </row>
    <row r="9" spans="1:26" x14ac:dyDescent="0.25">
      <c r="A9" s="63" t="s">
        <v>26</v>
      </c>
      <c r="B9" s="63">
        <v>0</v>
      </c>
      <c r="C9" s="63">
        <v>0</v>
      </c>
      <c r="D9" s="63">
        <v>0</v>
      </c>
      <c r="E9" s="63">
        <v>0</v>
      </c>
      <c r="G9" s="63" t="s">
        <v>26</v>
      </c>
      <c r="H9" s="63">
        <v>0</v>
      </c>
      <c r="I9" s="63">
        <v>0</v>
      </c>
      <c r="J9" s="63">
        <v>0</v>
      </c>
      <c r="K9" s="63">
        <v>0</v>
      </c>
      <c r="L9" s="63">
        <v>0</v>
      </c>
      <c r="M9" s="63">
        <v>0</v>
      </c>
      <c r="N9" s="63">
        <v>0</v>
      </c>
      <c r="P9" s="63" t="s">
        <v>26</v>
      </c>
      <c r="Q9" s="63">
        <v>0</v>
      </c>
      <c r="R9" s="63">
        <v>0</v>
      </c>
      <c r="S9" s="63">
        <v>0</v>
      </c>
      <c r="T9" s="63">
        <v>0</v>
      </c>
      <c r="V9" s="63" t="s">
        <v>26</v>
      </c>
      <c r="W9" s="63">
        <v>0</v>
      </c>
      <c r="X9" s="63"/>
      <c r="Y9" s="63">
        <v>0</v>
      </c>
      <c r="Z9" s="60"/>
    </row>
    <row r="10" spans="1:26" x14ac:dyDescent="0.25">
      <c r="A10" s="63" t="s">
        <v>32</v>
      </c>
      <c r="B10" s="63">
        <v>0</v>
      </c>
      <c r="C10" s="63">
        <v>0</v>
      </c>
      <c r="D10" s="63">
        <v>0</v>
      </c>
      <c r="E10" s="63">
        <v>0</v>
      </c>
      <c r="G10" s="63" t="s">
        <v>32</v>
      </c>
      <c r="H10" s="63">
        <v>0</v>
      </c>
      <c r="I10" s="63">
        <v>0</v>
      </c>
      <c r="J10" s="63">
        <v>0</v>
      </c>
      <c r="K10" s="63">
        <v>0</v>
      </c>
      <c r="L10" s="63">
        <v>0</v>
      </c>
      <c r="M10" s="63">
        <v>0</v>
      </c>
      <c r="N10" s="63">
        <v>0</v>
      </c>
      <c r="P10" s="63" t="s">
        <v>32</v>
      </c>
      <c r="Q10" s="63">
        <v>0</v>
      </c>
      <c r="R10" s="63">
        <v>0</v>
      </c>
      <c r="S10" s="63">
        <v>0</v>
      </c>
      <c r="T10" s="63">
        <v>0</v>
      </c>
      <c r="V10" s="63" t="s">
        <v>32</v>
      </c>
      <c r="W10" s="63">
        <v>0</v>
      </c>
      <c r="X10" s="63"/>
      <c r="Y10" s="63">
        <v>0</v>
      </c>
      <c r="Z10" s="60"/>
    </row>
    <row r="11" spans="1:26" x14ac:dyDescent="0.25">
      <c r="A11" s="63" t="s">
        <v>15</v>
      </c>
      <c r="B11" s="63">
        <v>0</v>
      </c>
      <c r="C11" s="63">
        <v>0</v>
      </c>
      <c r="D11" s="63">
        <v>0</v>
      </c>
      <c r="E11" s="63">
        <v>0</v>
      </c>
      <c r="G11" s="63" t="s">
        <v>15</v>
      </c>
      <c r="H11" s="63">
        <v>0</v>
      </c>
      <c r="I11" s="63">
        <v>0</v>
      </c>
      <c r="J11" s="63">
        <v>0</v>
      </c>
      <c r="K11" s="63">
        <v>0</v>
      </c>
      <c r="L11" s="63">
        <v>0</v>
      </c>
      <c r="M11" s="63">
        <v>0</v>
      </c>
      <c r="N11" s="63">
        <v>0</v>
      </c>
      <c r="P11" s="63" t="s">
        <v>15</v>
      </c>
      <c r="Q11" s="63">
        <v>0</v>
      </c>
      <c r="R11" s="63">
        <v>0</v>
      </c>
      <c r="S11" s="63">
        <v>0</v>
      </c>
      <c r="T11" s="63">
        <v>0</v>
      </c>
      <c r="V11" s="63" t="s">
        <v>15</v>
      </c>
      <c r="W11" s="63">
        <v>0</v>
      </c>
      <c r="X11" s="63"/>
      <c r="Y11" s="63">
        <v>0</v>
      </c>
      <c r="Z11" s="60"/>
    </row>
    <row r="12" spans="1:26" x14ac:dyDescent="0.25">
      <c r="A12" s="63" t="s">
        <v>34</v>
      </c>
      <c r="B12" s="63">
        <v>0</v>
      </c>
      <c r="C12" s="63">
        <v>0</v>
      </c>
      <c r="D12" s="63">
        <v>0</v>
      </c>
      <c r="E12" s="63">
        <v>0</v>
      </c>
      <c r="G12" s="63" t="s">
        <v>34</v>
      </c>
      <c r="H12" s="63">
        <v>0</v>
      </c>
      <c r="I12" s="63">
        <v>0</v>
      </c>
      <c r="J12" s="63">
        <v>0</v>
      </c>
      <c r="K12" s="63">
        <v>0</v>
      </c>
      <c r="L12" s="63">
        <v>0</v>
      </c>
      <c r="M12" s="63">
        <v>0</v>
      </c>
      <c r="N12" s="63">
        <v>0</v>
      </c>
      <c r="P12" s="63" t="s">
        <v>34</v>
      </c>
      <c r="Q12" s="63">
        <v>0</v>
      </c>
      <c r="R12" s="63">
        <v>0</v>
      </c>
      <c r="S12" s="63">
        <v>0</v>
      </c>
      <c r="T12" s="63">
        <v>0</v>
      </c>
      <c r="V12" s="63" t="s">
        <v>34</v>
      </c>
      <c r="W12" s="63">
        <v>0</v>
      </c>
      <c r="X12" s="63"/>
      <c r="Y12" s="63">
        <v>0</v>
      </c>
      <c r="Z12" s="60"/>
    </row>
    <row r="13" spans="1:26" x14ac:dyDescent="0.25">
      <c r="A13" s="63" t="s">
        <v>17</v>
      </c>
      <c r="B13" s="63">
        <v>3</v>
      </c>
      <c r="C13" s="63">
        <v>2</v>
      </c>
      <c r="D13" s="63">
        <v>3</v>
      </c>
      <c r="E13" s="63">
        <v>0</v>
      </c>
      <c r="G13" s="63" t="s">
        <v>17</v>
      </c>
      <c r="H13" s="63">
        <v>2</v>
      </c>
      <c r="I13" s="63">
        <v>0</v>
      </c>
      <c r="J13" s="63">
        <v>3</v>
      </c>
      <c r="K13" s="63">
        <v>1</v>
      </c>
      <c r="L13" s="63">
        <v>2</v>
      </c>
      <c r="M13" s="63">
        <v>0</v>
      </c>
      <c r="N13" s="63">
        <v>0</v>
      </c>
      <c r="P13" s="63" t="s">
        <v>17</v>
      </c>
      <c r="Q13" s="63">
        <v>0</v>
      </c>
      <c r="R13" s="63">
        <v>0</v>
      </c>
      <c r="S13" s="63">
        <v>0</v>
      </c>
      <c r="T13" s="63">
        <v>8</v>
      </c>
      <c r="V13" s="63" t="s">
        <v>17</v>
      </c>
      <c r="W13" s="63">
        <v>2</v>
      </c>
      <c r="X13" s="63">
        <v>20</v>
      </c>
      <c r="Y13" s="63">
        <v>0</v>
      </c>
      <c r="Z13" s="60"/>
    </row>
    <row r="14" spans="1:26" x14ac:dyDescent="0.25">
      <c r="A14" s="63" t="s">
        <v>20</v>
      </c>
      <c r="B14" s="63">
        <v>44</v>
      </c>
      <c r="C14" s="63">
        <v>115</v>
      </c>
      <c r="D14" s="63">
        <v>36</v>
      </c>
      <c r="E14" s="63">
        <v>23</v>
      </c>
      <c r="G14" s="63" t="s">
        <v>20</v>
      </c>
      <c r="H14" s="63">
        <v>1</v>
      </c>
      <c r="I14" s="63">
        <v>0</v>
      </c>
      <c r="J14" s="63">
        <v>1</v>
      </c>
      <c r="K14" s="63">
        <v>3</v>
      </c>
      <c r="L14" s="63">
        <v>4</v>
      </c>
      <c r="M14" s="63">
        <v>208</v>
      </c>
      <c r="N14" s="63">
        <v>1</v>
      </c>
      <c r="P14" s="63" t="s">
        <v>20</v>
      </c>
      <c r="Q14" s="63">
        <v>0</v>
      </c>
      <c r="R14" s="63">
        <v>0</v>
      </c>
      <c r="S14" s="63">
        <v>1</v>
      </c>
      <c r="T14" s="63">
        <v>217</v>
      </c>
      <c r="V14" s="63" t="s">
        <v>20</v>
      </c>
      <c r="W14" s="63">
        <v>1</v>
      </c>
      <c r="X14" s="63">
        <v>25</v>
      </c>
      <c r="Y14" s="63">
        <v>1</v>
      </c>
      <c r="Z14" s="60">
        <v>6</v>
      </c>
    </row>
  </sheetData>
  <mergeCells count="9">
    <mergeCell ref="W1:Z1"/>
    <mergeCell ref="W2:X2"/>
    <mergeCell ref="Y2:Z2"/>
    <mergeCell ref="B2:E2"/>
    <mergeCell ref="A1:E1"/>
    <mergeCell ref="H2:N2"/>
    <mergeCell ref="G1:N1"/>
    <mergeCell ref="Q2:T2"/>
    <mergeCell ref="P1:T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in">
                <anchor moveWithCells="1" sizeWithCells="1">
                  <from>
                    <xdr:col>0</xdr:col>
                    <xdr:colOff>476250</xdr:colOff>
                    <xdr:row>17</xdr:row>
                    <xdr:rowOff>28575</xdr:rowOff>
                  </from>
                  <to>
                    <xdr:col>2</xdr:col>
                    <xdr:colOff>504825</xdr:colOff>
                    <xdr:row>19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W381"/>
  <sheetViews>
    <sheetView tabSelected="1" workbookViewId="0">
      <selection activeCell="M2" sqref="M2"/>
    </sheetView>
  </sheetViews>
  <sheetFormatPr defaultRowHeight="12.75" x14ac:dyDescent="0.2"/>
  <cols>
    <col min="1" max="1" width="9.140625" style="13" customWidth="1"/>
    <col min="2" max="2" width="21.85546875" style="46" customWidth="1"/>
    <col min="3" max="3" width="20.28515625" style="13" customWidth="1"/>
    <col min="4" max="4" width="12.42578125" style="13" customWidth="1"/>
    <col min="5" max="5" width="23" style="13" bestFit="1" customWidth="1"/>
    <col min="6" max="6" width="11.85546875" style="13" customWidth="1"/>
    <col min="7" max="7" width="13.28515625" style="13" customWidth="1"/>
    <col min="8" max="8" width="14.140625" style="13" customWidth="1"/>
    <col min="9" max="9" width="12.7109375" style="13" customWidth="1"/>
    <col min="10" max="10" width="11.140625" style="13" customWidth="1"/>
    <col min="11" max="11" width="9.140625" style="13" customWidth="1"/>
    <col min="12" max="12" width="9.140625" style="13"/>
    <col min="13" max="13" width="11.42578125" style="13" customWidth="1"/>
    <col min="14" max="14" width="10" style="46" customWidth="1"/>
    <col min="15" max="15" width="10.28515625" style="13" customWidth="1"/>
    <col min="16" max="17" width="17.85546875" style="13" customWidth="1"/>
    <col min="18" max="18" width="18" style="13" customWidth="1"/>
    <col min="19" max="19" width="19.42578125" style="13" customWidth="1"/>
    <col min="20" max="20" width="16.5703125" style="13" customWidth="1"/>
    <col min="21" max="21" width="14.28515625" style="13" customWidth="1"/>
    <col min="22" max="22" width="14" style="13" customWidth="1"/>
    <col min="23" max="23" width="10.42578125" style="13" customWidth="1"/>
    <col min="24" max="24" width="9.140625" style="13" customWidth="1"/>
    <col min="25" max="25" width="10.5703125" style="13" customWidth="1"/>
    <col min="26" max="26" width="9.140625" style="13" customWidth="1"/>
    <col min="27" max="27" width="16.42578125" style="13" customWidth="1"/>
    <col min="28" max="28" width="18.5703125" style="13" customWidth="1"/>
    <col min="29" max="29" width="12" style="13" customWidth="1"/>
    <col min="30" max="30" width="11.85546875" style="13" customWidth="1"/>
    <col min="31" max="31" width="10.5703125" style="13" customWidth="1"/>
    <col min="32" max="33" width="13.28515625" style="13" customWidth="1"/>
    <col min="34" max="34" width="13.85546875" style="13" customWidth="1"/>
    <col min="35" max="35" width="14" style="13" customWidth="1"/>
    <col min="36" max="36" width="9.85546875" style="13" customWidth="1"/>
    <col min="37" max="37" width="11.140625" style="13" customWidth="1"/>
    <col min="38" max="38" width="13.28515625" style="13" customWidth="1"/>
    <col min="39" max="39" width="19.85546875" style="13" customWidth="1"/>
    <col min="40" max="40" width="17.7109375" style="13" customWidth="1"/>
    <col min="41" max="41" width="9.140625" style="13"/>
    <col min="42" max="42" width="11.85546875" style="13" customWidth="1"/>
    <col min="43" max="43" width="9.42578125" style="13" customWidth="1"/>
    <col min="44" max="44" width="13.140625" style="13" customWidth="1"/>
    <col min="45" max="45" width="13.85546875" style="13" customWidth="1"/>
    <col min="46" max="46" width="13.42578125" style="13" customWidth="1"/>
    <col min="47" max="47" width="18.85546875" style="13" bestFit="1" customWidth="1"/>
    <col min="48" max="48" width="12.42578125" style="13" customWidth="1"/>
    <col min="49" max="49" width="9.140625" style="13"/>
    <col min="50" max="50" width="10.85546875" style="13" bestFit="1" customWidth="1"/>
    <col min="51" max="16384" width="9.140625" style="13"/>
  </cols>
  <sheetData>
    <row r="1" spans="1:49" s="58" customFormat="1" ht="25.5" x14ac:dyDescent="0.2">
      <c r="A1" s="54" t="s">
        <v>42</v>
      </c>
      <c r="B1" s="55" t="s">
        <v>43</v>
      </c>
      <c r="C1" s="55" t="s">
        <v>44</v>
      </c>
      <c r="D1" s="56" t="s">
        <v>45</v>
      </c>
      <c r="E1" s="56" t="s">
        <v>46</v>
      </c>
      <c r="F1" s="55" t="s">
        <v>47</v>
      </c>
      <c r="G1" s="55" t="s">
        <v>48</v>
      </c>
      <c r="H1" s="55" t="s">
        <v>49</v>
      </c>
      <c r="I1" s="55" t="s">
        <v>50</v>
      </c>
      <c r="J1" s="55" t="s">
        <v>51</v>
      </c>
      <c r="K1" s="55" t="s">
        <v>52</v>
      </c>
      <c r="L1" s="55" t="s">
        <v>53</v>
      </c>
      <c r="M1" s="55" t="s">
        <v>54</v>
      </c>
      <c r="N1" s="55" t="s">
        <v>55</v>
      </c>
      <c r="O1" s="55" t="s">
        <v>56</v>
      </c>
      <c r="P1" s="55" t="s">
        <v>57</v>
      </c>
      <c r="Q1" s="55" t="s">
        <v>58</v>
      </c>
      <c r="R1" s="55" t="s">
        <v>59</v>
      </c>
      <c r="S1" s="55" t="s">
        <v>60</v>
      </c>
      <c r="T1" s="55" t="s">
        <v>2018</v>
      </c>
      <c r="U1" s="55" t="s">
        <v>61</v>
      </c>
      <c r="V1" s="55" t="s">
        <v>62</v>
      </c>
      <c r="W1" s="55" t="s">
        <v>63</v>
      </c>
      <c r="X1" s="55" t="s">
        <v>64</v>
      </c>
      <c r="Y1" s="55" t="s">
        <v>65</v>
      </c>
      <c r="Z1" s="55" t="s">
        <v>66</v>
      </c>
      <c r="AA1" s="55" t="s">
        <v>67</v>
      </c>
      <c r="AB1" s="55" t="s">
        <v>68</v>
      </c>
      <c r="AC1" s="55" t="s">
        <v>69</v>
      </c>
      <c r="AD1" s="55" t="s">
        <v>70</v>
      </c>
      <c r="AE1" s="55" t="s">
        <v>71</v>
      </c>
      <c r="AF1" s="55" t="s">
        <v>72</v>
      </c>
      <c r="AG1" s="55" t="s">
        <v>73</v>
      </c>
      <c r="AH1" s="55" t="s">
        <v>74</v>
      </c>
      <c r="AI1" s="55" t="s">
        <v>75</v>
      </c>
      <c r="AJ1" s="55" t="s">
        <v>76</v>
      </c>
      <c r="AK1" s="55" t="s">
        <v>77</v>
      </c>
      <c r="AL1" s="55" t="s">
        <v>78</v>
      </c>
      <c r="AM1" s="55" t="s">
        <v>79</v>
      </c>
      <c r="AN1" s="55" t="s">
        <v>80</v>
      </c>
      <c r="AO1" s="55" t="s">
        <v>81</v>
      </c>
      <c r="AP1" s="55" t="s">
        <v>82</v>
      </c>
      <c r="AQ1" s="55" t="s">
        <v>83</v>
      </c>
      <c r="AR1" s="56" t="s">
        <v>84</v>
      </c>
      <c r="AS1" s="56" t="s">
        <v>2019</v>
      </c>
      <c r="AT1" s="56" t="s">
        <v>2020</v>
      </c>
      <c r="AU1" s="56" t="s">
        <v>85</v>
      </c>
      <c r="AV1" s="57" t="s">
        <v>2022</v>
      </c>
      <c r="AW1" s="57" t="s">
        <v>2021</v>
      </c>
    </row>
    <row r="2" spans="1:49" s="16" customFormat="1" ht="409.5" x14ac:dyDescent="0.2">
      <c r="A2" s="48" t="s">
        <v>86</v>
      </c>
      <c r="B2" s="29" t="s">
        <v>2001</v>
      </c>
      <c r="C2" s="27" t="s">
        <v>2002</v>
      </c>
      <c r="D2" s="53" t="s">
        <v>89</v>
      </c>
      <c r="E2" s="53" t="s">
        <v>214</v>
      </c>
      <c r="F2" s="72"/>
      <c r="G2" s="72" t="s">
        <v>518</v>
      </c>
      <c r="H2" s="72"/>
      <c r="I2" s="72"/>
      <c r="J2" s="14" t="s">
        <v>91</v>
      </c>
      <c r="K2" s="14" t="s">
        <v>59</v>
      </c>
      <c r="L2" s="14" t="s">
        <v>103</v>
      </c>
      <c r="M2" s="14" t="s">
        <v>132</v>
      </c>
      <c r="N2" s="18" t="s">
        <v>21</v>
      </c>
      <c r="O2" s="14" t="s">
        <v>6</v>
      </c>
      <c r="P2" s="19">
        <v>42741.688194444447</v>
      </c>
      <c r="Q2" s="19">
        <v>42771.506249999999</v>
      </c>
      <c r="R2" s="19">
        <v>42759.604861111111</v>
      </c>
      <c r="S2" s="14" t="s">
        <v>1982</v>
      </c>
      <c r="T2" s="14" t="s">
        <v>518</v>
      </c>
      <c r="U2" s="14" t="s">
        <v>96</v>
      </c>
      <c r="V2" s="14"/>
      <c r="W2" s="14">
        <v>0</v>
      </c>
      <c r="X2" s="14">
        <v>0</v>
      </c>
      <c r="Y2" s="14"/>
      <c r="Z2" s="14"/>
      <c r="AA2" s="14"/>
      <c r="AB2" s="14"/>
      <c r="AC2" s="14"/>
      <c r="AD2" s="14"/>
      <c r="AE2" s="14"/>
      <c r="AF2" s="14" t="s">
        <v>1987</v>
      </c>
      <c r="AG2" s="14" t="s">
        <v>2003</v>
      </c>
      <c r="AH2" s="14"/>
      <c r="AI2" s="14"/>
      <c r="AJ2" s="14"/>
      <c r="AK2" s="14"/>
      <c r="AL2" s="14"/>
      <c r="AM2" s="14"/>
      <c r="AN2" s="14" t="s">
        <v>1105</v>
      </c>
      <c r="AO2" s="14" t="s">
        <v>2004</v>
      </c>
      <c r="AP2" s="14" t="s">
        <v>146</v>
      </c>
      <c r="AQ2" s="14"/>
      <c r="AR2" s="53"/>
      <c r="AS2" s="53" t="s">
        <v>89</v>
      </c>
      <c r="AT2" s="53" t="s">
        <v>2005</v>
      </c>
      <c r="AU2" s="51" t="str">
        <f>VLOOKUP(O2,[1]Lookup!A:B,2,FALSE)</f>
        <v>BTS-Dev</v>
      </c>
      <c r="AV2" s="82" t="str">
        <f>VLOOKUP(test1[[#This Row],[Assignee]],lookup[#All],2,FALSE)</f>
        <v>Test-SIT</v>
      </c>
      <c r="AW2" s="82">
        <f ca="1">IF(test1[[#This Row],[Status]]&lt;&gt;"Closed", TODAY()-INT(test1[[#This Row],[Created]]),INT(test1[[#This Row],[Resolved]])-INT(test1[[#This Row],[Created]]))</f>
        <v>87</v>
      </c>
    </row>
    <row r="3" spans="1:49" s="16" customFormat="1" ht="409.5" x14ac:dyDescent="0.2">
      <c r="A3" s="48" t="s">
        <v>86</v>
      </c>
      <c r="B3" s="29" t="s">
        <v>1995</v>
      </c>
      <c r="C3" s="27" t="s">
        <v>1996</v>
      </c>
      <c r="D3" s="53" t="s">
        <v>89</v>
      </c>
      <c r="E3" s="53" t="s">
        <v>193</v>
      </c>
      <c r="F3" s="74" t="s">
        <v>1997</v>
      </c>
      <c r="G3" s="74" t="s">
        <v>466</v>
      </c>
      <c r="H3" s="74"/>
      <c r="I3" s="74" t="s">
        <v>527</v>
      </c>
      <c r="J3" s="14" t="s">
        <v>91</v>
      </c>
      <c r="K3" s="14" t="s">
        <v>110</v>
      </c>
      <c r="L3" s="14" t="s">
        <v>103</v>
      </c>
      <c r="M3" s="17" t="s">
        <v>94</v>
      </c>
      <c r="N3" s="18" t="s">
        <v>28</v>
      </c>
      <c r="O3" s="14" t="s">
        <v>21</v>
      </c>
      <c r="P3" s="19">
        <v>42744.581250000003</v>
      </c>
      <c r="Q3" s="19">
        <v>42809.470833333333</v>
      </c>
      <c r="R3" s="14"/>
      <c r="S3" s="14" t="s">
        <v>518</v>
      </c>
      <c r="T3" s="14" t="s">
        <v>466</v>
      </c>
      <c r="U3" s="14" t="s">
        <v>89</v>
      </c>
      <c r="V3" s="28">
        <v>42801</v>
      </c>
      <c r="W3" s="14">
        <v>0</v>
      </c>
      <c r="X3" s="14">
        <v>0</v>
      </c>
      <c r="Y3" s="20" t="s">
        <v>1998</v>
      </c>
      <c r="Z3" s="14"/>
      <c r="AA3" s="14"/>
      <c r="AB3" s="14"/>
      <c r="AC3" s="14"/>
      <c r="AD3" s="14"/>
      <c r="AE3" s="14"/>
      <c r="AF3" s="14" t="s">
        <v>193</v>
      </c>
      <c r="AG3" s="14" t="s">
        <v>1999</v>
      </c>
      <c r="AH3" s="14"/>
      <c r="AI3" s="14"/>
      <c r="AJ3" s="14"/>
      <c r="AK3" s="14"/>
      <c r="AL3" s="14"/>
      <c r="AM3" s="14"/>
      <c r="AN3" s="14" t="s">
        <v>193</v>
      </c>
      <c r="AO3" s="14"/>
      <c r="AP3" s="14"/>
      <c r="AQ3" s="14" t="s">
        <v>2000</v>
      </c>
      <c r="AR3" s="53"/>
      <c r="AS3" s="53" t="s">
        <v>89</v>
      </c>
      <c r="AT3" s="53" t="s">
        <v>193</v>
      </c>
      <c r="AU3" s="51" t="str">
        <f>VLOOKUP(O3,[1]Lookup!A:B,2,FALSE)</f>
        <v>Test-SIT</v>
      </c>
      <c r="AV3" s="25" t="str">
        <f>VLOOKUP(test1[[#This Row],[Assignee]],lookup[#All],2,FALSE)</f>
        <v>TD-Dev</v>
      </c>
      <c r="AW3" s="25">
        <f ca="1">IF(test1[[#This Row],[Status]]&lt;&gt;"Closed", TODAY()-INT(test1[[#This Row],[Created]]),INT(test1[[#This Row],[Resolved]])-INT(test1[[#This Row],[Created]]))</f>
        <v>84</v>
      </c>
    </row>
    <row r="4" spans="1:49" s="16" customFormat="1" ht="409.5" x14ac:dyDescent="0.2">
      <c r="A4" s="48" t="s">
        <v>86</v>
      </c>
      <c r="B4" s="29" t="s">
        <v>1990</v>
      </c>
      <c r="C4" s="27" t="s">
        <v>1991</v>
      </c>
      <c r="D4" s="53" t="s">
        <v>89</v>
      </c>
      <c r="E4" s="53" t="s">
        <v>507</v>
      </c>
      <c r="F4" s="72"/>
      <c r="G4" s="72" t="s">
        <v>139</v>
      </c>
      <c r="H4" s="72"/>
      <c r="I4" s="72"/>
      <c r="J4" s="14" t="s">
        <v>91</v>
      </c>
      <c r="K4" s="14" t="s">
        <v>59</v>
      </c>
      <c r="L4" s="14" t="s">
        <v>93</v>
      </c>
      <c r="M4" s="14" t="s">
        <v>132</v>
      </c>
      <c r="N4" s="18" t="s">
        <v>22</v>
      </c>
      <c r="O4" s="14" t="s">
        <v>6</v>
      </c>
      <c r="P4" s="19">
        <v>42746.463888888888</v>
      </c>
      <c r="Q4" s="19">
        <v>42771.679861111108</v>
      </c>
      <c r="R4" s="19">
        <v>42771.679861111108</v>
      </c>
      <c r="S4" s="14" t="s">
        <v>1982</v>
      </c>
      <c r="T4" s="14" t="s">
        <v>139</v>
      </c>
      <c r="U4" s="14" t="s">
        <v>412</v>
      </c>
      <c r="V4" s="14"/>
      <c r="W4" s="14">
        <v>0</v>
      </c>
      <c r="X4" s="14">
        <v>0</v>
      </c>
      <c r="Y4" s="14"/>
      <c r="Z4" s="14"/>
      <c r="AA4" s="14"/>
      <c r="AB4" s="14"/>
      <c r="AC4" s="14"/>
      <c r="AD4" s="14"/>
      <c r="AE4" s="14"/>
      <c r="AF4" s="14"/>
      <c r="AG4" s="14" t="s">
        <v>1992</v>
      </c>
      <c r="AH4" s="14"/>
      <c r="AI4" s="14"/>
      <c r="AJ4" s="14"/>
      <c r="AK4" s="14"/>
      <c r="AL4" s="14"/>
      <c r="AM4" s="14"/>
      <c r="AN4" s="14" t="s">
        <v>1993</v>
      </c>
      <c r="AO4" s="14" t="s">
        <v>1994</v>
      </c>
      <c r="AP4" s="14" t="s">
        <v>146</v>
      </c>
      <c r="AQ4" s="14"/>
      <c r="AR4" s="53"/>
      <c r="AS4" s="53" t="s">
        <v>89</v>
      </c>
      <c r="AT4" s="53" t="s">
        <v>513</v>
      </c>
      <c r="AU4" s="51" t="str">
        <f>VLOOKUP(O4,[1]Lookup!A:B,2,FALSE)</f>
        <v>BTS-Dev</v>
      </c>
      <c r="AV4" s="25" t="str">
        <f>VLOOKUP(test1[[#This Row],[Assignee]],lookup[#All],2,FALSE)</f>
        <v>Test-SIT</v>
      </c>
      <c r="AW4" s="25">
        <f ca="1">IF(test1[[#This Row],[Status]]&lt;&gt;"Closed", TODAY()-INT(test1[[#This Row],[Created]]),INT(test1[[#This Row],[Resolved]])-INT(test1[[#This Row],[Created]]))</f>
        <v>82</v>
      </c>
    </row>
    <row r="5" spans="1:49" s="16" customFormat="1" ht="409.5" x14ac:dyDescent="0.2">
      <c r="A5" s="48" t="s">
        <v>86</v>
      </c>
      <c r="B5" s="29" t="s">
        <v>1985</v>
      </c>
      <c r="C5" s="27" t="s">
        <v>1986</v>
      </c>
      <c r="D5" s="53" t="s">
        <v>241</v>
      </c>
      <c r="E5" s="53" t="s">
        <v>435</v>
      </c>
      <c r="F5" s="72"/>
      <c r="G5" s="72" t="s">
        <v>139</v>
      </c>
      <c r="H5" s="72"/>
      <c r="I5" s="72"/>
      <c r="J5" s="14" t="s">
        <v>91</v>
      </c>
      <c r="K5" s="14" t="s">
        <v>59</v>
      </c>
      <c r="L5" s="14" t="s">
        <v>103</v>
      </c>
      <c r="M5" s="14" t="s">
        <v>132</v>
      </c>
      <c r="N5" s="18" t="s">
        <v>21</v>
      </c>
      <c r="O5" s="14" t="s">
        <v>6</v>
      </c>
      <c r="P5" s="19">
        <v>42746.475694444445</v>
      </c>
      <c r="Q5" s="19">
        <v>42796.588194444441</v>
      </c>
      <c r="R5" s="19">
        <v>42770.76666666667</v>
      </c>
      <c r="S5" s="14" t="s">
        <v>1982</v>
      </c>
      <c r="T5" s="14" t="s">
        <v>139</v>
      </c>
      <c r="U5" s="14" t="s">
        <v>241</v>
      </c>
      <c r="V5" s="14"/>
      <c r="W5" s="14">
        <v>0</v>
      </c>
      <c r="X5" s="14">
        <v>0</v>
      </c>
      <c r="Y5" s="14"/>
      <c r="Z5" s="14"/>
      <c r="AA5" s="14"/>
      <c r="AB5" s="14"/>
      <c r="AC5" s="14"/>
      <c r="AD5" s="14"/>
      <c r="AE5" s="14"/>
      <c r="AF5" s="14" t="s">
        <v>1987</v>
      </c>
      <c r="AG5" s="14" t="s">
        <v>1988</v>
      </c>
      <c r="AH5" s="14"/>
      <c r="AI5" s="14"/>
      <c r="AJ5" s="14"/>
      <c r="AK5" s="14"/>
      <c r="AL5" s="14"/>
      <c r="AM5" s="14"/>
      <c r="AN5" s="14" t="s">
        <v>435</v>
      </c>
      <c r="AO5" s="14" t="s">
        <v>1989</v>
      </c>
      <c r="AP5" s="14"/>
      <c r="AQ5" s="14"/>
      <c r="AR5" s="53"/>
      <c r="AS5" s="53" t="s">
        <v>241</v>
      </c>
      <c r="AT5" s="53" t="s">
        <v>435</v>
      </c>
      <c r="AU5" s="51" t="str">
        <f>VLOOKUP(O5,[1]Lookup!A:B,2,FALSE)</f>
        <v>BTS-Dev</v>
      </c>
      <c r="AV5" s="25" t="str">
        <f>VLOOKUP(test1[[#This Row],[Assignee]],lookup[#All],2,FALSE)</f>
        <v>Test-SIT</v>
      </c>
      <c r="AW5" s="25">
        <f ca="1">IF(test1[[#This Row],[Status]]&lt;&gt;"Closed", TODAY()-INT(test1[[#This Row],[Created]]),INT(test1[[#This Row],[Resolved]])-INT(test1[[#This Row],[Created]]))</f>
        <v>82</v>
      </c>
    </row>
    <row r="6" spans="1:49" ht="327.75" x14ac:dyDescent="0.2">
      <c r="A6" s="48" t="s">
        <v>86</v>
      </c>
      <c r="B6" s="29" t="s">
        <v>1980</v>
      </c>
      <c r="C6" s="27" t="s">
        <v>1981</v>
      </c>
      <c r="D6" s="53" t="s">
        <v>241</v>
      </c>
      <c r="E6" s="53" t="s">
        <v>435</v>
      </c>
      <c r="F6" s="72"/>
      <c r="G6" s="72"/>
      <c r="H6" s="72"/>
      <c r="I6" s="72"/>
      <c r="J6" s="14" t="s">
        <v>91</v>
      </c>
      <c r="K6" s="14" t="s">
        <v>59</v>
      </c>
      <c r="L6" s="14" t="s">
        <v>103</v>
      </c>
      <c r="M6" s="14" t="s">
        <v>132</v>
      </c>
      <c r="N6" s="18" t="s">
        <v>21</v>
      </c>
      <c r="O6" s="14" t="s">
        <v>6</v>
      </c>
      <c r="P6" s="19">
        <v>42746.477083333331</v>
      </c>
      <c r="Q6" s="19">
        <v>42796.588888888888</v>
      </c>
      <c r="R6" s="19">
        <v>42759.51458333333</v>
      </c>
      <c r="S6" s="14" t="s">
        <v>1982</v>
      </c>
      <c r="T6" s="14"/>
      <c r="U6" s="14" t="s">
        <v>241</v>
      </c>
      <c r="V6" s="28">
        <v>42761</v>
      </c>
      <c r="W6" s="14">
        <v>0</v>
      </c>
      <c r="X6" s="14">
        <v>0</v>
      </c>
      <c r="Y6" s="14"/>
      <c r="Z6" s="14"/>
      <c r="AA6" s="14"/>
      <c r="AB6" s="14"/>
      <c r="AC6" s="14"/>
      <c r="AD6" s="14"/>
      <c r="AE6" s="14"/>
      <c r="AF6" s="14" t="s">
        <v>1967</v>
      </c>
      <c r="AG6" s="14" t="s">
        <v>1983</v>
      </c>
      <c r="AH6" s="14"/>
      <c r="AI6" s="14"/>
      <c r="AJ6" s="14"/>
      <c r="AK6" s="14"/>
      <c r="AL6" s="14"/>
      <c r="AM6" s="14"/>
      <c r="AN6" s="14" t="s">
        <v>435</v>
      </c>
      <c r="AO6" s="14" t="s">
        <v>1984</v>
      </c>
      <c r="AP6" s="14"/>
      <c r="AQ6" s="14"/>
      <c r="AR6" s="69"/>
      <c r="AS6" s="69" t="s">
        <v>241</v>
      </c>
      <c r="AT6" s="69" t="s">
        <v>435</v>
      </c>
      <c r="AU6" s="81" t="str">
        <f>VLOOKUP(O6,[1]Lookup!A:B,2,FALSE)</f>
        <v>BTS-Dev</v>
      </c>
      <c r="AV6" s="25" t="str">
        <f>VLOOKUP(test1[[#This Row],[Assignee]],lookup[#All],2,FALSE)</f>
        <v>Test-SIT</v>
      </c>
      <c r="AW6" s="25">
        <f ca="1">IF(test1[[#This Row],[Status]]&lt;&gt;"Closed", TODAY()-INT(test1[[#This Row],[Created]]),INT(test1[[#This Row],[Resolved]])-INT(test1[[#This Row],[Created]]))</f>
        <v>82</v>
      </c>
    </row>
    <row r="7" spans="1:49" ht="409.5" x14ac:dyDescent="0.2">
      <c r="A7" s="48" t="s">
        <v>86</v>
      </c>
      <c r="B7" s="29" t="s">
        <v>1975</v>
      </c>
      <c r="C7" s="27" t="s">
        <v>1976</v>
      </c>
      <c r="D7" s="53" t="s">
        <v>96</v>
      </c>
      <c r="E7" s="53" t="s">
        <v>166</v>
      </c>
      <c r="F7" s="72"/>
      <c r="G7" s="72" t="s">
        <v>518</v>
      </c>
      <c r="H7" s="72"/>
      <c r="I7" s="72"/>
      <c r="J7" s="14" t="s">
        <v>91</v>
      </c>
      <c r="K7" s="14" t="s">
        <v>59</v>
      </c>
      <c r="L7" s="14" t="s">
        <v>93</v>
      </c>
      <c r="M7" s="14" t="s">
        <v>132</v>
      </c>
      <c r="N7" s="18" t="s">
        <v>21</v>
      </c>
      <c r="O7" s="14" t="s">
        <v>24</v>
      </c>
      <c r="P7" s="19">
        <v>42746.809027777781</v>
      </c>
      <c r="Q7" s="19">
        <v>42771.513194444444</v>
      </c>
      <c r="R7" s="19">
        <v>42758.706250000003</v>
      </c>
      <c r="S7" s="14" t="s">
        <v>518</v>
      </c>
      <c r="T7" s="14" t="s">
        <v>518</v>
      </c>
      <c r="U7" s="14" t="s">
        <v>412</v>
      </c>
      <c r="V7" s="28">
        <v>42747</v>
      </c>
      <c r="W7" s="14">
        <v>0</v>
      </c>
      <c r="X7" s="14">
        <v>0</v>
      </c>
      <c r="Y7" s="20" t="s">
        <v>1977</v>
      </c>
      <c r="Z7" s="14"/>
      <c r="AA7" s="14"/>
      <c r="AB7" s="14"/>
      <c r="AC7" s="14"/>
      <c r="AD7" s="14"/>
      <c r="AE7" s="14"/>
      <c r="AF7" s="14" t="s">
        <v>1967</v>
      </c>
      <c r="AG7" s="14" t="s">
        <v>1978</v>
      </c>
      <c r="AH7" s="14"/>
      <c r="AI7" s="14"/>
      <c r="AJ7" s="14"/>
      <c r="AK7" s="14"/>
      <c r="AL7" s="14"/>
      <c r="AM7" s="14"/>
      <c r="AN7" s="14" t="s">
        <v>1105</v>
      </c>
      <c r="AO7" s="14" t="s">
        <v>1979</v>
      </c>
      <c r="AP7" s="14"/>
      <c r="AQ7" s="14"/>
      <c r="AR7" s="69"/>
      <c r="AS7" s="69" t="s">
        <v>96</v>
      </c>
      <c r="AT7" s="69" t="s">
        <v>959</v>
      </c>
      <c r="AU7" s="81" t="str">
        <f>VLOOKUP(O7,[1]Lookup!A:B,2,FALSE)</f>
        <v>Test-SIT</v>
      </c>
      <c r="AV7" s="25" t="str">
        <f>VLOOKUP(test1[[#This Row],[Assignee]],lookup[#All],2,FALSE)</f>
        <v>Test-SIT</v>
      </c>
      <c r="AW7" s="25">
        <f ca="1">IF(test1[[#This Row],[Status]]&lt;&gt;"Closed", TODAY()-INT(test1[[#This Row],[Created]]),INT(test1[[#This Row],[Resolved]])-INT(test1[[#This Row],[Created]]))</f>
        <v>82</v>
      </c>
    </row>
    <row r="8" spans="1:49" ht="285" x14ac:dyDescent="0.2">
      <c r="A8" s="48" t="s">
        <v>86</v>
      </c>
      <c r="B8" s="29" t="s">
        <v>1970</v>
      </c>
      <c r="C8" s="27" t="s">
        <v>1971</v>
      </c>
      <c r="D8" s="53" t="s">
        <v>89</v>
      </c>
      <c r="E8" s="53" t="s">
        <v>507</v>
      </c>
      <c r="F8" s="72"/>
      <c r="G8" s="72" t="s">
        <v>518</v>
      </c>
      <c r="H8" s="72"/>
      <c r="I8" s="72"/>
      <c r="J8" s="14" t="s">
        <v>91</v>
      </c>
      <c r="K8" s="14" t="s">
        <v>59</v>
      </c>
      <c r="L8" s="14" t="s">
        <v>93</v>
      </c>
      <c r="M8" s="14" t="s">
        <v>132</v>
      </c>
      <c r="N8" s="18" t="s">
        <v>21</v>
      </c>
      <c r="O8" s="14" t="s">
        <v>24</v>
      </c>
      <c r="P8" s="19">
        <v>42747.626388888886</v>
      </c>
      <c r="Q8" s="19">
        <v>42771.513194444444</v>
      </c>
      <c r="R8" s="19">
        <v>42758.772222222222</v>
      </c>
      <c r="S8" s="14" t="s">
        <v>518</v>
      </c>
      <c r="T8" s="14" t="s">
        <v>518</v>
      </c>
      <c r="U8" s="14" t="s">
        <v>412</v>
      </c>
      <c r="V8" s="28">
        <v>42748</v>
      </c>
      <c r="W8" s="14">
        <v>0</v>
      </c>
      <c r="X8" s="14">
        <v>0</v>
      </c>
      <c r="Y8" s="14" t="s">
        <v>1972</v>
      </c>
      <c r="Z8" s="14"/>
      <c r="AA8" s="14"/>
      <c r="AB8" s="14"/>
      <c r="AC8" s="14"/>
      <c r="AD8" s="14"/>
      <c r="AE8" s="14"/>
      <c r="AF8" s="14" t="s">
        <v>1967</v>
      </c>
      <c r="AG8" s="14" t="s">
        <v>1973</v>
      </c>
      <c r="AH8" s="14"/>
      <c r="AI8" s="14"/>
      <c r="AJ8" s="14"/>
      <c r="AK8" s="14"/>
      <c r="AL8" s="14"/>
      <c r="AM8" s="14"/>
      <c r="AN8" s="14" t="s">
        <v>1105</v>
      </c>
      <c r="AO8" s="14" t="s">
        <v>1974</v>
      </c>
      <c r="AP8" s="14"/>
      <c r="AQ8" s="14"/>
      <c r="AR8" s="69"/>
      <c r="AS8" s="69" t="s">
        <v>89</v>
      </c>
      <c r="AT8" s="69" t="s">
        <v>513</v>
      </c>
      <c r="AU8" s="81" t="str">
        <f>VLOOKUP(O8,[1]Lookup!A:B,2,FALSE)</f>
        <v>Test-SIT</v>
      </c>
      <c r="AV8" s="25" t="str">
        <f>VLOOKUP(test1[[#This Row],[Assignee]],lookup[#All],2,FALSE)</f>
        <v>Test-SIT</v>
      </c>
      <c r="AW8" s="25">
        <f ca="1">IF(test1[[#This Row],[Status]]&lt;&gt;"Closed", TODAY()-INT(test1[[#This Row],[Created]]),INT(test1[[#This Row],[Resolved]])-INT(test1[[#This Row],[Created]]))</f>
        <v>81</v>
      </c>
    </row>
    <row r="9" spans="1:49" ht="384.75" x14ac:dyDescent="0.2">
      <c r="A9" s="48" t="s">
        <v>86</v>
      </c>
      <c r="B9" s="29" t="s">
        <v>1965</v>
      </c>
      <c r="C9" s="27" t="s">
        <v>1966</v>
      </c>
      <c r="D9" s="53" t="s">
        <v>89</v>
      </c>
      <c r="E9" s="53" t="s">
        <v>261</v>
      </c>
      <c r="F9" s="72"/>
      <c r="G9" s="72"/>
      <c r="H9" s="72"/>
      <c r="I9" s="72"/>
      <c r="J9" s="14" t="s">
        <v>91</v>
      </c>
      <c r="K9" s="14" t="s">
        <v>59</v>
      </c>
      <c r="L9" s="14" t="s">
        <v>167</v>
      </c>
      <c r="M9" s="14" t="s">
        <v>132</v>
      </c>
      <c r="N9" s="18" t="s">
        <v>21</v>
      </c>
      <c r="O9" s="14" t="s">
        <v>21</v>
      </c>
      <c r="P9" s="19">
        <v>42747.643055555556</v>
      </c>
      <c r="Q9" s="19">
        <v>42771.515277777777</v>
      </c>
      <c r="R9" s="19">
        <v>42759.506944444445</v>
      </c>
      <c r="S9" s="14" t="s">
        <v>518</v>
      </c>
      <c r="T9" s="14"/>
      <c r="U9" s="14" t="s">
        <v>89</v>
      </c>
      <c r="V9" s="28">
        <v>42751</v>
      </c>
      <c r="W9" s="14">
        <v>0</v>
      </c>
      <c r="X9" s="14">
        <v>0</v>
      </c>
      <c r="Y9" s="14"/>
      <c r="Z9" s="14"/>
      <c r="AA9" s="14"/>
      <c r="AB9" s="14"/>
      <c r="AC9" s="14"/>
      <c r="AD9" s="14"/>
      <c r="AE9" s="14"/>
      <c r="AF9" s="14" t="s">
        <v>1967</v>
      </c>
      <c r="AG9" s="14" t="s">
        <v>1968</v>
      </c>
      <c r="AH9" s="14"/>
      <c r="AI9" s="14"/>
      <c r="AJ9" s="14"/>
      <c r="AK9" s="14"/>
      <c r="AL9" s="14"/>
      <c r="AM9" s="14"/>
      <c r="AN9" s="14" t="s">
        <v>235</v>
      </c>
      <c r="AO9" s="14" t="s">
        <v>1969</v>
      </c>
      <c r="AP9" s="14"/>
      <c r="AQ9" s="14"/>
      <c r="AR9" s="69"/>
      <c r="AS9" s="69" t="s">
        <v>89</v>
      </c>
      <c r="AT9" s="69" t="s">
        <v>261</v>
      </c>
      <c r="AU9" s="81" t="str">
        <f>VLOOKUP(O9,[1]Lookup!A:B,2,FALSE)</f>
        <v>Test-SIT</v>
      </c>
      <c r="AV9" s="25" t="str">
        <f>VLOOKUP(test1[[#This Row],[Assignee]],lookup[#All],2,FALSE)</f>
        <v>Test-SIT</v>
      </c>
      <c r="AW9" s="25">
        <f ca="1">IF(test1[[#This Row],[Status]]&lt;&gt;"Closed", TODAY()-INT(test1[[#This Row],[Created]]),INT(test1[[#This Row],[Resolved]])-INT(test1[[#This Row],[Created]]))</f>
        <v>81</v>
      </c>
    </row>
    <row r="10" spans="1:49" ht="270.75" x14ac:dyDescent="0.2">
      <c r="A10" s="48" t="s">
        <v>86</v>
      </c>
      <c r="B10" s="29" t="s">
        <v>1960</v>
      </c>
      <c r="C10" s="27" t="s">
        <v>1961</v>
      </c>
      <c r="D10" s="53" t="s">
        <v>96</v>
      </c>
      <c r="E10" s="53" t="s">
        <v>166</v>
      </c>
      <c r="F10" s="72"/>
      <c r="G10" s="72" t="s">
        <v>139</v>
      </c>
      <c r="H10" s="72"/>
      <c r="I10" s="72"/>
      <c r="J10" s="14" t="s">
        <v>91</v>
      </c>
      <c r="K10" s="14" t="s">
        <v>59</v>
      </c>
      <c r="L10" s="14" t="s">
        <v>167</v>
      </c>
      <c r="M10" s="14" t="s">
        <v>132</v>
      </c>
      <c r="N10" s="18" t="s">
        <v>21</v>
      </c>
      <c r="O10" s="14" t="s">
        <v>21</v>
      </c>
      <c r="P10" s="19">
        <v>42747.647916666669</v>
      </c>
      <c r="Q10" s="19">
        <v>42772.523611111108</v>
      </c>
      <c r="R10" s="19">
        <v>42764.71597222222</v>
      </c>
      <c r="S10" s="14" t="s">
        <v>518</v>
      </c>
      <c r="T10" s="14" t="s">
        <v>139</v>
      </c>
      <c r="U10" s="14" t="s">
        <v>96</v>
      </c>
      <c r="V10" s="28">
        <v>42751</v>
      </c>
      <c r="W10" s="14">
        <v>0</v>
      </c>
      <c r="X10" s="14">
        <v>0</v>
      </c>
      <c r="Y10" s="14"/>
      <c r="Z10" s="14"/>
      <c r="AA10" s="14"/>
      <c r="AB10" s="14"/>
      <c r="AC10" s="14"/>
      <c r="AD10" s="14"/>
      <c r="AE10" s="14"/>
      <c r="AF10" s="14" t="s">
        <v>1962</v>
      </c>
      <c r="AG10" s="14" t="s">
        <v>1963</v>
      </c>
      <c r="AH10" s="14"/>
      <c r="AI10" s="14"/>
      <c r="AJ10" s="14"/>
      <c r="AK10" s="14"/>
      <c r="AL10" s="14"/>
      <c r="AM10" s="14"/>
      <c r="AN10" s="14" t="s">
        <v>235</v>
      </c>
      <c r="AO10" s="14" t="s">
        <v>1964</v>
      </c>
      <c r="AP10" s="14"/>
      <c r="AQ10" s="14"/>
      <c r="AR10" s="69"/>
      <c r="AS10" s="69" t="s">
        <v>96</v>
      </c>
      <c r="AT10" s="69" t="s">
        <v>166</v>
      </c>
      <c r="AU10" s="81" t="str">
        <f>VLOOKUP(O10,[1]Lookup!A:B,2,FALSE)</f>
        <v>Test-SIT</v>
      </c>
      <c r="AV10" s="25" t="str">
        <f>VLOOKUP(test1[[#This Row],[Assignee]],lookup[#All],2,FALSE)</f>
        <v>Test-SIT</v>
      </c>
      <c r="AW10" s="25">
        <f ca="1">IF(test1[[#This Row],[Status]]&lt;&gt;"Closed", TODAY()-INT(test1[[#This Row],[Created]]),INT(test1[[#This Row],[Resolved]])-INT(test1[[#This Row],[Created]]))</f>
        <v>81</v>
      </c>
    </row>
    <row r="11" spans="1:49" ht="185.25" x14ac:dyDescent="0.2">
      <c r="A11" s="48" t="s">
        <v>86</v>
      </c>
      <c r="B11" s="29" t="s">
        <v>1953</v>
      </c>
      <c r="C11" s="27" t="s">
        <v>1954</v>
      </c>
      <c r="D11" s="53" t="s">
        <v>1892</v>
      </c>
      <c r="E11" s="53" t="s">
        <v>1955</v>
      </c>
      <c r="F11" s="72"/>
      <c r="G11" s="72" t="s">
        <v>518</v>
      </c>
      <c r="H11" s="72"/>
      <c r="I11" s="72"/>
      <c r="J11" s="14" t="s">
        <v>91</v>
      </c>
      <c r="K11" s="14" t="s">
        <v>59</v>
      </c>
      <c r="L11" s="14" t="s">
        <v>103</v>
      </c>
      <c r="M11" s="14" t="s">
        <v>132</v>
      </c>
      <c r="N11" s="18" t="s">
        <v>21</v>
      </c>
      <c r="O11" s="14" t="s">
        <v>21</v>
      </c>
      <c r="P11" s="19">
        <v>42748.628472222219</v>
      </c>
      <c r="Q11" s="19">
        <v>42771.517361111109</v>
      </c>
      <c r="R11" s="19">
        <v>42751.363888888889</v>
      </c>
      <c r="S11" s="14" t="s">
        <v>518</v>
      </c>
      <c r="T11" s="14" t="s">
        <v>518</v>
      </c>
      <c r="U11" s="14" t="s">
        <v>1894</v>
      </c>
      <c r="V11" s="28">
        <v>42750</v>
      </c>
      <c r="W11" s="14">
        <v>0</v>
      </c>
      <c r="X11" s="14">
        <v>0</v>
      </c>
      <c r="Y11" s="14"/>
      <c r="Z11" s="14"/>
      <c r="AA11" s="14"/>
      <c r="AB11" s="14"/>
      <c r="AC11" s="14"/>
      <c r="AD11" s="14"/>
      <c r="AE11" s="14"/>
      <c r="AF11" s="14" t="s">
        <v>1956</v>
      </c>
      <c r="AG11" s="14" t="s">
        <v>1957</v>
      </c>
      <c r="AH11" s="14"/>
      <c r="AI11" s="14"/>
      <c r="AJ11" s="14"/>
      <c r="AK11" s="14"/>
      <c r="AL11" s="14"/>
      <c r="AM11" s="14"/>
      <c r="AN11" s="14" t="s">
        <v>1958</v>
      </c>
      <c r="AO11" s="14" t="s">
        <v>1959</v>
      </c>
      <c r="AP11" s="14" t="s">
        <v>163</v>
      </c>
      <c r="AQ11" s="14"/>
      <c r="AR11" s="69"/>
      <c r="AS11" s="69" t="s">
        <v>1892</v>
      </c>
      <c r="AT11" s="69" t="s">
        <v>1955</v>
      </c>
      <c r="AU11" s="81" t="str">
        <f>VLOOKUP(O11,[1]Lookup!A:B,2,FALSE)</f>
        <v>Test-SIT</v>
      </c>
      <c r="AV11" s="25" t="str">
        <f>VLOOKUP(test1[[#This Row],[Assignee]],lookup[#All],2,FALSE)</f>
        <v>Test-SIT</v>
      </c>
      <c r="AW11" s="25">
        <f ca="1">IF(test1[[#This Row],[Status]]&lt;&gt;"Closed", TODAY()-INT(test1[[#This Row],[Created]]),INT(test1[[#This Row],[Resolved]])-INT(test1[[#This Row],[Created]]))</f>
        <v>80</v>
      </c>
    </row>
    <row r="12" spans="1:49" ht="409.5" x14ac:dyDescent="0.2">
      <c r="A12" s="48" t="s">
        <v>86</v>
      </c>
      <c r="B12" s="29" t="s">
        <v>1948</v>
      </c>
      <c r="C12" s="27" t="s">
        <v>1949</v>
      </c>
      <c r="D12" s="53" t="s">
        <v>96</v>
      </c>
      <c r="E12" s="53" t="s">
        <v>166</v>
      </c>
      <c r="F12" s="72"/>
      <c r="G12" s="72" t="s">
        <v>518</v>
      </c>
      <c r="H12" s="72"/>
      <c r="I12" s="72"/>
      <c r="J12" s="14" t="s">
        <v>91</v>
      </c>
      <c r="K12" s="14" t="s">
        <v>59</v>
      </c>
      <c r="L12" s="14" t="s">
        <v>124</v>
      </c>
      <c r="M12" s="14" t="s">
        <v>132</v>
      </c>
      <c r="N12" s="18" t="s">
        <v>8</v>
      </c>
      <c r="O12" s="14" t="s">
        <v>24</v>
      </c>
      <c r="P12" s="19">
        <v>42748.793055555558</v>
      </c>
      <c r="Q12" s="19">
        <v>42771.518750000003</v>
      </c>
      <c r="R12" s="19">
        <v>42754.907638888886</v>
      </c>
      <c r="S12" s="14" t="s">
        <v>518</v>
      </c>
      <c r="T12" s="14" t="s">
        <v>518</v>
      </c>
      <c r="U12" s="14" t="s">
        <v>96</v>
      </c>
      <c r="V12" s="28">
        <v>42748</v>
      </c>
      <c r="W12" s="14">
        <v>0</v>
      </c>
      <c r="X12" s="14">
        <v>1</v>
      </c>
      <c r="Y12" s="14"/>
      <c r="Z12" s="14"/>
      <c r="AA12" s="14"/>
      <c r="AB12" s="14"/>
      <c r="AC12" s="14"/>
      <c r="AD12" s="14"/>
      <c r="AE12" s="14"/>
      <c r="AF12" s="14" t="s">
        <v>1950</v>
      </c>
      <c r="AG12" s="14" t="s">
        <v>1951</v>
      </c>
      <c r="AH12" s="14"/>
      <c r="AI12" s="14"/>
      <c r="AJ12" s="14"/>
      <c r="AK12" s="14"/>
      <c r="AL12" s="14"/>
      <c r="AM12" s="14"/>
      <c r="AN12" s="14" t="s">
        <v>235</v>
      </c>
      <c r="AO12" s="14" t="s">
        <v>1952</v>
      </c>
      <c r="AP12" s="14"/>
      <c r="AQ12" s="14"/>
      <c r="AR12" s="69"/>
      <c r="AS12" s="69" t="s">
        <v>96</v>
      </c>
      <c r="AT12" s="69" t="s">
        <v>959</v>
      </c>
      <c r="AU12" s="81" t="str">
        <f>VLOOKUP(O12,[1]Lookup!A:B,2,FALSE)</f>
        <v>Test-SIT</v>
      </c>
      <c r="AV12" s="25" t="str">
        <f>VLOOKUP(test1[[#This Row],[Assignee]],lookup[#All],2,FALSE)</f>
        <v>BTS-Dev</v>
      </c>
      <c r="AW12" s="25">
        <f ca="1">IF(test1[[#This Row],[Status]]&lt;&gt;"Closed", TODAY()-INT(test1[[#This Row],[Created]]),INT(test1[[#This Row],[Resolved]])-INT(test1[[#This Row],[Created]]))</f>
        <v>80</v>
      </c>
    </row>
    <row r="13" spans="1:49" ht="409.5" x14ac:dyDescent="0.2">
      <c r="A13" s="48" t="s">
        <v>86</v>
      </c>
      <c r="B13" s="29" t="s">
        <v>1943</v>
      </c>
      <c r="C13" s="27" t="s">
        <v>1944</v>
      </c>
      <c r="D13" s="53" t="s">
        <v>89</v>
      </c>
      <c r="E13" s="53" t="s">
        <v>229</v>
      </c>
      <c r="F13" s="72"/>
      <c r="G13" s="72" t="s">
        <v>518</v>
      </c>
      <c r="H13" s="72"/>
      <c r="I13" s="72"/>
      <c r="J13" s="14" t="s">
        <v>91</v>
      </c>
      <c r="K13" s="14" t="s">
        <v>59</v>
      </c>
      <c r="L13" s="14" t="s">
        <v>93</v>
      </c>
      <c r="M13" s="14" t="s">
        <v>201</v>
      </c>
      <c r="N13" s="18" t="s">
        <v>24</v>
      </c>
      <c r="O13" s="14" t="s">
        <v>24</v>
      </c>
      <c r="P13" s="19">
        <v>42749.712500000001</v>
      </c>
      <c r="Q13" s="19">
        <v>42771.638888888891</v>
      </c>
      <c r="R13" s="19">
        <v>42751.445833333331</v>
      </c>
      <c r="S13" s="14" t="s">
        <v>518</v>
      </c>
      <c r="T13" s="14" t="s">
        <v>518</v>
      </c>
      <c r="U13" s="14" t="s">
        <v>89</v>
      </c>
      <c r="V13" s="14"/>
      <c r="W13" s="14">
        <v>0</v>
      </c>
      <c r="X13" s="14">
        <v>0</v>
      </c>
      <c r="Y13" s="14"/>
      <c r="Z13" s="14"/>
      <c r="AA13" s="14"/>
      <c r="AB13" s="14"/>
      <c r="AC13" s="14"/>
      <c r="AD13" s="14"/>
      <c r="AE13" s="14"/>
      <c r="AF13" s="14" t="s">
        <v>1945</v>
      </c>
      <c r="AG13" s="14" t="s">
        <v>1946</v>
      </c>
      <c r="AH13" s="14"/>
      <c r="AI13" s="14"/>
      <c r="AJ13" s="14"/>
      <c r="AK13" s="14"/>
      <c r="AL13" s="14"/>
      <c r="AM13" s="14"/>
      <c r="AN13" s="14" t="s">
        <v>229</v>
      </c>
      <c r="AO13" s="14" t="s">
        <v>1947</v>
      </c>
      <c r="AP13" s="14"/>
      <c r="AQ13" s="14"/>
      <c r="AR13" s="69"/>
      <c r="AS13" s="69" t="s">
        <v>89</v>
      </c>
      <c r="AT13" s="69" t="s">
        <v>229</v>
      </c>
      <c r="AU13" s="81" t="str">
        <f>VLOOKUP(O13,[1]Lookup!A:B,2,FALSE)</f>
        <v>Test-SIT</v>
      </c>
      <c r="AV13" s="25" t="str">
        <f>VLOOKUP(test1[[#This Row],[Assignee]],lookup[#All],2,FALSE)</f>
        <v>Test-SIT</v>
      </c>
      <c r="AW13" s="25">
        <f ca="1">IF(test1[[#This Row],[Status]]&lt;&gt;"Closed", TODAY()-INT(test1[[#This Row],[Created]]),INT(test1[[#This Row],[Resolved]])-INT(test1[[#This Row],[Created]]))</f>
        <v>79</v>
      </c>
    </row>
    <row r="14" spans="1:49" ht="228" x14ac:dyDescent="0.2">
      <c r="A14" s="48" t="s">
        <v>86</v>
      </c>
      <c r="B14" s="29" t="s">
        <v>1940</v>
      </c>
      <c r="C14" s="27" t="s">
        <v>1941</v>
      </c>
      <c r="D14" s="53" t="s">
        <v>96</v>
      </c>
      <c r="E14" s="53" t="s">
        <v>166</v>
      </c>
      <c r="F14" s="72"/>
      <c r="G14" s="72"/>
      <c r="H14" s="72"/>
      <c r="I14" s="72"/>
      <c r="J14" s="14" t="s">
        <v>91</v>
      </c>
      <c r="K14" s="14" t="s">
        <v>59</v>
      </c>
      <c r="L14" s="14" t="s">
        <v>103</v>
      </c>
      <c r="M14" s="14" t="s">
        <v>132</v>
      </c>
      <c r="N14" s="18" t="s">
        <v>21</v>
      </c>
      <c r="O14" s="14" t="s">
        <v>21</v>
      </c>
      <c r="P14" s="19">
        <v>42750.785416666666</v>
      </c>
      <c r="Q14" s="19">
        <v>42771.520138888889</v>
      </c>
      <c r="R14" s="19">
        <v>42759.459027777775</v>
      </c>
      <c r="S14" s="14" t="s">
        <v>518</v>
      </c>
      <c r="T14" s="14"/>
      <c r="U14" s="14" t="s">
        <v>89</v>
      </c>
      <c r="V14" s="14"/>
      <c r="W14" s="14">
        <v>0</v>
      </c>
      <c r="X14" s="14">
        <v>0</v>
      </c>
      <c r="Y14" s="14"/>
      <c r="Z14" s="14"/>
      <c r="AA14" s="14"/>
      <c r="AB14" s="14"/>
      <c r="AC14" s="14"/>
      <c r="AD14" s="14"/>
      <c r="AE14" s="14"/>
      <c r="AF14" s="14" t="s">
        <v>214</v>
      </c>
      <c r="AG14" s="14" t="s">
        <v>1942</v>
      </c>
      <c r="AH14" s="14"/>
      <c r="AI14" s="14"/>
      <c r="AJ14" s="14"/>
      <c r="AK14" s="14"/>
      <c r="AL14" s="14"/>
      <c r="AM14" s="14"/>
      <c r="AN14" s="14" t="s">
        <v>1105</v>
      </c>
      <c r="AO14" s="14"/>
      <c r="AP14" s="14"/>
      <c r="AQ14" s="14"/>
      <c r="AR14" s="69"/>
      <c r="AS14" s="69" t="s">
        <v>96</v>
      </c>
      <c r="AT14" s="69" t="s">
        <v>959</v>
      </c>
      <c r="AU14" s="81" t="str">
        <f>VLOOKUP(O14,[1]Lookup!A:B,2,FALSE)</f>
        <v>Test-SIT</v>
      </c>
      <c r="AV14" s="25" t="str">
        <f>VLOOKUP(test1[[#This Row],[Assignee]],lookup[#All],2,FALSE)</f>
        <v>Test-SIT</v>
      </c>
      <c r="AW14" s="25">
        <f ca="1">IF(test1[[#This Row],[Status]]&lt;&gt;"Closed", TODAY()-INT(test1[[#This Row],[Created]]),INT(test1[[#This Row],[Resolved]])-INT(test1[[#This Row],[Created]]))</f>
        <v>78</v>
      </c>
    </row>
    <row r="15" spans="1:49" ht="409.5" x14ac:dyDescent="0.2">
      <c r="A15" s="48" t="s">
        <v>86</v>
      </c>
      <c r="B15" s="29" t="s">
        <v>1935</v>
      </c>
      <c r="C15" s="27" t="s">
        <v>1936</v>
      </c>
      <c r="D15" s="53" t="s">
        <v>89</v>
      </c>
      <c r="E15" s="53" t="s">
        <v>261</v>
      </c>
      <c r="F15" s="72"/>
      <c r="G15" s="72"/>
      <c r="H15" s="72"/>
      <c r="I15" s="72"/>
      <c r="J15" s="14" t="s">
        <v>91</v>
      </c>
      <c r="K15" s="14" t="s">
        <v>59</v>
      </c>
      <c r="L15" s="14" t="s">
        <v>167</v>
      </c>
      <c r="M15" s="14" t="s">
        <v>132</v>
      </c>
      <c r="N15" s="18" t="s">
        <v>21</v>
      </c>
      <c r="O15" s="14" t="s">
        <v>21</v>
      </c>
      <c r="P15" s="19">
        <v>42750.79583333333</v>
      </c>
      <c r="Q15" s="19">
        <v>42771.520833333336</v>
      </c>
      <c r="R15" s="19">
        <v>42759.510416666664</v>
      </c>
      <c r="S15" s="14" t="s">
        <v>518</v>
      </c>
      <c r="T15" s="14"/>
      <c r="U15" s="14" t="s">
        <v>89</v>
      </c>
      <c r="V15" s="28">
        <v>42754</v>
      </c>
      <c r="W15" s="14">
        <v>0</v>
      </c>
      <c r="X15" s="14">
        <v>0</v>
      </c>
      <c r="Y15" s="14"/>
      <c r="Z15" s="14"/>
      <c r="AA15" s="14"/>
      <c r="AB15" s="14"/>
      <c r="AC15" s="14"/>
      <c r="AD15" s="14"/>
      <c r="AE15" s="14"/>
      <c r="AF15" s="14" t="s">
        <v>1937</v>
      </c>
      <c r="AG15" s="14" t="s">
        <v>1938</v>
      </c>
      <c r="AH15" s="14"/>
      <c r="AI15" s="14"/>
      <c r="AJ15" s="14"/>
      <c r="AK15" s="14"/>
      <c r="AL15" s="14"/>
      <c r="AM15" s="14"/>
      <c r="AN15" s="14" t="s">
        <v>235</v>
      </c>
      <c r="AO15" s="14" t="s">
        <v>1939</v>
      </c>
      <c r="AP15" s="14"/>
      <c r="AQ15" s="14"/>
      <c r="AR15" s="69"/>
      <c r="AS15" s="69" t="s">
        <v>89</v>
      </c>
      <c r="AT15" s="69" t="s">
        <v>261</v>
      </c>
      <c r="AU15" s="81" t="str">
        <f>VLOOKUP(O15,[1]Lookup!A:B,2,FALSE)</f>
        <v>Test-SIT</v>
      </c>
      <c r="AV15" s="25" t="str">
        <f>VLOOKUP(test1[[#This Row],[Assignee]],lookup[#All],2,FALSE)</f>
        <v>Test-SIT</v>
      </c>
      <c r="AW15" s="25">
        <f ca="1">IF(test1[[#This Row],[Status]]&lt;&gt;"Closed", TODAY()-INT(test1[[#This Row],[Created]]),INT(test1[[#This Row],[Resolved]])-INT(test1[[#This Row],[Created]]))</f>
        <v>78</v>
      </c>
    </row>
    <row r="16" spans="1:49" ht="399" x14ac:dyDescent="0.2">
      <c r="A16" s="48" t="s">
        <v>86</v>
      </c>
      <c r="B16" s="29" t="s">
        <v>1929</v>
      </c>
      <c r="C16" s="27" t="s">
        <v>1930</v>
      </c>
      <c r="D16" s="53" t="s">
        <v>89</v>
      </c>
      <c r="E16" s="53" t="s">
        <v>1931</v>
      </c>
      <c r="F16" s="72"/>
      <c r="G16" s="72" t="s">
        <v>139</v>
      </c>
      <c r="H16" s="72"/>
      <c r="I16" s="72"/>
      <c r="J16" s="14" t="s">
        <v>91</v>
      </c>
      <c r="K16" s="14" t="s">
        <v>59</v>
      </c>
      <c r="L16" s="14" t="s">
        <v>103</v>
      </c>
      <c r="M16" s="14" t="s">
        <v>132</v>
      </c>
      <c r="N16" s="18" t="s">
        <v>21</v>
      </c>
      <c r="O16" s="14" t="s">
        <v>21</v>
      </c>
      <c r="P16" s="19">
        <v>42750.805555555555</v>
      </c>
      <c r="Q16" s="19">
        <v>42770.792361111111</v>
      </c>
      <c r="R16" s="19">
        <v>42769.450694444444</v>
      </c>
      <c r="S16" s="14" t="s">
        <v>518</v>
      </c>
      <c r="T16" s="14" t="s">
        <v>139</v>
      </c>
      <c r="U16" s="14" t="s">
        <v>89</v>
      </c>
      <c r="V16" s="28">
        <v>42752</v>
      </c>
      <c r="W16" s="14">
        <v>0</v>
      </c>
      <c r="X16" s="14">
        <v>0</v>
      </c>
      <c r="Y16" s="14"/>
      <c r="Z16" s="14"/>
      <c r="AA16" s="14"/>
      <c r="AB16" s="14"/>
      <c r="AC16" s="14"/>
      <c r="AD16" s="14"/>
      <c r="AE16" s="14"/>
      <c r="AF16" s="14" t="s">
        <v>1932</v>
      </c>
      <c r="AG16" s="14" t="s">
        <v>1933</v>
      </c>
      <c r="AH16" s="14"/>
      <c r="AI16" s="14"/>
      <c r="AJ16" s="14"/>
      <c r="AK16" s="14"/>
      <c r="AL16" s="14"/>
      <c r="AM16" s="14"/>
      <c r="AN16" s="14" t="s">
        <v>416</v>
      </c>
      <c r="AO16" s="14" t="s">
        <v>1934</v>
      </c>
      <c r="AP16" s="14"/>
      <c r="AQ16" s="14"/>
      <c r="AR16" s="69"/>
      <c r="AS16" s="69" t="s">
        <v>89</v>
      </c>
      <c r="AT16" s="69" t="s">
        <v>1931</v>
      </c>
      <c r="AU16" s="81" t="str">
        <f>VLOOKUP(O16,[1]Lookup!A:B,2,FALSE)</f>
        <v>Test-SIT</v>
      </c>
      <c r="AV16" s="25" t="str">
        <f>VLOOKUP(test1[[#This Row],[Assignee]],lookup[#All],2,FALSE)</f>
        <v>Test-SIT</v>
      </c>
      <c r="AW16" s="25">
        <f ca="1">IF(test1[[#This Row],[Status]]&lt;&gt;"Closed", TODAY()-INT(test1[[#This Row],[Created]]),INT(test1[[#This Row],[Resolved]])-INT(test1[[#This Row],[Created]]))</f>
        <v>78</v>
      </c>
    </row>
    <row r="17" spans="1:49" ht="256.5" x14ac:dyDescent="0.2">
      <c r="A17" s="48" t="s">
        <v>86</v>
      </c>
      <c r="B17" s="29" t="s">
        <v>1925</v>
      </c>
      <c r="C17" s="27" t="s">
        <v>1926</v>
      </c>
      <c r="D17" s="53" t="s">
        <v>89</v>
      </c>
      <c r="E17" s="53" t="s">
        <v>1540</v>
      </c>
      <c r="F17" s="72"/>
      <c r="G17" s="72"/>
      <c r="H17" s="72"/>
      <c r="I17" s="72"/>
      <c r="J17" s="14" t="s">
        <v>91</v>
      </c>
      <c r="K17" s="14" t="s">
        <v>59</v>
      </c>
      <c r="L17" s="14" t="s">
        <v>124</v>
      </c>
      <c r="M17" s="14" t="s">
        <v>132</v>
      </c>
      <c r="N17" s="18" t="s">
        <v>24</v>
      </c>
      <c r="O17" s="14" t="s">
        <v>24</v>
      </c>
      <c r="P17" s="19">
        <v>42751.453472222223</v>
      </c>
      <c r="Q17" s="19">
        <v>42771.523611111108</v>
      </c>
      <c r="R17" s="19">
        <v>42754.5625</v>
      </c>
      <c r="S17" s="14" t="s">
        <v>518</v>
      </c>
      <c r="T17" s="14"/>
      <c r="U17" s="14" t="s">
        <v>130</v>
      </c>
      <c r="V17" s="28">
        <v>42751</v>
      </c>
      <c r="W17" s="14">
        <v>0</v>
      </c>
      <c r="X17" s="14">
        <v>0</v>
      </c>
      <c r="Y17" s="14"/>
      <c r="Z17" s="14"/>
      <c r="AA17" s="14"/>
      <c r="AB17" s="14"/>
      <c r="AC17" s="14"/>
      <c r="AD17" s="14"/>
      <c r="AE17" s="14"/>
      <c r="AF17" s="14" t="s">
        <v>1927</v>
      </c>
      <c r="AG17" s="14" t="s">
        <v>1928</v>
      </c>
      <c r="AH17" s="14"/>
      <c r="AI17" s="14"/>
      <c r="AJ17" s="14"/>
      <c r="AK17" s="14"/>
      <c r="AL17" s="14"/>
      <c r="AM17" s="14"/>
      <c r="AN17" s="14" t="s">
        <v>255</v>
      </c>
      <c r="AO17" s="14"/>
      <c r="AP17" s="14" t="s">
        <v>250</v>
      </c>
      <c r="AQ17" s="14"/>
      <c r="AR17" s="69"/>
      <c r="AS17" s="69" t="s">
        <v>89</v>
      </c>
      <c r="AT17" s="69" t="s">
        <v>1540</v>
      </c>
      <c r="AU17" s="81" t="str">
        <f>VLOOKUP(O17,[1]Lookup!A:B,2,FALSE)</f>
        <v>Test-SIT</v>
      </c>
      <c r="AV17" s="25" t="str">
        <f>VLOOKUP(test1[[#This Row],[Assignee]],lookup[#All],2,FALSE)</f>
        <v>Test-SIT</v>
      </c>
      <c r="AW17" s="25">
        <f ca="1">IF(test1[[#This Row],[Status]]&lt;&gt;"Closed", TODAY()-INT(test1[[#This Row],[Created]]),INT(test1[[#This Row],[Resolved]])-INT(test1[[#This Row],[Created]]))</f>
        <v>77</v>
      </c>
    </row>
    <row r="18" spans="1:49" ht="370.5" x14ac:dyDescent="0.2">
      <c r="A18" s="48" t="s">
        <v>86</v>
      </c>
      <c r="B18" s="29" t="s">
        <v>1920</v>
      </c>
      <c r="C18" s="27" t="s">
        <v>1921</v>
      </c>
      <c r="D18" s="53" t="s">
        <v>89</v>
      </c>
      <c r="E18" s="53" t="s">
        <v>1540</v>
      </c>
      <c r="F18" s="72"/>
      <c r="G18" s="72"/>
      <c r="H18" s="72"/>
      <c r="I18" s="72"/>
      <c r="J18" s="14" t="s">
        <v>91</v>
      </c>
      <c r="K18" s="14" t="s">
        <v>59</v>
      </c>
      <c r="L18" s="14" t="s">
        <v>124</v>
      </c>
      <c r="M18" s="14" t="s">
        <v>132</v>
      </c>
      <c r="N18" s="18" t="s">
        <v>24</v>
      </c>
      <c r="O18" s="14" t="s">
        <v>24</v>
      </c>
      <c r="P18" s="19">
        <v>42751.477083333331</v>
      </c>
      <c r="Q18" s="19">
        <v>42771.523611111108</v>
      </c>
      <c r="R18" s="19">
        <v>42754.563194444447</v>
      </c>
      <c r="S18" s="14" t="s">
        <v>518</v>
      </c>
      <c r="T18" s="14"/>
      <c r="U18" s="14" t="s">
        <v>130</v>
      </c>
      <c r="V18" s="28">
        <v>42751</v>
      </c>
      <c r="W18" s="14">
        <v>0</v>
      </c>
      <c r="X18" s="14">
        <v>1</v>
      </c>
      <c r="Y18" s="14"/>
      <c r="Z18" s="14"/>
      <c r="AA18" s="14"/>
      <c r="AB18" s="14"/>
      <c r="AC18" s="14"/>
      <c r="AD18" s="14"/>
      <c r="AE18" s="14"/>
      <c r="AF18" s="14" t="s">
        <v>1922</v>
      </c>
      <c r="AG18" s="14" t="s">
        <v>1923</v>
      </c>
      <c r="AH18" s="14"/>
      <c r="AI18" s="14"/>
      <c r="AJ18" s="14"/>
      <c r="AK18" s="14"/>
      <c r="AL18" s="14"/>
      <c r="AM18" s="14"/>
      <c r="AN18" s="14" t="s">
        <v>255</v>
      </c>
      <c r="AO18" s="14"/>
      <c r="AP18" s="14" t="s">
        <v>163</v>
      </c>
      <c r="AQ18" s="14" t="s">
        <v>1924</v>
      </c>
      <c r="AR18" s="69"/>
      <c r="AS18" s="69" t="s">
        <v>89</v>
      </c>
      <c r="AT18" s="69" t="s">
        <v>1540</v>
      </c>
      <c r="AU18" s="81" t="str">
        <f>VLOOKUP(O18,[1]Lookup!A:B,2,FALSE)</f>
        <v>Test-SIT</v>
      </c>
      <c r="AV18" s="25" t="str">
        <f>VLOOKUP(test1[[#This Row],[Assignee]],lookup[#All],2,FALSE)</f>
        <v>Test-SIT</v>
      </c>
      <c r="AW18" s="25">
        <f ca="1">IF(test1[[#This Row],[Status]]&lt;&gt;"Closed", TODAY()-INT(test1[[#This Row],[Created]]),INT(test1[[#This Row],[Resolved]])-INT(test1[[#This Row],[Created]]))</f>
        <v>77</v>
      </c>
    </row>
    <row r="19" spans="1:49" ht="399" x14ac:dyDescent="0.2">
      <c r="A19" s="48" t="s">
        <v>86</v>
      </c>
      <c r="B19" s="29" t="s">
        <v>1915</v>
      </c>
      <c r="C19" s="27" t="s">
        <v>1916</v>
      </c>
      <c r="D19" s="53" t="s">
        <v>241</v>
      </c>
      <c r="E19" s="53" t="s">
        <v>229</v>
      </c>
      <c r="F19" s="72"/>
      <c r="G19" s="72" t="s">
        <v>518</v>
      </c>
      <c r="H19" s="72"/>
      <c r="I19" s="72"/>
      <c r="J19" s="14" t="s">
        <v>91</v>
      </c>
      <c r="K19" s="14" t="s">
        <v>59</v>
      </c>
      <c r="L19" s="14" t="s">
        <v>167</v>
      </c>
      <c r="M19" s="14" t="s">
        <v>132</v>
      </c>
      <c r="N19" s="18" t="s">
        <v>21</v>
      </c>
      <c r="O19" s="14" t="s">
        <v>21</v>
      </c>
      <c r="P19" s="19">
        <v>42751.484027777777</v>
      </c>
      <c r="Q19" s="19">
        <v>42771.638888888891</v>
      </c>
      <c r="R19" s="19">
        <v>42753.370833333334</v>
      </c>
      <c r="S19" s="14" t="s">
        <v>1917</v>
      </c>
      <c r="T19" s="14" t="s">
        <v>518</v>
      </c>
      <c r="U19" s="14" t="s">
        <v>241</v>
      </c>
      <c r="V19" s="28">
        <v>42755</v>
      </c>
      <c r="W19" s="14">
        <v>0</v>
      </c>
      <c r="X19" s="14">
        <v>0</v>
      </c>
      <c r="Y19" s="14"/>
      <c r="Z19" s="14"/>
      <c r="AA19" s="14"/>
      <c r="AB19" s="14"/>
      <c r="AC19" s="14"/>
      <c r="AD19" s="14"/>
      <c r="AE19" s="14"/>
      <c r="AF19" s="14" t="s">
        <v>1918</v>
      </c>
      <c r="AG19" s="14" t="s">
        <v>1919</v>
      </c>
      <c r="AH19" s="14"/>
      <c r="AI19" s="14"/>
      <c r="AJ19" s="14"/>
      <c r="AK19" s="14"/>
      <c r="AL19" s="14"/>
      <c r="AM19" s="14"/>
      <c r="AN19" s="14" t="s">
        <v>229</v>
      </c>
      <c r="AO19" s="14" t="s">
        <v>381</v>
      </c>
      <c r="AP19" s="14" t="s">
        <v>163</v>
      </c>
      <c r="AQ19" s="14"/>
      <c r="AR19" s="69"/>
      <c r="AS19" s="69" t="s">
        <v>241</v>
      </c>
      <c r="AT19" s="69" t="s">
        <v>229</v>
      </c>
      <c r="AU19" s="81" t="str">
        <f>VLOOKUP(O19,[1]Lookup!A:B,2,FALSE)</f>
        <v>Test-SIT</v>
      </c>
      <c r="AV19" s="25" t="str">
        <f>VLOOKUP(test1[[#This Row],[Assignee]],lookup[#All],2,FALSE)</f>
        <v>Test-SIT</v>
      </c>
      <c r="AW19" s="25">
        <f ca="1">IF(test1[[#This Row],[Status]]&lt;&gt;"Closed", TODAY()-INT(test1[[#This Row],[Created]]),INT(test1[[#This Row],[Resolved]])-INT(test1[[#This Row],[Created]]))</f>
        <v>77</v>
      </c>
    </row>
    <row r="20" spans="1:49" ht="409.5" x14ac:dyDescent="0.2">
      <c r="A20" s="48" t="s">
        <v>86</v>
      </c>
      <c r="B20" s="29" t="s">
        <v>1911</v>
      </c>
      <c r="C20" s="27" t="s">
        <v>1912</v>
      </c>
      <c r="D20" s="53" t="s">
        <v>89</v>
      </c>
      <c r="E20" s="53" t="s">
        <v>507</v>
      </c>
      <c r="F20" s="72" t="s">
        <v>1201</v>
      </c>
      <c r="G20" s="72" t="s">
        <v>139</v>
      </c>
      <c r="H20" s="72"/>
      <c r="I20" s="72"/>
      <c r="J20" s="14" t="s">
        <v>91</v>
      </c>
      <c r="K20" s="14" t="s">
        <v>59</v>
      </c>
      <c r="L20" s="14" t="s">
        <v>93</v>
      </c>
      <c r="M20" s="14" t="s">
        <v>132</v>
      </c>
      <c r="N20" s="18" t="s">
        <v>21</v>
      </c>
      <c r="O20" s="14" t="s">
        <v>24</v>
      </c>
      <c r="P20" s="19">
        <v>42751.492361111108</v>
      </c>
      <c r="Q20" s="19">
        <v>42771.68472222222</v>
      </c>
      <c r="R20" s="19">
        <v>42771.68472222222</v>
      </c>
      <c r="S20" s="14" t="s">
        <v>518</v>
      </c>
      <c r="T20" s="14" t="s">
        <v>139</v>
      </c>
      <c r="U20" s="14" t="s">
        <v>412</v>
      </c>
      <c r="V20" s="28">
        <v>42752</v>
      </c>
      <c r="W20" s="14">
        <v>0</v>
      </c>
      <c r="X20" s="14">
        <v>0</v>
      </c>
      <c r="Y20" s="14"/>
      <c r="Z20" s="14"/>
      <c r="AA20" s="14"/>
      <c r="AB20" s="14"/>
      <c r="AC20" s="14"/>
      <c r="AD20" s="14"/>
      <c r="AE20" s="14"/>
      <c r="AF20" s="14" t="s">
        <v>1913</v>
      </c>
      <c r="AG20" s="14" t="s">
        <v>1914</v>
      </c>
      <c r="AH20" s="14"/>
      <c r="AI20" s="14"/>
      <c r="AJ20" s="14"/>
      <c r="AK20" s="14"/>
      <c r="AL20" s="14"/>
      <c r="AM20" s="14"/>
      <c r="AN20" s="14" t="s">
        <v>149</v>
      </c>
      <c r="AO20" s="14" t="s">
        <v>1755</v>
      </c>
      <c r="AP20" s="14" t="s">
        <v>163</v>
      </c>
      <c r="AQ20" s="14"/>
      <c r="AR20" s="69"/>
      <c r="AS20" s="69" t="s">
        <v>89</v>
      </c>
      <c r="AT20" s="69" t="s">
        <v>513</v>
      </c>
      <c r="AU20" s="81" t="str">
        <f>VLOOKUP(O20,[1]Lookup!A:B,2,FALSE)</f>
        <v>Test-SIT</v>
      </c>
      <c r="AV20" s="25" t="str">
        <f>VLOOKUP(test1[[#This Row],[Assignee]],lookup[#All],2,FALSE)</f>
        <v>Test-SIT</v>
      </c>
      <c r="AW20" s="25">
        <f ca="1">IF(test1[[#This Row],[Status]]&lt;&gt;"Closed", TODAY()-INT(test1[[#This Row],[Created]]),INT(test1[[#This Row],[Resolved]])-INT(test1[[#This Row],[Created]]))</f>
        <v>77</v>
      </c>
    </row>
    <row r="21" spans="1:49" ht="242.25" x14ac:dyDescent="0.2">
      <c r="A21" s="48" t="s">
        <v>86</v>
      </c>
      <c r="B21" s="29" t="s">
        <v>1895</v>
      </c>
      <c r="C21" s="27" t="s">
        <v>1907</v>
      </c>
      <c r="D21" s="53" t="s">
        <v>1892</v>
      </c>
      <c r="E21" s="53" t="s">
        <v>1893</v>
      </c>
      <c r="F21" s="72"/>
      <c r="G21" s="72" t="s">
        <v>518</v>
      </c>
      <c r="H21" s="72"/>
      <c r="I21" s="72"/>
      <c r="J21" s="14" t="s">
        <v>91</v>
      </c>
      <c r="K21" s="14" t="s">
        <v>59</v>
      </c>
      <c r="L21" s="14" t="s">
        <v>93</v>
      </c>
      <c r="M21" s="14" t="s">
        <v>132</v>
      </c>
      <c r="N21" s="18" t="s">
        <v>21</v>
      </c>
      <c r="O21" s="14" t="s">
        <v>24</v>
      </c>
      <c r="P21" s="19">
        <v>42751.5</v>
      </c>
      <c r="Q21" s="19">
        <v>42771.525694444441</v>
      </c>
      <c r="R21" s="19">
        <v>42760.441666666666</v>
      </c>
      <c r="S21" s="14" t="s">
        <v>518</v>
      </c>
      <c r="T21" s="14" t="s">
        <v>518</v>
      </c>
      <c r="U21" s="14" t="s">
        <v>1894</v>
      </c>
      <c r="V21" s="28">
        <v>42752</v>
      </c>
      <c r="W21" s="14">
        <v>0</v>
      </c>
      <c r="X21" s="14">
        <v>0</v>
      </c>
      <c r="Y21" s="14"/>
      <c r="Z21" s="14"/>
      <c r="AA21" s="14"/>
      <c r="AB21" s="14"/>
      <c r="AC21" s="14"/>
      <c r="AD21" s="14"/>
      <c r="AE21" s="14" t="s">
        <v>1890</v>
      </c>
      <c r="AF21" s="14" t="s">
        <v>1908</v>
      </c>
      <c r="AG21" s="14" t="s">
        <v>1909</v>
      </c>
      <c r="AH21" s="14"/>
      <c r="AI21" s="14"/>
      <c r="AJ21" s="14"/>
      <c r="AK21" s="14"/>
      <c r="AL21" s="14"/>
      <c r="AM21" s="14"/>
      <c r="AN21" s="14" t="s">
        <v>1898</v>
      </c>
      <c r="AO21" s="14" t="s">
        <v>1910</v>
      </c>
      <c r="AP21" s="14" t="s">
        <v>163</v>
      </c>
      <c r="AQ21" s="14"/>
      <c r="AR21" s="69"/>
      <c r="AS21" s="69" t="s">
        <v>1892</v>
      </c>
      <c r="AT21" s="69" t="s">
        <v>1893</v>
      </c>
      <c r="AU21" s="81" t="str">
        <f>VLOOKUP(O21,[1]Lookup!A:B,2,FALSE)</f>
        <v>Test-SIT</v>
      </c>
      <c r="AV21" s="25" t="str">
        <f>VLOOKUP(test1[[#This Row],[Assignee]],lookup[#All],2,FALSE)</f>
        <v>Test-SIT</v>
      </c>
      <c r="AW21" s="25">
        <f ca="1">IF(test1[[#This Row],[Status]]&lt;&gt;"Closed", TODAY()-INT(test1[[#This Row],[Created]]),INT(test1[[#This Row],[Resolved]])-INT(test1[[#This Row],[Created]]))</f>
        <v>77</v>
      </c>
    </row>
    <row r="22" spans="1:49" ht="342" x14ac:dyDescent="0.2">
      <c r="A22" s="48" t="s">
        <v>86</v>
      </c>
      <c r="B22" s="29" t="s">
        <v>1901</v>
      </c>
      <c r="C22" s="27" t="s">
        <v>1902</v>
      </c>
      <c r="D22" s="53" t="s">
        <v>89</v>
      </c>
      <c r="E22" s="53" t="s">
        <v>1540</v>
      </c>
      <c r="F22" s="72"/>
      <c r="G22" s="72" t="s">
        <v>139</v>
      </c>
      <c r="H22" s="72"/>
      <c r="I22" s="72"/>
      <c r="J22" s="14" t="s">
        <v>91</v>
      </c>
      <c r="K22" s="14" t="s">
        <v>59</v>
      </c>
      <c r="L22" s="14" t="s">
        <v>93</v>
      </c>
      <c r="M22" s="14" t="s">
        <v>132</v>
      </c>
      <c r="N22" s="18" t="s">
        <v>11</v>
      </c>
      <c r="O22" s="14" t="s">
        <v>24</v>
      </c>
      <c r="P22" s="19">
        <v>42751.512499999997</v>
      </c>
      <c r="Q22" s="19">
        <v>42773.417361111111</v>
      </c>
      <c r="R22" s="19">
        <v>42773.417361111111</v>
      </c>
      <c r="S22" s="14" t="s">
        <v>518</v>
      </c>
      <c r="T22" s="14" t="s">
        <v>139</v>
      </c>
      <c r="U22" s="14" t="s">
        <v>130</v>
      </c>
      <c r="V22" s="28">
        <v>42752</v>
      </c>
      <c r="W22" s="14">
        <v>0</v>
      </c>
      <c r="X22" s="14">
        <v>0</v>
      </c>
      <c r="Y22" s="14"/>
      <c r="Z22" s="14"/>
      <c r="AA22" s="14"/>
      <c r="AB22" s="14"/>
      <c r="AC22" s="14"/>
      <c r="AD22" s="14"/>
      <c r="AE22" s="14"/>
      <c r="AF22" s="14" t="s">
        <v>1903</v>
      </c>
      <c r="AG22" s="14" t="s">
        <v>1904</v>
      </c>
      <c r="AH22" s="14"/>
      <c r="AI22" s="14"/>
      <c r="AJ22" s="14"/>
      <c r="AK22" s="14"/>
      <c r="AL22" s="14"/>
      <c r="AM22" s="14"/>
      <c r="AN22" s="14" t="s">
        <v>255</v>
      </c>
      <c r="AO22" s="14" t="s">
        <v>1905</v>
      </c>
      <c r="AP22" s="14" t="s">
        <v>163</v>
      </c>
      <c r="AQ22" s="14" t="s">
        <v>1906</v>
      </c>
      <c r="AR22" s="69"/>
      <c r="AS22" s="69" t="s">
        <v>89</v>
      </c>
      <c r="AT22" s="69" t="s">
        <v>1540</v>
      </c>
      <c r="AU22" s="81" t="str">
        <f>VLOOKUP(O22,[1]Lookup!A:B,2,FALSE)</f>
        <v>Test-SIT</v>
      </c>
      <c r="AV22" s="25" t="str">
        <f>VLOOKUP(test1[[#This Row],[Assignee]],lookup[#All],2,FALSE)</f>
        <v>BTS-Platform</v>
      </c>
      <c r="AW22" s="25">
        <f ca="1">IF(test1[[#This Row],[Status]]&lt;&gt;"Closed", TODAY()-INT(test1[[#This Row],[Created]]),INT(test1[[#This Row],[Resolved]])-INT(test1[[#This Row],[Created]]))</f>
        <v>77</v>
      </c>
    </row>
    <row r="23" spans="1:49" ht="270.75" x14ac:dyDescent="0.2">
      <c r="A23" s="48" t="s">
        <v>86</v>
      </c>
      <c r="B23" s="29" t="s">
        <v>1890</v>
      </c>
      <c r="C23" s="27" t="s">
        <v>1891</v>
      </c>
      <c r="D23" s="53" t="s">
        <v>1892</v>
      </c>
      <c r="E23" s="53" t="s">
        <v>1893</v>
      </c>
      <c r="F23" s="72"/>
      <c r="G23" s="72" t="s">
        <v>518</v>
      </c>
      <c r="H23" s="72"/>
      <c r="I23" s="72"/>
      <c r="J23" s="14" t="s">
        <v>91</v>
      </c>
      <c r="K23" s="14" t="s">
        <v>59</v>
      </c>
      <c r="L23" s="14" t="s">
        <v>93</v>
      </c>
      <c r="M23" s="14" t="s">
        <v>132</v>
      </c>
      <c r="N23" s="18" t="s">
        <v>21</v>
      </c>
      <c r="O23" s="14" t="s">
        <v>24</v>
      </c>
      <c r="P23" s="19">
        <v>42751.544444444444</v>
      </c>
      <c r="Q23" s="19">
        <v>42771.526388888888</v>
      </c>
      <c r="R23" s="19">
        <v>42760.443055555559</v>
      </c>
      <c r="S23" s="14" t="s">
        <v>518</v>
      </c>
      <c r="T23" s="14" t="s">
        <v>518</v>
      </c>
      <c r="U23" s="14" t="s">
        <v>1894</v>
      </c>
      <c r="V23" s="28">
        <v>42752</v>
      </c>
      <c r="W23" s="14">
        <v>0</v>
      </c>
      <c r="X23" s="14">
        <v>0</v>
      </c>
      <c r="Y23" s="14"/>
      <c r="Z23" s="14"/>
      <c r="AA23" s="14"/>
      <c r="AB23" s="14"/>
      <c r="AC23" s="14"/>
      <c r="AD23" s="14"/>
      <c r="AE23" s="14" t="s">
        <v>1895</v>
      </c>
      <c r="AF23" s="14" t="s">
        <v>1896</v>
      </c>
      <c r="AG23" s="14" t="s">
        <v>1897</v>
      </c>
      <c r="AH23" s="14"/>
      <c r="AI23" s="14"/>
      <c r="AJ23" s="14"/>
      <c r="AK23" s="14"/>
      <c r="AL23" s="14"/>
      <c r="AM23" s="14"/>
      <c r="AN23" s="14" t="s">
        <v>1898</v>
      </c>
      <c r="AO23" s="14" t="s">
        <v>1899</v>
      </c>
      <c r="AP23" s="14" t="s">
        <v>950</v>
      </c>
      <c r="AQ23" s="14" t="s">
        <v>1900</v>
      </c>
      <c r="AR23" s="69"/>
      <c r="AS23" s="69" t="s">
        <v>1892</v>
      </c>
      <c r="AT23" s="69" t="s">
        <v>1893</v>
      </c>
      <c r="AU23" s="81" t="str">
        <f>VLOOKUP(O23,[1]Lookup!A:B,2,FALSE)</f>
        <v>Test-SIT</v>
      </c>
      <c r="AV23" s="25" t="str">
        <f>VLOOKUP(test1[[#This Row],[Assignee]],lookup[#All],2,FALSE)</f>
        <v>Test-SIT</v>
      </c>
      <c r="AW23" s="25">
        <f ca="1">IF(test1[[#This Row],[Status]]&lt;&gt;"Closed", TODAY()-INT(test1[[#This Row],[Created]]),INT(test1[[#This Row],[Resolved]])-INT(test1[[#This Row],[Created]]))</f>
        <v>77</v>
      </c>
    </row>
    <row r="24" spans="1:49" ht="270.75" x14ac:dyDescent="0.2">
      <c r="A24" s="48" t="s">
        <v>86</v>
      </c>
      <c r="B24" s="29" t="s">
        <v>1841</v>
      </c>
      <c r="C24" s="27" t="s">
        <v>1884</v>
      </c>
      <c r="D24" s="53" t="s">
        <v>89</v>
      </c>
      <c r="E24" s="53" t="s">
        <v>1540</v>
      </c>
      <c r="F24" s="72"/>
      <c r="G24" s="72"/>
      <c r="H24" s="72"/>
      <c r="I24" s="72"/>
      <c r="J24" s="14" t="s">
        <v>91</v>
      </c>
      <c r="K24" s="14" t="s">
        <v>59</v>
      </c>
      <c r="L24" s="14" t="s">
        <v>124</v>
      </c>
      <c r="M24" s="14" t="s">
        <v>132</v>
      </c>
      <c r="N24" s="18" t="s">
        <v>24</v>
      </c>
      <c r="O24" s="14" t="s">
        <v>24</v>
      </c>
      <c r="P24" s="19">
        <v>42751.55</v>
      </c>
      <c r="Q24" s="19">
        <v>42771.526388888888</v>
      </c>
      <c r="R24" s="19">
        <v>42754.563888888886</v>
      </c>
      <c r="S24" s="14" t="s">
        <v>518</v>
      </c>
      <c r="T24" s="14"/>
      <c r="U24" s="14" t="s">
        <v>130</v>
      </c>
      <c r="V24" s="28">
        <v>42751</v>
      </c>
      <c r="W24" s="14">
        <v>0</v>
      </c>
      <c r="X24" s="14">
        <v>0</v>
      </c>
      <c r="Y24" s="14"/>
      <c r="Z24" s="14"/>
      <c r="AA24" s="14"/>
      <c r="AB24" s="14"/>
      <c r="AC24" s="14"/>
      <c r="AD24" s="14"/>
      <c r="AE24" s="14" t="s">
        <v>1885</v>
      </c>
      <c r="AF24" s="14" t="s">
        <v>1886</v>
      </c>
      <c r="AG24" s="14" t="s">
        <v>1887</v>
      </c>
      <c r="AH24" s="14"/>
      <c r="AI24" s="14"/>
      <c r="AJ24" s="14"/>
      <c r="AK24" s="14"/>
      <c r="AL24" s="14"/>
      <c r="AM24" s="14"/>
      <c r="AN24" s="14" t="s">
        <v>255</v>
      </c>
      <c r="AO24" s="14" t="s">
        <v>1888</v>
      </c>
      <c r="AP24" s="14" t="s">
        <v>950</v>
      </c>
      <c r="AQ24" s="14" t="s">
        <v>1889</v>
      </c>
      <c r="AR24" s="69"/>
      <c r="AS24" s="69" t="s">
        <v>89</v>
      </c>
      <c r="AT24" s="69" t="s">
        <v>1540</v>
      </c>
      <c r="AU24" s="81" t="str">
        <f>VLOOKUP(O24,[1]Lookup!A:B,2,FALSE)</f>
        <v>Test-SIT</v>
      </c>
      <c r="AV24" s="25" t="str">
        <f>VLOOKUP(test1[[#This Row],[Assignee]],lookup[#All],2,FALSE)</f>
        <v>Test-SIT</v>
      </c>
      <c r="AW24" s="25">
        <f ca="1">IF(test1[[#This Row],[Status]]&lt;&gt;"Closed", TODAY()-INT(test1[[#This Row],[Created]]),INT(test1[[#This Row],[Resolved]])-INT(test1[[#This Row],[Created]]))</f>
        <v>77</v>
      </c>
    </row>
    <row r="25" spans="1:49" ht="409.5" x14ac:dyDescent="0.2">
      <c r="A25" s="48" t="s">
        <v>86</v>
      </c>
      <c r="B25" s="29" t="s">
        <v>1880</v>
      </c>
      <c r="C25" s="27" t="s">
        <v>1881</v>
      </c>
      <c r="D25" s="53" t="s">
        <v>89</v>
      </c>
      <c r="E25" s="53" t="s">
        <v>507</v>
      </c>
      <c r="F25" s="72" t="s">
        <v>1201</v>
      </c>
      <c r="G25" s="72" t="s">
        <v>139</v>
      </c>
      <c r="H25" s="72"/>
      <c r="I25" s="72"/>
      <c r="J25" s="14" t="s">
        <v>91</v>
      </c>
      <c r="K25" s="14" t="s">
        <v>59</v>
      </c>
      <c r="L25" s="14" t="s">
        <v>93</v>
      </c>
      <c r="M25" s="14" t="s">
        <v>132</v>
      </c>
      <c r="N25" s="18" t="s">
        <v>21</v>
      </c>
      <c r="O25" s="14" t="s">
        <v>24</v>
      </c>
      <c r="P25" s="19">
        <v>42751.554166666669</v>
      </c>
      <c r="Q25" s="19">
        <v>42773.414583333331</v>
      </c>
      <c r="R25" s="19">
        <v>42773.414583333331</v>
      </c>
      <c r="S25" s="14" t="s">
        <v>518</v>
      </c>
      <c r="T25" s="14" t="s">
        <v>139</v>
      </c>
      <c r="U25" s="14" t="s">
        <v>412</v>
      </c>
      <c r="V25" s="28">
        <v>42752</v>
      </c>
      <c r="W25" s="14">
        <v>0</v>
      </c>
      <c r="X25" s="14">
        <v>0</v>
      </c>
      <c r="Y25" s="14"/>
      <c r="Z25" s="14"/>
      <c r="AA25" s="14"/>
      <c r="AB25" s="14"/>
      <c r="AC25" s="14"/>
      <c r="AD25" s="14"/>
      <c r="AE25" s="14"/>
      <c r="AF25" s="14" t="s">
        <v>1882</v>
      </c>
      <c r="AG25" s="14" t="s">
        <v>1883</v>
      </c>
      <c r="AH25" s="14"/>
      <c r="AI25" s="14"/>
      <c r="AJ25" s="14"/>
      <c r="AK25" s="14"/>
      <c r="AL25" s="14"/>
      <c r="AM25" s="14"/>
      <c r="AN25" s="14" t="s">
        <v>149</v>
      </c>
      <c r="AO25" s="14" t="s">
        <v>1755</v>
      </c>
      <c r="AP25" s="14" t="s">
        <v>950</v>
      </c>
      <c r="AQ25" s="14"/>
      <c r="AR25" s="69"/>
      <c r="AS25" s="69" t="s">
        <v>89</v>
      </c>
      <c r="AT25" s="69" t="s">
        <v>513</v>
      </c>
      <c r="AU25" s="81" t="str">
        <f>VLOOKUP(O25,[1]Lookup!A:B,2,FALSE)</f>
        <v>Test-SIT</v>
      </c>
      <c r="AV25" s="25" t="str">
        <f>VLOOKUP(test1[[#This Row],[Assignee]],lookup[#All],2,FALSE)</f>
        <v>Test-SIT</v>
      </c>
      <c r="AW25" s="25">
        <f ca="1">IF(test1[[#This Row],[Status]]&lt;&gt;"Closed", TODAY()-INT(test1[[#This Row],[Created]]),INT(test1[[#This Row],[Resolved]])-INT(test1[[#This Row],[Created]]))</f>
        <v>77</v>
      </c>
    </row>
    <row r="26" spans="1:49" ht="409.5" x14ac:dyDescent="0.2">
      <c r="A26" s="48" t="s">
        <v>86</v>
      </c>
      <c r="B26" s="29" t="s">
        <v>1876</v>
      </c>
      <c r="C26" s="27" t="s">
        <v>1877</v>
      </c>
      <c r="D26" s="53" t="s">
        <v>130</v>
      </c>
      <c r="E26" s="53" t="s">
        <v>416</v>
      </c>
      <c r="F26" s="76" t="s">
        <v>608</v>
      </c>
      <c r="G26" s="76" t="s">
        <v>659</v>
      </c>
      <c r="H26" s="76"/>
      <c r="I26" s="76" t="s">
        <v>609</v>
      </c>
      <c r="J26" s="14" t="s">
        <v>91</v>
      </c>
      <c r="K26" s="14" t="s">
        <v>59</v>
      </c>
      <c r="L26" s="14" t="s">
        <v>103</v>
      </c>
      <c r="M26" s="14" t="s">
        <v>132</v>
      </c>
      <c r="N26" s="18" t="s">
        <v>30</v>
      </c>
      <c r="O26" s="14" t="s">
        <v>24</v>
      </c>
      <c r="P26" s="19">
        <v>42751.561805555553</v>
      </c>
      <c r="Q26" s="19">
        <v>42794.549305555556</v>
      </c>
      <c r="R26" s="19">
        <v>42794.549305555556</v>
      </c>
      <c r="S26" s="14" t="s">
        <v>518</v>
      </c>
      <c r="T26" s="14" t="s">
        <v>659</v>
      </c>
      <c r="U26" s="14" t="s">
        <v>130</v>
      </c>
      <c r="V26" s="28">
        <v>42769</v>
      </c>
      <c r="W26" s="14">
        <v>0</v>
      </c>
      <c r="X26" s="14">
        <v>0</v>
      </c>
      <c r="Y26" s="14"/>
      <c r="Z26" s="14"/>
      <c r="AA26" s="14"/>
      <c r="AB26" s="14"/>
      <c r="AC26" s="14"/>
      <c r="AD26" s="14"/>
      <c r="AE26" s="14"/>
      <c r="AF26" s="14" t="s">
        <v>1878</v>
      </c>
      <c r="AG26" s="14" t="s">
        <v>1879</v>
      </c>
      <c r="AH26" s="14"/>
      <c r="AI26" s="14"/>
      <c r="AJ26" s="14"/>
      <c r="AK26" s="14"/>
      <c r="AL26" s="14"/>
      <c r="AM26" s="14"/>
      <c r="AN26" s="14" t="s">
        <v>416</v>
      </c>
      <c r="AO26" s="14" t="s">
        <v>605</v>
      </c>
      <c r="AP26" s="14" t="s">
        <v>950</v>
      </c>
      <c r="AQ26" s="14" t="s">
        <v>1771</v>
      </c>
      <c r="AR26" s="69"/>
      <c r="AS26" s="69" t="s">
        <v>130</v>
      </c>
      <c r="AT26" s="69" t="s">
        <v>416</v>
      </c>
      <c r="AU26" s="81" t="str">
        <f>VLOOKUP(O26,[1]Lookup!A:B,2,FALSE)</f>
        <v>Test-SIT</v>
      </c>
      <c r="AV26" s="25" t="str">
        <f>VLOOKUP(test1[[#This Row],[Assignee]],lookup[#All],2,FALSE)</f>
        <v>Test-SIT</v>
      </c>
      <c r="AW26" s="25">
        <f ca="1">IF(test1[[#This Row],[Status]]&lt;&gt;"Closed", TODAY()-INT(test1[[#This Row],[Created]]),INT(test1[[#This Row],[Resolved]])-INT(test1[[#This Row],[Created]]))</f>
        <v>77</v>
      </c>
    </row>
    <row r="27" spans="1:49" s="16" customFormat="1" ht="270.75" x14ac:dyDescent="0.2">
      <c r="A27" s="48" t="s">
        <v>86</v>
      </c>
      <c r="B27" s="29" t="s">
        <v>1763</v>
      </c>
      <c r="C27" s="27" t="s">
        <v>1871</v>
      </c>
      <c r="D27" s="53" t="s">
        <v>89</v>
      </c>
      <c r="E27" s="53" t="s">
        <v>193</v>
      </c>
      <c r="F27" s="72"/>
      <c r="G27" s="72" t="s">
        <v>518</v>
      </c>
      <c r="H27" s="72"/>
      <c r="I27" s="72"/>
      <c r="J27" s="14" t="s">
        <v>91</v>
      </c>
      <c r="K27" s="14" t="s">
        <v>59</v>
      </c>
      <c r="L27" s="14" t="s">
        <v>93</v>
      </c>
      <c r="M27" s="14" t="s">
        <v>132</v>
      </c>
      <c r="N27" s="18" t="s">
        <v>21</v>
      </c>
      <c r="O27" s="14" t="s">
        <v>24</v>
      </c>
      <c r="P27" s="19">
        <v>42751.602777777778</v>
      </c>
      <c r="Q27" s="19">
        <v>42771.573611111111</v>
      </c>
      <c r="R27" s="19">
        <v>42758.78125</v>
      </c>
      <c r="S27" s="14" t="s">
        <v>518</v>
      </c>
      <c r="T27" s="14" t="s">
        <v>518</v>
      </c>
      <c r="U27" s="14" t="s">
        <v>412</v>
      </c>
      <c r="V27" s="28">
        <v>42752</v>
      </c>
      <c r="W27" s="14">
        <v>0</v>
      </c>
      <c r="X27" s="14">
        <v>0</v>
      </c>
      <c r="Y27" s="14"/>
      <c r="Z27" s="14"/>
      <c r="AA27" s="14"/>
      <c r="AB27" s="14"/>
      <c r="AC27" s="14"/>
      <c r="AD27" s="14"/>
      <c r="AE27" s="14" t="s">
        <v>1872</v>
      </c>
      <c r="AF27" s="14" t="s">
        <v>1873</v>
      </c>
      <c r="AG27" s="14" t="s">
        <v>1874</v>
      </c>
      <c r="AH27" s="14"/>
      <c r="AI27" s="14"/>
      <c r="AJ27" s="14"/>
      <c r="AK27" s="14"/>
      <c r="AL27" s="14"/>
      <c r="AM27" s="14"/>
      <c r="AN27" s="14" t="s">
        <v>1105</v>
      </c>
      <c r="AO27" s="14" t="s">
        <v>1875</v>
      </c>
      <c r="AP27" s="14" t="s">
        <v>163</v>
      </c>
      <c r="AQ27" s="14" t="s">
        <v>1771</v>
      </c>
      <c r="AR27" s="53"/>
      <c r="AS27" s="53" t="s">
        <v>89</v>
      </c>
      <c r="AT27" s="53" t="s">
        <v>193</v>
      </c>
      <c r="AU27" s="51" t="str">
        <f>VLOOKUP(O27,[1]Lookup!A:B,2,FALSE)</f>
        <v>Test-SIT</v>
      </c>
      <c r="AV27" s="25" t="str">
        <f>VLOOKUP(test1[[#This Row],[Assignee]],lookup[#All],2,FALSE)</f>
        <v>Test-SIT</v>
      </c>
      <c r="AW27" s="25">
        <f ca="1">IF(test1[[#This Row],[Status]]&lt;&gt;"Closed", TODAY()-INT(test1[[#This Row],[Created]]),INT(test1[[#This Row],[Resolved]])-INT(test1[[#This Row],[Created]]))</f>
        <v>77</v>
      </c>
    </row>
    <row r="28" spans="1:49" s="16" customFormat="1" ht="409.5" x14ac:dyDescent="0.2">
      <c r="A28" s="48" t="s">
        <v>86</v>
      </c>
      <c r="B28" s="29" t="s">
        <v>1867</v>
      </c>
      <c r="C28" s="27" t="s">
        <v>1868</v>
      </c>
      <c r="D28" s="53" t="s">
        <v>89</v>
      </c>
      <c r="E28" s="53" t="s">
        <v>507</v>
      </c>
      <c r="F28" s="72"/>
      <c r="G28" s="72" t="s">
        <v>139</v>
      </c>
      <c r="H28" s="72"/>
      <c r="I28" s="72"/>
      <c r="J28" s="14" t="s">
        <v>91</v>
      </c>
      <c r="K28" s="14" t="s">
        <v>59</v>
      </c>
      <c r="L28" s="14" t="s">
        <v>93</v>
      </c>
      <c r="M28" s="14" t="s">
        <v>132</v>
      </c>
      <c r="N28" s="18" t="s">
        <v>21</v>
      </c>
      <c r="O28" s="14" t="s">
        <v>24</v>
      </c>
      <c r="P28" s="19">
        <v>42751.607638888891</v>
      </c>
      <c r="Q28" s="19">
        <v>42771.684027777781</v>
      </c>
      <c r="R28" s="19">
        <v>42771.684027777781</v>
      </c>
      <c r="S28" s="14" t="s">
        <v>518</v>
      </c>
      <c r="T28" s="14" t="s">
        <v>139</v>
      </c>
      <c r="U28" s="14" t="s">
        <v>412</v>
      </c>
      <c r="V28" s="28">
        <v>42752</v>
      </c>
      <c r="W28" s="14">
        <v>0</v>
      </c>
      <c r="X28" s="14">
        <v>0</v>
      </c>
      <c r="Y28" s="14"/>
      <c r="Z28" s="14"/>
      <c r="AA28" s="14"/>
      <c r="AB28" s="14"/>
      <c r="AC28" s="14"/>
      <c r="AD28" s="14"/>
      <c r="AE28" s="14"/>
      <c r="AF28" s="14" t="s">
        <v>1869</v>
      </c>
      <c r="AG28" s="14" t="s">
        <v>1870</v>
      </c>
      <c r="AH28" s="14"/>
      <c r="AI28" s="14"/>
      <c r="AJ28" s="14"/>
      <c r="AK28" s="14"/>
      <c r="AL28" s="14"/>
      <c r="AM28" s="14"/>
      <c r="AN28" s="14" t="s">
        <v>149</v>
      </c>
      <c r="AO28" s="14" t="s">
        <v>1755</v>
      </c>
      <c r="AP28" s="14" t="s">
        <v>163</v>
      </c>
      <c r="AQ28" s="14" t="s">
        <v>1771</v>
      </c>
      <c r="AR28" s="53"/>
      <c r="AS28" s="53" t="s">
        <v>89</v>
      </c>
      <c r="AT28" s="53" t="s">
        <v>513</v>
      </c>
      <c r="AU28" s="51" t="str">
        <f>VLOOKUP(O28,[1]Lookup!A:B,2,FALSE)</f>
        <v>Test-SIT</v>
      </c>
      <c r="AV28" s="25" t="str">
        <f>VLOOKUP(test1[[#This Row],[Assignee]],lookup[#All],2,FALSE)</f>
        <v>Test-SIT</v>
      </c>
      <c r="AW28" s="25">
        <f ca="1">IF(test1[[#This Row],[Status]]&lt;&gt;"Closed", TODAY()-INT(test1[[#This Row],[Created]]),INT(test1[[#This Row],[Resolved]])-INT(test1[[#This Row],[Created]]))</f>
        <v>77</v>
      </c>
    </row>
    <row r="29" spans="1:49" s="16" customFormat="1" ht="228" x14ac:dyDescent="0.2">
      <c r="A29" s="48" t="s">
        <v>86</v>
      </c>
      <c r="B29" s="29" t="s">
        <v>1863</v>
      </c>
      <c r="C29" s="27" t="s">
        <v>1864</v>
      </c>
      <c r="D29" s="53" t="s">
        <v>89</v>
      </c>
      <c r="E29" s="53" t="s">
        <v>1540</v>
      </c>
      <c r="F29" s="72"/>
      <c r="G29" s="72"/>
      <c r="H29" s="72"/>
      <c r="I29" s="72"/>
      <c r="J29" s="14" t="s">
        <v>91</v>
      </c>
      <c r="K29" s="14" t="s">
        <v>59</v>
      </c>
      <c r="L29" s="14" t="s">
        <v>124</v>
      </c>
      <c r="M29" s="14" t="s">
        <v>132</v>
      </c>
      <c r="N29" s="18" t="s">
        <v>24</v>
      </c>
      <c r="O29" s="14" t="s">
        <v>24</v>
      </c>
      <c r="P29" s="19">
        <v>42751.763888888891</v>
      </c>
      <c r="Q29" s="19">
        <v>42771.53125</v>
      </c>
      <c r="R29" s="19">
        <v>42753.681944444441</v>
      </c>
      <c r="S29" s="14" t="s">
        <v>518</v>
      </c>
      <c r="T29" s="14"/>
      <c r="U29" s="14" t="s">
        <v>130</v>
      </c>
      <c r="V29" s="28">
        <v>42751</v>
      </c>
      <c r="W29" s="14">
        <v>0</v>
      </c>
      <c r="X29" s="14">
        <v>0</v>
      </c>
      <c r="Y29" s="14"/>
      <c r="Z29" s="14"/>
      <c r="AA29" s="14"/>
      <c r="AB29" s="14"/>
      <c r="AC29" s="14"/>
      <c r="AD29" s="14"/>
      <c r="AE29" s="14"/>
      <c r="AF29" s="14" t="s">
        <v>1865</v>
      </c>
      <c r="AG29" s="14" t="s">
        <v>1866</v>
      </c>
      <c r="AH29" s="14"/>
      <c r="AI29" s="14"/>
      <c r="AJ29" s="14"/>
      <c r="AK29" s="14"/>
      <c r="AL29" s="14"/>
      <c r="AM29" s="14"/>
      <c r="AN29" s="14" t="s">
        <v>255</v>
      </c>
      <c r="AO29" s="14" t="s">
        <v>1830</v>
      </c>
      <c r="AP29" s="14" t="s">
        <v>250</v>
      </c>
      <c r="AQ29" s="14" t="s">
        <v>1771</v>
      </c>
      <c r="AR29" s="53"/>
      <c r="AS29" s="53" t="s">
        <v>89</v>
      </c>
      <c r="AT29" s="53" t="s">
        <v>1540</v>
      </c>
      <c r="AU29" s="51" t="str">
        <f>VLOOKUP(O29,[1]Lookup!A:B,2,FALSE)</f>
        <v>Test-SIT</v>
      </c>
      <c r="AV29" s="25" t="str">
        <f>VLOOKUP(test1[[#This Row],[Assignee]],lookup[#All],2,FALSE)</f>
        <v>Test-SIT</v>
      </c>
      <c r="AW29" s="25">
        <f ca="1">IF(test1[[#This Row],[Status]]&lt;&gt;"Closed", TODAY()-INT(test1[[#This Row],[Created]]),INT(test1[[#This Row],[Resolved]])-INT(test1[[#This Row],[Created]]))</f>
        <v>77</v>
      </c>
    </row>
    <row r="30" spans="1:49" s="16" customFormat="1" ht="199.5" x14ac:dyDescent="0.2">
      <c r="A30" s="48" t="s">
        <v>86</v>
      </c>
      <c r="B30" s="29" t="s">
        <v>1858</v>
      </c>
      <c r="C30" s="27" t="s">
        <v>1859</v>
      </c>
      <c r="D30" s="53" t="s">
        <v>89</v>
      </c>
      <c r="E30" s="53" t="s">
        <v>1540</v>
      </c>
      <c r="F30" s="72"/>
      <c r="G30" s="72"/>
      <c r="H30" s="72"/>
      <c r="I30" s="72"/>
      <c r="J30" s="14" t="s">
        <v>91</v>
      </c>
      <c r="K30" s="14" t="s">
        <v>59</v>
      </c>
      <c r="L30" s="14" t="s">
        <v>124</v>
      </c>
      <c r="M30" s="14" t="s">
        <v>132</v>
      </c>
      <c r="N30" s="18" t="s">
        <v>24</v>
      </c>
      <c r="O30" s="14" t="s">
        <v>24</v>
      </c>
      <c r="P30" s="19">
        <v>42751.775694444441</v>
      </c>
      <c r="Q30" s="19">
        <v>42771.53125</v>
      </c>
      <c r="R30" s="19">
        <v>42754.564583333333</v>
      </c>
      <c r="S30" s="14" t="s">
        <v>518</v>
      </c>
      <c r="T30" s="14"/>
      <c r="U30" s="14" t="s">
        <v>130</v>
      </c>
      <c r="V30" s="28">
        <v>42751</v>
      </c>
      <c r="W30" s="14">
        <v>0</v>
      </c>
      <c r="X30" s="14">
        <v>0</v>
      </c>
      <c r="Y30" s="14"/>
      <c r="Z30" s="14"/>
      <c r="AA30" s="14"/>
      <c r="AB30" s="14"/>
      <c r="AC30" s="14"/>
      <c r="AD30" s="14"/>
      <c r="AE30" s="14" t="s">
        <v>1841</v>
      </c>
      <c r="AF30" s="14" t="s">
        <v>1860</v>
      </c>
      <c r="AG30" s="14" t="s">
        <v>1861</v>
      </c>
      <c r="AH30" s="14"/>
      <c r="AI30" s="14"/>
      <c r="AJ30" s="14"/>
      <c r="AK30" s="14"/>
      <c r="AL30" s="14"/>
      <c r="AM30" s="14"/>
      <c r="AN30" s="14" t="s">
        <v>255</v>
      </c>
      <c r="AO30" s="14" t="s">
        <v>1862</v>
      </c>
      <c r="AP30" s="14" t="s">
        <v>950</v>
      </c>
      <c r="AQ30" s="14" t="s">
        <v>1771</v>
      </c>
      <c r="AR30" s="53"/>
      <c r="AS30" s="53" t="s">
        <v>89</v>
      </c>
      <c r="AT30" s="53" t="s">
        <v>1540</v>
      </c>
      <c r="AU30" s="51" t="str">
        <f>VLOOKUP(O30,[1]Lookup!A:B,2,FALSE)</f>
        <v>Test-SIT</v>
      </c>
      <c r="AV30" s="25" t="str">
        <f>VLOOKUP(test1[[#This Row],[Assignee]],lookup[#All],2,FALSE)</f>
        <v>Test-SIT</v>
      </c>
      <c r="AW30" s="25">
        <f ca="1">IF(test1[[#This Row],[Status]]&lt;&gt;"Closed", TODAY()-INT(test1[[#This Row],[Created]]),INT(test1[[#This Row],[Resolved]])-INT(test1[[#This Row],[Created]]))</f>
        <v>77</v>
      </c>
    </row>
    <row r="31" spans="1:49" ht="228" x14ac:dyDescent="0.2">
      <c r="A31" s="48" t="s">
        <v>86</v>
      </c>
      <c r="B31" s="29" t="s">
        <v>1854</v>
      </c>
      <c r="C31" s="27" t="s">
        <v>1855</v>
      </c>
      <c r="D31" s="53" t="s">
        <v>89</v>
      </c>
      <c r="E31" s="53" t="s">
        <v>1540</v>
      </c>
      <c r="F31" s="72"/>
      <c r="G31" s="72"/>
      <c r="H31" s="72"/>
      <c r="I31" s="72"/>
      <c r="J31" s="14" t="s">
        <v>91</v>
      </c>
      <c r="K31" s="14" t="s">
        <v>59</v>
      </c>
      <c r="L31" s="14" t="s">
        <v>124</v>
      </c>
      <c r="M31" s="14" t="s">
        <v>132</v>
      </c>
      <c r="N31" s="18" t="s">
        <v>24</v>
      </c>
      <c r="O31" s="14" t="s">
        <v>24</v>
      </c>
      <c r="P31" s="19">
        <v>42751.78125</v>
      </c>
      <c r="Q31" s="19">
        <v>42771.531944444447</v>
      </c>
      <c r="R31" s="19">
        <v>42754.56527777778</v>
      </c>
      <c r="S31" s="14" t="s">
        <v>518</v>
      </c>
      <c r="T31" s="14"/>
      <c r="U31" s="14" t="s">
        <v>130</v>
      </c>
      <c r="V31" s="28">
        <v>42751</v>
      </c>
      <c r="W31" s="14">
        <v>0</v>
      </c>
      <c r="X31" s="14">
        <v>0</v>
      </c>
      <c r="Y31" s="14"/>
      <c r="Z31" s="14"/>
      <c r="AA31" s="14"/>
      <c r="AB31" s="14"/>
      <c r="AC31" s="14"/>
      <c r="AD31" s="14"/>
      <c r="AE31" s="14"/>
      <c r="AF31" s="14" t="s">
        <v>1856</v>
      </c>
      <c r="AG31" s="14" t="s">
        <v>1857</v>
      </c>
      <c r="AH31" s="14"/>
      <c r="AI31" s="14"/>
      <c r="AJ31" s="14"/>
      <c r="AK31" s="14"/>
      <c r="AL31" s="14"/>
      <c r="AM31" s="14"/>
      <c r="AN31" s="14" t="s">
        <v>255</v>
      </c>
      <c r="AO31" s="14"/>
      <c r="AP31" s="14" t="s">
        <v>163</v>
      </c>
      <c r="AQ31" s="14"/>
      <c r="AR31" s="69"/>
      <c r="AS31" s="69" t="s">
        <v>89</v>
      </c>
      <c r="AT31" s="69" t="s">
        <v>1540</v>
      </c>
      <c r="AU31" s="81" t="str">
        <f>VLOOKUP(O31,[1]Lookup!A:B,2,FALSE)</f>
        <v>Test-SIT</v>
      </c>
      <c r="AV31" s="25" t="str">
        <f>VLOOKUP(test1[[#This Row],[Assignee]],lookup[#All],2,FALSE)</f>
        <v>Test-SIT</v>
      </c>
      <c r="AW31" s="25">
        <f ca="1">IF(test1[[#This Row],[Status]]&lt;&gt;"Closed", TODAY()-INT(test1[[#This Row],[Created]]),INT(test1[[#This Row],[Resolved]])-INT(test1[[#This Row],[Created]]))</f>
        <v>77</v>
      </c>
    </row>
    <row r="32" spans="1:49" ht="399" x14ac:dyDescent="0.2">
      <c r="A32" s="48" t="s">
        <v>86</v>
      </c>
      <c r="B32" s="29" t="s">
        <v>1849</v>
      </c>
      <c r="C32" s="27" t="s">
        <v>1850</v>
      </c>
      <c r="D32" s="53" t="s">
        <v>89</v>
      </c>
      <c r="E32" s="53" t="s">
        <v>1540</v>
      </c>
      <c r="F32" s="72"/>
      <c r="G32" s="72"/>
      <c r="H32" s="72"/>
      <c r="I32" s="72"/>
      <c r="J32" s="14" t="s">
        <v>91</v>
      </c>
      <c r="K32" s="14" t="s">
        <v>59</v>
      </c>
      <c r="L32" s="14" t="s">
        <v>124</v>
      </c>
      <c r="M32" s="14" t="s">
        <v>132</v>
      </c>
      <c r="N32" s="18" t="s">
        <v>24</v>
      </c>
      <c r="O32" s="14" t="s">
        <v>24</v>
      </c>
      <c r="P32" s="19">
        <v>42751.790277777778</v>
      </c>
      <c r="Q32" s="19">
        <v>42771.531944444447</v>
      </c>
      <c r="R32" s="19">
        <v>42753.574999999997</v>
      </c>
      <c r="S32" s="14" t="s">
        <v>518</v>
      </c>
      <c r="T32" s="14"/>
      <c r="U32" s="14" t="s">
        <v>130</v>
      </c>
      <c r="V32" s="28">
        <v>42751</v>
      </c>
      <c r="W32" s="14">
        <v>0</v>
      </c>
      <c r="X32" s="14">
        <v>0</v>
      </c>
      <c r="Y32" s="14"/>
      <c r="Z32" s="14"/>
      <c r="AA32" s="14"/>
      <c r="AB32" s="14"/>
      <c r="AC32" s="14"/>
      <c r="AD32" s="14"/>
      <c r="AE32" s="14" t="s">
        <v>1841</v>
      </c>
      <c r="AF32" s="14" t="s">
        <v>1851</v>
      </c>
      <c r="AG32" s="14" t="s">
        <v>1852</v>
      </c>
      <c r="AH32" s="14"/>
      <c r="AI32" s="14"/>
      <c r="AJ32" s="14"/>
      <c r="AK32" s="14"/>
      <c r="AL32" s="14"/>
      <c r="AM32" s="14"/>
      <c r="AN32" s="14" t="s">
        <v>255</v>
      </c>
      <c r="AO32" s="14" t="s">
        <v>1853</v>
      </c>
      <c r="AP32" s="14" t="s">
        <v>556</v>
      </c>
      <c r="AQ32" s="14"/>
      <c r="AR32" s="53"/>
      <c r="AS32" s="53" t="s">
        <v>89</v>
      </c>
      <c r="AT32" s="53" t="s">
        <v>1540</v>
      </c>
      <c r="AU32" s="51" t="str">
        <f>VLOOKUP(O32,[1]Lookup!A:B,2,FALSE)</f>
        <v>Test-SIT</v>
      </c>
      <c r="AV32" s="25" t="str">
        <f>VLOOKUP(test1[[#This Row],[Assignee]],lookup[#All],2,FALSE)</f>
        <v>Test-SIT</v>
      </c>
      <c r="AW32" s="25">
        <f ca="1">IF(test1[[#This Row],[Status]]&lt;&gt;"Closed", TODAY()-INT(test1[[#This Row],[Created]]),INT(test1[[#This Row],[Resolved]])-INT(test1[[#This Row],[Created]]))</f>
        <v>77</v>
      </c>
    </row>
    <row r="33" spans="1:49" ht="228" x14ac:dyDescent="0.2">
      <c r="A33" s="48" t="s">
        <v>86</v>
      </c>
      <c r="B33" s="29" t="s">
        <v>1845</v>
      </c>
      <c r="C33" s="27" t="s">
        <v>1846</v>
      </c>
      <c r="D33" s="53" t="s">
        <v>89</v>
      </c>
      <c r="E33" s="53" t="s">
        <v>1540</v>
      </c>
      <c r="F33" s="72"/>
      <c r="G33" s="72"/>
      <c r="H33" s="72"/>
      <c r="I33" s="72"/>
      <c r="J33" s="14" t="s">
        <v>91</v>
      </c>
      <c r="K33" s="14" t="s">
        <v>59</v>
      </c>
      <c r="L33" s="14" t="s">
        <v>124</v>
      </c>
      <c r="M33" s="14" t="s">
        <v>132</v>
      </c>
      <c r="N33" s="18" t="s">
        <v>24</v>
      </c>
      <c r="O33" s="14" t="s">
        <v>24</v>
      </c>
      <c r="P33" s="19">
        <v>42751.8</v>
      </c>
      <c r="Q33" s="19">
        <v>42771.540277777778</v>
      </c>
      <c r="R33" s="19">
        <v>42753.576388888891</v>
      </c>
      <c r="S33" s="14" t="s">
        <v>518</v>
      </c>
      <c r="T33" s="14"/>
      <c r="U33" s="14" t="s">
        <v>130</v>
      </c>
      <c r="V33" s="28">
        <v>42751</v>
      </c>
      <c r="W33" s="14">
        <v>0</v>
      </c>
      <c r="X33" s="14">
        <v>0</v>
      </c>
      <c r="Y33" s="14"/>
      <c r="Z33" s="14"/>
      <c r="AA33" s="14"/>
      <c r="AB33" s="14"/>
      <c r="AC33" s="14"/>
      <c r="AD33" s="14"/>
      <c r="AE33" s="14"/>
      <c r="AF33" s="14" t="s">
        <v>1847</v>
      </c>
      <c r="AG33" s="14" t="s">
        <v>1848</v>
      </c>
      <c r="AH33" s="14"/>
      <c r="AI33" s="14"/>
      <c r="AJ33" s="14"/>
      <c r="AK33" s="14"/>
      <c r="AL33" s="14"/>
      <c r="AM33" s="14"/>
      <c r="AN33" s="14" t="s">
        <v>408</v>
      </c>
      <c r="AO33" s="14" t="s">
        <v>1830</v>
      </c>
      <c r="AP33" s="14" t="s">
        <v>556</v>
      </c>
      <c r="AQ33" s="14"/>
      <c r="AR33" s="53"/>
      <c r="AS33" s="53" t="s">
        <v>89</v>
      </c>
      <c r="AT33" s="53" t="s">
        <v>1540</v>
      </c>
      <c r="AU33" s="51" t="str">
        <f>VLOOKUP(O33,[1]Lookup!A:B,2,FALSE)</f>
        <v>Test-SIT</v>
      </c>
      <c r="AV33" s="25" t="str">
        <f>VLOOKUP(test1[[#This Row],[Assignee]],lookup[#All],2,FALSE)</f>
        <v>Test-SIT</v>
      </c>
      <c r="AW33" s="25">
        <f ca="1">IF(test1[[#This Row],[Status]]&lt;&gt;"Closed", TODAY()-INT(test1[[#This Row],[Created]]),INT(test1[[#This Row],[Resolved]])-INT(test1[[#This Row],[Created]]))</f>
        <v>77</v>
      </c>
    </row>
    <row r="34" spans="1:49" ht="342" x14ac:dyDescent="0.2">
      <c r="A34" s="48" t="s">
        <v>86</v>
      </c>
      <c r="B34" s="29" t="s">
        <v>1839</v>
      </c>
      <c r="C34" s="27" t="s">
        <v>1840</v>
      </c>
      <c r="D34" s="53" t="s">
        <v>130</v>
      </c>
      <c r="E34" s="53" t="s">
        <v>692</v>
      </c>
      <c r="F34" s="72"/>
      <c r="G34" s="72"/>
      <c r="H34" s="72"/>
      <c r="I34" s="72"/>
      <c r="J34" s="14" t="s">
        <v>91</v>
      </c>
      <c r="K34" s="14" t="s">
        <v>59</v>
      </c>
      <c r="L34" s="14" t="s">
        <v>124</v>
      </c>
      <c r="M34" s="14" t="s">
        <v>132</v>
      </c>
      <c r="N34" s="18" t="s">
        <v>24</v>
      </c>
      <c r="O34" s="14" t="s">
        <v>24</v>
      </c>
      <c r="P34" s="19">
        <v>42751.813888888886</v>
      </c>
      <c r="Q34" s="19">
        <v>42771.540277777778</v>
      </c>
      <c r="R34" s="19">
        <v>42753.621527777781</v>
      </c>
      <c r="S34" s="14" t="s">
        <v>518</v>
      </c>
      <c r="T34" s="14"/>
      <c r="U34" s="14" t="s">
        <v>130</v>
      </c>
      <c r="V34" s="28">
        <v>42751</v>
      </c>
      <c r="W34" s="14">
        <v>0</v>
      </c>
      <c r="X34" s="14">
        <v>0</v>
      </c>
      <c r="Y34" s="14"/>
      <c r="Z34" s="14"/>
      <c r="AA34" s="14"/>
      <c r="AB34" s="14"/>
      <c r="AC34" s="14"/>
      <c r="AD34" s="14"/>
      <c r="AE34" s="14" t="s">
        <v>1841</v>
      </c>
      <c r="AF34" s="14" t="s">
        <v>1842</v>
      </c>
      <c r="AG34" s="14" t="s">
        <v>1843</v>
      </c>
      <c r="AH34" s="14"/>
      <c r="AI34" s="14"/>
      <c r="AJ34" s="14"/>
      <c r="AK34" s="14"/>
      <c r="AL34" s="14"/>
      <c r="AM34" s="14"/>
      <c r="AN34" s="14" t="s">
        <v>408</v>
      </c>
      <c r="AO34" s="14" t="s">
        <v>1844</v>
      </c>
      <c r="AP34" s="14" t="s">
        <v>556</v>
      </c>
      <c r="AQ34" s="14"/>
      <c r="AR34" s="53"/>
      <c r="AS34" s="53" t="s">
        <v>130</v>
      </c>
      <c r="AT34" s="53" t="s">
        <v>408</v>
      </c>
      <c r="AU34" s="51" t="str">
        <f>VLOOKUP(O34,[1]Lookup!A:B,2,FALSE)</f>
        <v>Test-SIT</v>
      </c>
      <c r="AV34" s="25" t="str">
        <f>VLOOKUP(test1[[#This Row],[Assignee]],lookup[#All],2,FALSE)</f>
        <v>Test-SIT</v>
      </c>
      <c r="AW34" s="25">
        <f ca="1">IF(test1[[#This Row],[Status]]&lt;&gt;"Closed", TODAY()-INT(test1[[#This Row],[Created]]),INT(test1[[#This Row],[Resolved]])-INT(test1[[#This Row],[Created]]))</f>
        <v>77</v>
      </c>
    </row>
    <row r="35" spans="1:49" ht="213.75" x14ac:dyDescent="0.2">
      <c r="A35" s="48" t="s">
        <v>86</v>
      </c>
      <c r="B35" s="29" t="s">
        <v>1835</v>
      </c>
      <c r="C35" s="27" t="s">
        <v>1836</v>
      </c>
      <c r="D35" s="53" t="s">
        <v>130</v>
      </c>
      <c r="E35" s="53" t="s">
        <v>692</v>
      </c>
      <c r="F35" s="72"/>
      <c r="G35" s="72"/>
      <c r="H35" s="72"/>
      <c r="I35" s="72"/>
      <c r="J35" s="14" t="s">
        <v>91</v>
      </c>
      <c r="K35" s="14" t="s">
        <v>59</v>
      </c>
      <c r="L35" s="14" t="s">
        <v>124</v>
      </c>
      <c r="M35" s="14" t="s">
        <v>132</v>
      </c>
      <c r="N35" s="18" t="s">
        <v>24</v>
      </c>
      <c r="O35" s="14" t="s">
        <v>24</v>
      </c>
      <c r="P35" s="19">
        <v>42751.822222222225</v>
      </c>
      <c r="Q35" s="19">
        <v>42771.540277777778</v>
      </c>
      <c r="R35" s="19">
        <v>42753.472916666666</v>
      </c>
      <c r="S35" s="14" t="s">
        <v>518</v>
      </c>
      <c r="T35" s="14"/>
      <c r="U35" s="14" t="s">
        <v>130</v>
      </c>
      <c r="V35" s="28">
        <v>42751</v>
      </c>
      <c r="W35" s="14">
        <v>0</v>
      </c>
      <c r="X35" s="14">
        <v>0</v>
      </c>
      <c r="Y35" s="14"/>
      <c r="Z35" s="14"/>
      <c r="AA35" s="14"/>
      <c r="AB35" s="14"/>
      <c r="AC35" s="14"/>
      <c r="AD35" s="14"/>
      <c r="AE35" s="14"/>
      <c r="AF35" s="14" t="s">
        <v>1837</v>
      </c>
      <c r="AG35" s="14" t="s">
        <v>1838</v>
      </c>
      <c r="AH35" s="14"/>
      <c r="AI35" s="14"/>
      <c r="AJ35" s="14"/>
      <c r="AK35" s="14"/>
      <c r="AL35" s="14"/>
      <c r="AM35" s="14"/>
      <c r="AN35" s="14" t="s">
        <v>408</v>
      </c>
      <c r="AO35" s="14" t="s">
        <v>1830</v>
      </c>
      <c r="AP35" s="14" t="s">
        <v>865</v>
      </c>
      <c r="AQ35" s="14"/>
      <c r="AR35" s="53"/>
      <c r="AS35" s="53" t="s">
        <v>130</v>
      </c>
      <c r="AT35" s="53" t="s">
        <v>408</v>
      </c>
      <c r="AU35" s="51" t="str">
        <f>VLOOKUP(O35,[1]Lookup!A:B,2,FALSE)</f>
        <v>Test-SIT</v>
      </c>
      <c r="AV35" s="25" t="str">
        <f>VLOOKUP(test1[[#This Row],[Assignee]],lookup[#All],2,FALSE)</f>
        <v>Test-SIT</v>
      </c>
      <c r="AW35" s="25">
        <f ca="1">IF(test1[[#This Row],[Status]]&lt;&gt;"Closed", TODAY()-INT(test1[[#This Row],[Created]]),INT(test1[[#This Row],[Resolved]])-INT(test1[[#This Row],[Created]]))</f>
        <v>77</v>
      </c>
    </row>
    <row r="36" spans="1:49" ht="228" x14ac:dyDescent="0.2">
      <c r="A36" s="48" t="s">
        <v>86</v>
      </c>
      <c r="B36" s="29" t="s">
        <v>1831</v>
      </c>
      <c r="C36" s="27" t="s">
        <v>1832</v>
      </c>
      <c r="D36" s="53" t="s">
        <v>130</v>
      </c>
      <c r="E36" s="53" t="s">
        <v>692</v>
      </c>
      <c r="F36" s="72"/>
      <c r="G36" s="72"/>
      <c r="H36" s="72"/>
      <c r="I36" s="72"/>
      <c r="J36" s="14" t="s">
        <v>91</v>
      </c>
      <c r="K36" s="14" t="s">
        <v>59</v>
      </c>
      <c r="L36" s="14" t="s">
        <v>124</v>
      </c>
      <c r="M36" s="14" t="s">
        <v>132</v>
      </c>
      <c r="N36" s="18" t="s">
        <v>24</v>
      </c>
      <c r="O36" s="14" t="s">
        <v>24</v>
      </c>
      <c r="P36" s="19">
        <v>42751.824305555558</v>
      </c>
      <c r="Q36" s="19">
        <v>42771.540972222225</v>
      </c>
      <c r="R36" s="19">
        <v>42753.473611111112</v>
      </c>
      <c r="S36" s="14" t="s">
        <v>518</v>
      </c>
      <c r="T36" s="14"/>
      <c r="U36" s="14" t="s">
        <v>130</v>
      </c>
      <c r="V36" s="28">
        <v>42751</v>
      </c>
      <c r="W36" s="14">
        <v>0</v>
      </c>
      <c r="X36" s="14">
        <v>0</v>
      </c>
      <c r="Y36" s="14"/>
      <c r="Z36" s="14"/>
      <c r="AA36" s="14"/>
      <c r="AB36" s="14"/>
      <c r="AC36" s="14"/>
      <c r="AD36" s="14"/>
      <c r="AE36" s="14"/>
      <c r="AF36" s="14" t="s">
        <v>1833</v>
      </c>
      <c r="AG36" s="14" t="s">
        <v>1834</v>
      </c>
      <c r="AH36" s="14"/>
      <c r="AI36" s="14"/>
      <c r="AJ36" s="14"/>
      <c r="AK36" s="14"/>
      <c r="AL36" s="14"/>
      <c r="AM36" s="14"/>
      <c r="AN36" s="14" t="s">
        <v>408</v>
      </c>
      <c r="AO36" s="14" t="s">
        <v>1830</v>
      </c>
      <c r="AP36" s="14" t="s">
        <v>865</v>
      </c>
      <c r="AQ36" s="14"/>
      <c r="AR36" s="53"/>
      <c r="AS36" s="53" t="s">
        <v>130</v>
      </c>
      <c r="AT36" s="53" t="s">
        <v>408</v>
      </c>
      <c r="AU36" s="51" t="str">
        <f>VLOOKUP(O36,[1]Lookup!A:B,2,FALSE)</f>
        <v>Test-SIT</v>
      </c>
      <c r="AV36" s="25" t="str">
        <f>VLOOKUP(test1[[#This Row],[Assignee]],lookup[#All],2,FALSE)</f>
        <v>Test-SIT</v>
      </c>
      <c r="AW36" s="25">
        <f ca="1">IF(test1[[#This Row],[Status]]&lt;&gt;"Closed", TODAY()-INT(test1[[#This Row],[Created]]),INT(test1[[#This Row],[Resolved]])-INT(test1[[#This Row],[Created]]))</f>
        <v>77</v>
      </c>
    </row>
    <row r="37" spans="1:49" ht="242.25" x14ac:dyDescent="0.2">
      <c r="A37" s="48" t="s">
        <v>86</v>
      </c>
      <c r="B37" s="29" t="s">
        <v>1826</v>
      </c>
      <c r="C37" s="27" t="s">
        <v>1827</v>
      </c>
      <c r="D37" s="53" t="s">
        <v>130</v>
      </c>
      <c r="E37" s="53" t="s">
        <v>692</v>
      </c>
      <c r="F37" s="72"/>
      <c r="G37" s="72"/>
      <c r="H37" s="72"/>
      <c r="I37" s="72"/>
      <c r="J37" s="14" t="s">
        <v>91</v>
      </c>
      <c r="K37" s="14" t="s">
        <v>59</v>
      </c>
      <c r="L37" s="14" t="s">
        <v>124</v>
      </c>
      <c r="M37" s="14" t="s">
        <v>132</v>
      </c>
      <c r="N37" s="18" t="s">
        <v>24</v>
      </c>
      <c r="O37" s="14" t="s">
        <v>24</v>
      </c>
      <c r="P37" s="19">
        <v>42751.834722222222</v>
      </c>
      <c r="Q37" s="19">
        <v>42771.540972222225</v>
      </c>
      <c r="R37" s="19">
        <v>42753.474305555559</v>
      </c>
      <c r="S37" s="14" t="s">
        <v>518</v>
      </c>
      <c r="T37" s="14"/>
      <c r="U37" s="14" t="s">
        <v>130</v>
      </c>
      <c r="V37" s="28">
        <v>42751</v>
      </c>
      <c r="W37" s="14">
        <v>0</v>
      </c>
      <c r="X37" s="14">
        <v>0</v>
      </c>
      <c r="Y37" s="14"/>
      <c r="Z37" s="14"/>
      <c r="AA37" s="14"/>
      <c r="AB37" s="14"/>
      <c r="AC37" s="14"/>
      <c r="AD37" s="14"/>
      <c r="AE37" s="14"/>
      <c r="AF37" s="14" t="s">
        <v>1828</v>
      </c>
      <c r="AG37" s="14" t="s">
        <v>1829</v>
      </c>
      <c r="AH37" s="14"/>
      <c r="AI37" s="14"/>
      <c r="AJ37" s="14"/>
      <c r="AK37" s="14"/>
      <c r="AL37" s="14"/>
      <c r="AM37" s="14"/>
      <c r="AN37" s="14" t="s">
        <v>408</v>
      </c>
      <c r="AO37" s="14" t="s">
        <v>1830</v>
      </c>
      <c r="AP37" s="14" t="s">
        <v>865</v>
      </c>
      <c r="AQ37" s="14" t="s">
        <v>1771</v>
      </c>
      <c r="AR37" s="53"/>
      <c r="AS37" s="53" t="s">
        <v>130</v>
      </c>
      <c r="AT37" s="53" t="s">
        <v>408</v>
      </c>
      <c r="AU37" s="51" t="str">
        <f>VLOOKUP(O37,[1]Lookup!A:B,2,FALSE)</f>
        <v>Test-SIT</v>
      </c>
      <c r="AV37" s="25" t="str">
        <f>VLOOKUP(test1[[#This Row],[Assignee]],lookup[#All],2,FALSE)</f>
        <v>Test-SIT</v>
      </c>
      <c r="AW37" s="25">
        <f ca="1">IF(test1[[#This Row],[Status]]&lt;&gt;"Closed", TODAY()-INT(test1[[#This Row],[Created]]),INT(test1[[#This Row],[Resolved]])-INT(test1[[#This Row],[Created]]))</f>
        <v>77</v>
      </c>
    </row>
    <row r="38" spans="1:49" ht="242.25" x14ac:dyDescent="0.2">
      <c r="A38" s="48" t="s">
        <v>86</v>
      </c>
      <c r="B38" s="29" t="s">
        <v>1821</v>
      </c>
      <c r="C38" s="27" t="s">
        <v>1822</v>
      </c>
      <c r="D38" s="53" t="s">
        <v>130</v>
      </c>
      <c r="E38" s="53" t="s">
        <v>692</v>
      </c>
      <c r="F38" s="72"/>
      <c r="G38" s="72"/>
      <c r="H38" s="72"/>
      <c r="I38" s="72"/>
      <c r="J38" s="14" t="s">
        <v>91</v>
      </c>
      <c r="K38" s="14" t="s">
        <v>59</v>
      </c>
      <c r="L38" s="14" t="s">
        <v>124</v>
      </c>
      <c r="M38" s="14" t="s">
        <v>132</v>
      </c>
      <c r="N38" s="18" t="s">
        <v>24</v>
      </c>
      <c r="O38" s="14" t="s">
        <v>24</v>
      </c>
      <c r="P38" s="19">
        <v>42751.836111111108</v>
      </c>
      <c r="Q38" s="19">
        <v>42771.540972222225</v>
      </c>
      <c r="R38" s="19">
        <v>42753.484027777777</v>
      </c>
      <c r="S38" s="14" t="s">
        <v>518</v>
      </c>
      <c r="T38" s="14"/>
      <c r="U38" s="14" t="s">
        <v>130</v>
      </c>
      <c r="V38" s="28">
        <v>42751</v>
      </c>
      <c r="W38" s="14">
        <v>0</v>
      </c>
      <c r="X38" s="14">
        <v>1</v>
      </c>
      <c r="Y38" s="14"/>
      <c r="Z38" s="14"/>
      <c r="AA38" s="14"/>
      <c r="AB38" s="14"/>
      <c r="AC38" s="14"/>
      <c r="AD38" s="14"/>
      <c r="AE38" s="14"/>
      <c r="AF38" s="14" t="s">
        <v>1823</v>
      </c>
      <c r="AG38" s="14" t="s">
        <v>1824</v>
      </c>
      <c r="AH38" s="14"/>
      <c r="AI38" s="14"/>
      <c r="AJ38" s="14"/>
      <c r="AK38" s="14"/>
      <c r="AL38" s="14"/>
      <c r="AM38" s="14"/>
      <c r="AN38" s="14" t="s">
        <v>408</v>
      </c>
      <c r="AO38" s="14" t="s">
        <v>1825</v>
      </c>
      <c r="AP38" s="14" t="s">
        <v>865</v>
      </c>
      <c r="AQ38" s="14" t="s">
        <v>1771</v>
      </c>
      <c r="AR38" s="53"/>
      <c r="AS38" s="53" t="s">
        <v>130</v>
      </c>
      <c r="AT38" s="53" t="s">
        <v>408</v>
      </c>
      <c r="AU38" s="51" t="str">
        <f>VLOOKUP(O38,[1]Lookup!A:B,2,FALSE)</f>
        <v>Test-SIT</v>
      </c>
      <c r="AV38" s="25" t="str">
        <f>VLOOKUP(test1[[#This Row],[Assignee]],lookup[#All],2,FALSE)</f>
        <v>Test-SIT</v>
      </c>
      <c r="AW38" s="25">
        <f ca="1">IF(test1[[#This Row],[Status]]&lt;&gt;"Closed", TODAY()-INT(test1[[#This Row],[Created]]),INT(test1[[#This Row],[Resolved]])-INT(test1[[#This Row],[Created]]))</f>
        <v>77</v>
      </c>
    </row>
    <row r="39" spans="1:49" ht="409.5" x14ac:dyDescent="0.2">
      <c r="A39" s="48" t="s">
        <v>86</v>
      </c>
      <c r="B39" s="29" t="s">
        <v>1817</v>
      </c>
      <c r="C39" s="27" t="s">
        <v>1818</v>
      </c>
      <c r="D39" s="53" t="s">
        <v>241</v>
      </c>
      <c r="E39" s="53" t="s">
        <v>166</v>
      </c>
      <c r="F39" s="72"/>
      <c r="G39" s="72" t="s">
        <v>139</v>
      </c>
      <c r="H39" s="72"/>
      <c r="I39" s="72"/>
      <c r="J39" s="14" t="s">
        <v>91</v>
      </c>
      <c r="K39" s="14" t="s">
        <v>59</v>
      </c>
      <c r="L39" s="14" t="s">
        <v>93</v>
      </c>
      <c r="M39" s="14" t="s">
        <v>132</v>
      </c>
      <c r="N39" s="18" t="s">
        <v>21</v>
      </c>
      <c r="O39" s="14" t="s">
        <v>21</v>
      </c>
      <c r="P39" s="19">
        <v>42752.401388888888</v>
      </c>
      <c r="Q39" s="19">
        <v>42771.541666666664</v>
      </c>
      <c r="R39" s="19">
        <v>42764.724305555559</v>
      </c>
      <c r="S39" s="14" t="s">
        <v>518</v>
      </c>
      <c r="T39" s="14" t="s">
        <v>139</v>
      </c>
      <c r="U39" s="14" t="s">
        <v>241</v>
      </c>
      <c r="V39" s="14"/>
      <c r="W39" s="14">
        <v>0</v>
      </c>
      <c r="X39" s="14">
        <v>1</v>
      </c>
      <c r="Y39" s="14"/>
      <c r="Z39" s="14"/>
      <c r="AA39" s="14"/>
      <c r="AB39" s="14"/>
      <c r="AC39" s="14"/>
      <c r="AD39" s="14"/>
      <c r="AE39" s="14"/>
      <c r="AF39" s="14" t="s">
        <v>1819</v>
      </c>
      <c r="AG39" s="14" t="s">
        <v>1820</v>
      </c>
      <c r="AH39" s="14"/>
      <c r="AI39" s="14"/>
      <c r="AJ39" s="14"/>
      <c r="AK39" s="14"/>
      <c r="AL39" s="14"/>
      <c r="AM39" s="14"/>
      <c r="AN39" s="14" t="s">
        <v>235</v>
      </c>
      <c r="AO39" s="14" t="s">
        <v>261</v>
      </c>
      <c r="AP39" s="14"/>
      <c r="AQ39" s="14"/>
      <c r="AR39" s="53"/>
      <c r="AS39" s="53" t="s">
        <v>241</v>
      </c>
      <c r="AT39" s="53" t="s">
        <v>959</v>
      </c>
      <c r="AU39" s="51" t="str">
        <f>VLOOKUP(O39,[1]Lookup!A:B,2,FALSE)</f>
        <v>Test-SIT</v>
      </c>
      <c r="AV39" s="25" t="str">
        <f>VLOOKUP(test1[[#This Row],[Assignee]],lookup[#All],2,FALSE)</f>
        <v>Test-SIT</v>
      </c>
      <c r="AW39" s="25">
        <f ca="1">IF(test1[[#This Row],[Status]]&lt;&gt;"Closed", TODAY()-INT(test1[[#This Row],[Created]]),INT(test1[[#This Row],[Resolved]])-INT(test1[[#This Row],[Created]]))</f>
        <v>76</v>
      </c>
    </row>
    <row r="40" spans="1:49" ht="409.5" x14ac:dyDescent="0.2">
      <c r="A40" s="48" t="s">
        <v>86</v>
      </c>
      <c r="B40" s="29" t="s">
        <v>1811</v>
      </c>
      <c r="C40" s="27" t="s">
        <v>1812</v>
      </c>
      <c r="D40" s="53" t="s">
        <v>89</v>
      </c>
      <c r="E40" s="53" t="s">
        <v>1556</v>
      </c>
      <c r="F40" s="72"/>
      <c r="G40" s="72" t="s">
        <v>518</v>
      </c>
      <c r="H40" s="72"/>
      <c r="I40" s="72"/>
      <c r="J40" s="14" t="s">
        <v>91</v>
      </c>
      <c r="K40" s="14" t="s">
        <v>59</v>
      </c>
      <c r="L40" s="14" t="s">
        <v>93</v>
      </c>
      <c r="M40" s="14" t="s">
        <v>132</v>
      </c>
      <c r="N40" s="18" t="s">
        <v>21</v>
      </c>
      <c r="O40" s="14" t="s">
        <v>21</v>
      </c>
      <c r="P40" s="19">
        <v>42752.438888888886</v>
      </c>
      <c r="Q40" s="19">
        <v>42771.543749999997</v>
      </c>
      <c r="R40" s="19">
        <v>42754.497916666667</v>
      </c>
      <c r="S40" s="14" t="s">
        <v>518</v>
      </c>
      <c r="T40" s="14" t="s">
        <v>518</v>
      </c>
      <c r="U40" s="14" t="s">
        <v>89</v>
      </c>
      <c r="V40" s="28">
        <v>42753</v>
      </c>
      <c r="W40" s="14">
        <v>0</v>
      </c>
      <c r="X40" s="14">
        <v>0</v>
      </c>
      <c r="Y40" s="14"/>
      <c r="Z40" s="14"/>
      <c r="AA40" s="14"/>
      <c r="AB40" s="14"/>
      <c r="AC40" s="14"/>
      <c r="AD40" s="14"/>
      <c r="AE40" s="14"/>
      <c r="AF40" s="14" t="s">
        <v>1813</v>
      </c>
      <c r="AG40" s="14" t="s">
        <v>1814</v>
      </c>
      <c r="AH40" s="14"/>
      <c r="AI40" s="14"/>
      <c r="AJ40" s="14"/>
      <c r="AK40" s="14"/>
      <c r="AL40" s="14"/>
      <c r="AM40" s="14"/>
      <c r="AN40" s="14" t="s">
        <v>1523</v>
      </c>
      <c r="AO40" s="14" t="s">
        <v>1815</v>
      </c>
      <c r="AP40" s="14" t="s">
        <v>1816</v>
      </c>
      <c r="AQ40" s="14"/>
      <c r="AR40" s="53"/>
      <c r="AS40" s="53" t="s">
        <v>89</v>
      </c>
      <c r="AT40" s="53" t="s">
        <v>1556</v>
      </c>
      <c r="AU40" s="51" t="str">
        <f>VLOOKUP(O40,[1]Lookup!A:B,2,FALSE)</f>
        <v>Test-SIT</v>
      </c>
      <c r="AV40" s="25" t="str">
        <f>VLOOKUP(test1[[#This Row],[Assignee]],lookup[#All],2,FALSE)</f>
        <v>Test-SIT</v>
      </c>
      <c r="AW40" s="25">
        <f ca="1">IF(test1[[#This Row],[Status]]&lt;&gt;"Closed", TODAY()-INT(test1[[#This Row],[Created]]),INT(test1[[#This Row],[Resolved]])-INT(test1[[#This Row],[Created]]))</f>
        <v>76</v>
      </c>
    </row>
    <row r="41" spans="1:49" ht="409.5" x14ac:dyDescent="0.2">
      <c r="A41" s="48" t="s">
        <v>86</v>
      </c>
      <c r="B41" s="29" t="s">
        <v>1807</v>
      </c>
      <c r="C41" s="27" t="s">
        <v>1808</v>
      </c>
      <c r="D41" s="53" t="s">
        <v>89</v>
      </c>
      <c r="E41" s="53" t="s">
        <v>1556</v>
      </c>
      <c r="F41" s="72"/>
      <c r="G41" s="72" t="s">
        <v>518</v>
      </c>
      <c r="H41" s="72"/>
      <c r="I41" s="72"/>
      <c r="J41" s="14" t="s">
        <v>91</v>
      </c>
      <c r="K41" s="14" t="s">
        <v>59</v>
      </c>
      <c r="L41" s="14" t="s">
        <v>93</v>
      </c>
      <c r="M41" s="14" t="s">
        <v>132</v>
      </c>
      <c r="N41" s="18" t="s">
        <v>24</v>
      </c>
      <c r="O41" s="14" t="s">
        <v>24</v>
      </c>
      <c r="P41" s="19">
        <v>42752.561111111114</v>
      </c>
      <c r="Q41" s="19">
        <v>42771.640972222223</v>
      </c>
      <c r="R41" s="19">
        <v>42754.565972222219</v>
      </c>
      <c r="S41" s="14" t="s">
        <v>518</v>
      </c>
      <c r="T41" s="14" t="s">
        <v>518</v>
      </c>
      <c r="U41" s="14" t="s">
        <v>89</v>
      </c>
      <c r="V41" s="28">
        <v>42753</v>
      </c>
      <c r="W41" s="14">
        <v>0</v>
      </c>
      <c r="X41" s="14">
        <v>0</v>
      </c>
      <c r="Y41" s="14"/>
      <c r="Z41" s="14"/>
      <c r="AA41" s="14"/>
      <c r="AB41" s="14"/>
      <c r="AC41" s="14"/>
      <c r="AD41" s="14"/>
      <c r="AE41" s="14"/>
      <c r="AF41" s="14" t="s">
        <v>1809</v>
      </c>
      <c r="AG41" s="14" t="s">
        <v>1810</v>
      </c>
      <c r="AH41" s="14"/>
      <c r="AI41" s="14"/>
      <c r="AJ41" s="14"/>
      <c r="AK41" s="14"/>
      <c r="AL41" s="14"/>
      <c r="AM41" s="14"/>
      <c r="AN41" s="14" t="s">
        <v>1523</v>
      </c>
      <c r="AO41" s="14"/>
      <c r="AP41" s="14"/>
      <c r="AQ41" s="14" t="s">
        <v>1771</v>
      </c>
      <c r="AR41" s="53"/>
      <c r="AS41" s="53" t="s">
        <v>89</v>
      </c>
      <c r="AT41" s="53" t="s">
        <v>1556</v>
      </c>
      <c r="AU41" s="51" t="str">
        <f>VLOOKUP(O41,[1]Lookup!A:B,2,FALSE)</f>
        <v>Test-SIT</v>
      </c>
      <c r="AV41" s="25" t="str">
        <f>VLOOKUP(test1[[#This Row],[Assignee]],lookup[#All],2,FALSE)</f>
        <v>Test-SIT</v>
      </c>
      <c r="AW41" s="25">
        <f ca="1">IF(test1[[#This Row],[Status]]&lt;&gt;"Closed", TODAY()-INT(test1[[#This Row],[Created]]),INT(test1[[#This Row],[Resolved]])-INT(test1[[#This Row],[Created]]))</f>
        <v>76</v>
      </c>
    </row>
    <row r="42" spans="1:49" ht="409.5" x14ac:dyDescent="0.2">
      <c r="A42" s="48" t="s">
        <v>86</v>
      </c>
      <c r="B42" s="29" t="s">
        <v>1799</v>
      </c>
      <c r="C42" s="27" t="s">
        <v>1803</v>
      </c>
      <c r="D42" s="53" t="s">
        <v>89</v>
      </c>
      <c r="E42" s="53" t="s">
        <v>1798</v>
      </c>
      <c r="F42" s="72"/>
      <c r="G42" s="72" t="s">
        <v>518</v>
      </c>
      <c r="H42" s="72"/>
      <c r="I42" s="72"/>
      <c r="J42" s="14" t="s">
        <v>91</v>
      </c>
      <c r="K42" s="14" t="s">
        <v>59</v>
      </c>
      <c r="L42" s="14" t="s">
        <v>93</v>
      </c>
      <c r="M42" s="14" t="s">
        <v>132</v>
      </c>
      <c r="N42" s="18" t="s">
        <v>19</v>
      </c>
      <c r="O42" s="14" t="s">
        <v>19</v>
      </c>
      <c r="P42" s="19">
        <v>42752.836805555555</v>
      </c>
      <c r="Q42" s="19">
        <v>42771.545138888891</v>
      </c>
      <c r="R42" s="19">
        <v>42759.481944444444</v>
      </c>
      <c r="S42" s="14" t="s">
        <v>518</v>
      </c>
      <c r="T42" s="14" t="s">
        <v>518</v>
      </c>
      <c r="U42" s="14" t="s">
        <v>412</v>
      </c>
      <c r="V42" s="14"/>
      <c r="W42" s="14">
        <v>0</v>
      </c>
      <c r="X42" s="14">
        <v>0</v>
      </c>
      <c r="Y42" s="14"/>
      <c r="Z42" s="14"/>
      <c r="AA42" s="14"/>
      <c r="AB42" s="14"/>
      <c r="AC42" s="14"/>
      <c r="AD42" s="14"/>
      <c r="AE42" s="14" t="s">
        <v>1796</v>
      </c>
      <c r="AF42" s="14" t="s">
        <v>1804</v>
      </c>
      <c r="AG42" s="14" t="s">
        <v>1805</v>
      </c>
      <c r="AH42" s="14"/>
      <c r="AI42" s="14"/>
      <c r="AJ42" s="14"/>
      <c r="AK42" s="14"/>
      <c r="AL42" s="14"/>
      <c r="AM42" s="14"/>
      <c r="AN42" s="14" t="s">
        <v>193</v>
      </c>
      <c r="AO42" s="14" t="s">
        <v>1806</v>
      </c>
      <c r="AP42" s="14"/>
      <c r="AQ42" s="14"/>
      <c r="AR42" s="53"/>
      <c r="AS42" s="53" t="s">
        <v>89</v>
      </c>
      <c r="AT42" s="53" t="s">
        <v>1798</v>
      </c>
      <c r="AU42" s="51" t="str">
        <f>VLOOKUP(O42,[1]Lookup!A:B,2,FALSE)</f>
        <v>Test-SIT</v>
      </c>
      <c r="AV42" s="25" t="str">
        <f>VLOOKUP(test1[[#This Row],[Assignee]],lookup[#All],2,FALSE)</f>
        <v>Test-SIT</v>
      </c>
      <c r="AW42" s="25">
        <f ca="1">IF(test1[[#This Row],[Status]]&lt;&gt;"Closed", TODAY()-INT(test1[[#This Row],[Created]]),INT(test1[[#This Row],[Resolved]])-INT(test1[[#This Row],[Created]]))</f>
        <v>76</v>
      </c>
    </row>
    <row r="43" spans="1:49" ht="213.75" x14ac:dyDescent="0.2">
      <c r="A43" s="48" t="s">
        <v>86</v>
      </c>
      <c r="B43" s="29" t="s">
        <v>1796</v>
      </c>
      <c r="C43" s="27" t="s">
        <v>1797</v>
      </c>
      <c r="D43" s="53" t="s">
        <v>89</v>
      </c>
      <c r="E43" s="53" t="s">
        <v>1798</v>
      </c>
      <c r="F43" s="72"/>
      <c r="G43" s="72" t="s">
        <v>139</v>
      </c>
      <c r="H43" s="72"/>
      <c r="I43" s="72"/>
      <c r="J43" s="14" t="s">
        <v>91</v>
      </c>
      <c r="K43" s="14" t="s">
        <v>59</v>
      </c>
      <c r="L43" s="14" t="s">
        <v>103</v>
      </c>
      <c r="M43" s="14" t="s">
        <v>132</v>
      </c>
      <c r="N43" s="18" t="s">
        <v>21</v>
      </c>
      <c r="O43" s="14" t="s">
        <v>21</v>
      </c>
      <c r="P43" s="19">
        <v>42752.893750000003</v>
      </c>
      <c r="Q43" s="19">
        <v>42771.638888888891</v>
      </c>
      <c r="R43" s="19">
        <v>42771.638888888891</v>
      </c>
      <c r="S43" s="14" t="s">
        <v>518</v>
      </c>
      <c r="T43" s="14" t="s">
        <v>139</v>
      </c>
      <c r="U43" s="14" t="s">
        <v>412</v>
      </c>
      <c r="V43" s="28">
        <v>42754</v>
      </c>
      <c r="W43" s="14">
        <v>0</v>
      </c>
      <c r="X43" s="14">
        <v>0</v>
      </c>
      <c r="Y43" s="14"/>
      <c r="Z43" s="14"/>
      <c r="AA43" s="14"/>
      <c r="AB43" s="14"/>
      <c r="AC43" s="14"/>
      <c r="AD43" s="14"/>
      <c r="AE43" s="14" t="s">
        <v>1799</v>
      </c>
      <c r="AF43" s="14" t="s">
        <v>1800</v>
      </c>
      <c r="AG43" s="14" t="s">
        <v>1801</v>
      </c>
      <c r="AH43" s="14"/>
      <c r="AI43" s="14"/>
      <c r="AJ43" s="14"/>
      <c r="AK43" s="14"/>
      <c r="AL43" s="14"/>
      <c r="AM43" s="14"/>
      <c r="AN43" s="14" t="s">
        <v>193</v>
      </c>
      <c r="AO43" s="14" t="s">
        <v>1802</v>
      </c>
      <c r="AP43" s="14"/>
      <c r="AQ43" s="14"/>
      <c r="AR43" s="53"/>
      <c r="AS43" s="53" t="s">
        <v>89</v>
      </c>
      <c r="AT43" s="53" t="s">
        <v>1798</v>
      </c>
      <c r="AU43" s="51" t="str">
        <f>VLOOKUP(O43,[1]Lookup!A:B,2,FALSE)</f>
        <v>Test-SIT</v>
      </c>
      <c r="AV43" s="25" t="str">
        <f>VLOOKUP(test1[[#This Row],[Assignee]],lookup[#All],2,FALSE)</f>
        <v>Test-SIT</v>
      </c>
      <c r="AW43" s="25">
        <f ca="1">IF(test1[[#This Row],[Status]]&lt;&gt;"Closed", TODAY()-INT(test1[[#This Row],[Created]]),INT(test1[[#This Row],[Resolved]])-INT(test1[[#This Row],[Created]]))</f>
        <v>76</v>
      </c>
    </row>
    <row r="44" spans="1:49" ht="342" x14ac:dyDescent="0.2">
      <c r="A44" s="48" t="s">
        <v>86</v>
      </c>
      <c r="B44" s="29" t="s">
        <v>1791</v>
      </c>
      <c r="C44" s="27" t="s">
        <v>1792</v>
      </c>
      <c r="D44" s="53" t="s">
        <v>96</v>
      </c>
      <c r="E44" s="53" t="s">
        <v>166</v>
      </c>
      <c r="F44" s="72"/>
      <c r="G44" s="72" t="s">
        <v>139</v>
      </c>
      <c r="H44" s="72"/>
      <c r="I44" s="72"/>
      <c r="J44" s="14" t="s">
        <v>91</v>
      </c>
      <c r="K44" s="14" t="s">
        <v>59</v>
      </c>
      <c r="L44" s="14" t="s">
        <v>167</v>
      </c>
      <c r="M44" s="14" t="s">
        <v>132</v>
      </c>
      <c r="N44" s="18" t="s">
        <v>21</v>
      </c>
      <c r="O44" s="14" t="s">
        <v>21</v>
      </c>
      <c r="P44" s="19">
        <v>42752.899305555555</v>
      </c>
      <c r="Q44" s="19">
        <v>42772.527777777781</v>
      </c>
      <c r="R44" s="19">
        <v>42764.722222222219</v>
      </c>
      <c r="S44" s="14" t="s">
        <v>518</v>
      </c>
      <c r="T44" s="14" t="s">
        <v>139</v>
      </c>
      <c r="U44" s="14" t="s">
        <v>96</v>
      </c>
      <c r="V44" s="28">
        <v>42755</v>
      </c>
      <c r="W44" s="14">
        <v>0</v>
      </c>
      <c r="X44" s="14">
        <v>0</v>
      </c>
      <c r="Y44" s="14"/>
      <c r="Z44" s="14"/>
      <c r="AA44" s="14"/>
      <c r="AB44" s="14"/>
      <c r="AC44" s="14"/>
      <c r="AD44" s="14"/>
      <c r="AE44" s="14"/>
      <c r="AF44" s="14" t="s">
        <v>1793</v>
      </c>
      <c r="AG44" s="14" t="s">
        <v>1794</v>
      </c>
      <c r="AH44" s="14"/>
      <c r="AI44" s="14"/>
      <c r="AJ44" s="14"/>
      <c r="AK44" s="14"/>
      <c r="AL44" s="14"/>
      <c r="AM44" s="14"/>
      <c r="AN44" s="14" t="s">
        <v>235</v>
      </c>
      <c r="AO44" s="14" t="s">
        <v>1795</v>
      </c>
      <c r="AP44" s="14"/>
      <c r="AQ44" s="14"/>
      <c r="AR44" s="53"/>
      <c r="AS44" s="53" t="s">
        <v>96</v>
      </c>
      <c r="AT44" s="53" t="s">
        <v>166</v>
      </c>
      <c r="AU44" s="51" t="str">
        <f>VLOOKUP(O44,[1]Lookup!A:B,2,FALSE)</f>
        <v>Test-SIT</v>
      </c>
      <c r="AV44" s="25" t="str">
        <f>VLOOKUP(test1[[#This Row],[Assignee]],lookup[#All],2,FALSE)</f>
        <v>Test-SIT</v>
      </c>
      <c r="AW44" s="25">
        <f ca="1">IF(test1[[#This Row],[Status]]&lt;&gt;"Closed", TODAY()-INT(test1[[#This Row],[Created]]),INT(test1[[#This Row],[Resolved]])-INT(test1[[#This Row],[Created]]))</f>
        <v>76</v>
      </c>
    </row>
    <row r="45" spans="1:49" s="16" customFormat="1" ht="409.5" x14ac:dyDescent="0.2">
      <c r="A45" s="48" t="s">
        <v>86</v>
      </c>
      <c r="B45" s="29" t="s">
        <v>1380</v>
      </c>
      <c r="C45" s="26" t="s">
        <v>1786</v>
      </c>
      <c r="D45" s="53" t="s">
        <v>89</v>
      </c>
      <c r="E45" s="53" t="s">
        <v>1628</v>
      </c>
      <c r="F45" s="74" t="s">
        <v>1787</v>
      </c>
      <c r="G45" s="74" t="s">
        <v>155</v>
      </c>
      <c r="H45" s="74"/>
      <c r="I45" s="74" t="s">
        <v>527</v>
      </c>
      <c r="J45" s="14" t="s">
        <v>91</v>
      </c>
      <c r="K45" s="14" t="s">
        <v>110</v>
      </c>
      <c r="L45" s="14" t="s">
        <v>93</v>
      </c>
      <c r="M45" s="17" t="s">
        <v>94</v>
      </c>
      <c r="N45" s="18" t="s">
        <v>28</v>
      </c>
      <c r="O45" s="14" t="s">
        <v>21</v>
      </c>
      <c r="P45" s="19">
        <v>42753.452777777777</v>
      </c>
      <c r="Q45" s="19">
        <v>42800.79791666667</v>
      </c>
      <c r="R45" s="14"/>
      <c r="S45" s="14" t="s">
        <v>518</v>
      </c>
      <c r="T45" s="14" t="s">
        <v>155</v>
      </c>
      <c r="U45" s="14" t="s">
        <v>89</v>
      </c>
      <c r="V45" s="28">
        <v>42755</v>
      </c>
      <c r="W45" s="14">
        <v>0</v>
      </c>
      <c r="X45" s="14">
        <v>0</v>
      </c>
      <c r="Y45" s="14"/>
      <c r="Z45" s="14"/>
      <c r="AA45" s="14"/>
      <c r="AB45" s="14"/>
      <c r="AC45" s="14"/>
      <c r="AD45" s="14"/>
      <c r="AE45" s="14" t="s">
        <v>1377</v>
      </c>
      <c r="AF45" s="14" t="s">
        <v>1788</v>
      </c>
      <c r="AG45" s="14" t="s">
        <v>1789</v>
      </c>
      <c r="AH45" s="14"/>
      <c r="AI45" s="14"/>
      <c r="AJ45" s="14"/>
      <c r="AK45" s="14"/>
      <c r="AL45" s="14"/>
      <c r="AM45" s="14"/>
      <c r="AN45" s="14" t="s">
        <v>1632</v>
      </c>
      <c r="AO45" s="14" t="s">
        <v>1790</v>
      </c>
      <c r="AP45" s="14"/>
      <c r="AQ45" s="14"/>
      <c r="AR45" s="53"/>
      <c r="AS45" s="53" t="s">
        <v>89</v>
      </c>
      <c r="AT45" s="53" t="s">
        <v>1628</v>
      </c>
      <c r="AU45" s="51" t="str">
        <f>VLOOKUP(O45,[1]Lookup!A:B,2,FALSE)</f>
        <v>Test-SIT</v>
      </c>
      <c r="AV45" s="25" t="str">
        <f>VLOOKUP(test1[[#This Row],[Assignee]],lookup[#All],2,FALSE)</f>
        <v>TD-Dev</v>
      </c>
      <c r="AW45" s="25">
        <f ca="1">IF(test1[[#This Row],[Status]]&lt;&gt;"Closed", TODAY()-INT(test1[[#This Row],[Created]]),INT(test1[[#This Row],[Resolved]])-INT(test1[[#This Row],[Created]]))</f>
        <v>75</v>
      </c>
    </row>
    <row r="46" spans="1:49" s="16" customFormat="1" ht="384.75" x14ac:dyDescent="0.2">
      <c r="A46" s="48" t="s">
        <v>86</v>
      </c>
      <c r="B46" s="29" t="s">
        <v>926</v>
      </c>
      <c r="C46" s="27" t="s">
        <v>1782</v>
      </c>
      <c r="D46" s="53" t="s">
        <v>89</v>
      </c>
      <c r="E46" s="53" t="s">
        <v>193</v>
      </c>
      <c r="F46" s="72"/>
      <c r="G46" s="72" t="s">
        <v>518</v>
      </c>
      <c r="H46" s="72"/>
      <c r="I46" s="72"/>
      <c r="J46" s="14" t="s">
        <v>91</v>
      </c>
      <c r="K46" s="14" t="s">
        <v>59</v>
      </c>
      <c r="L46" s="14" t="s">
        <v>103</v>
      </c>
      <c r="M46" s="14" t="s">
        <v>132</v>
      </c>
      <c r="N46" s="18" t="s">
        <v>21</v>
      </c>
      <c r="O46" s="14" t="s">
        <v>21</v>
      </c>
      <c r="P46" s="19">
        <v>42753.467361111114</v>
      </c>
      <c r="Q46" s="19">
        <v>42781.874305555553</v>
      </c>
      <c r="R46" s="19">
        <v>42755.368055555555</v>
      </c>
      <c r="S46" s="14" t="s">
        <v>518</v>
      </c>
      <c r="T46" s="14" t="s">
        <v>518</v>
      </c>
      <c r="U46" s="14" t="s">
        <v>89</v>
      </c>
      <c r="V46" s="28">
        <v>42755</v>
      </c>
      <c r="W46" s="14">
        <v>0</v>
      </c>
      <c r="X46" s="14">
        <v>0</v>
      </c>
      <c r="Y46" s="14"/>
      <c r="Z46" s="14"/>
      <c r="AA46" s="14"/>
      <c r="AB46" s="14"/>
      <c r="AC46" s="14"/>
      <c r="AD46" s="14"/>
      <c r="AE46" s="14" t="s">
        <v>929</v>
      </c>
      <c r="AF46" s="14" t="s">
        <v>1783</v>
      </c>
      <c r="AG46" s="14" t="s">
        <v>1784</v>
      </c>
      <c r="AH46" s="14"/>
      <c r="AI46" s="14"/>
      <c r="AJ46" s="14"/>
      <c r="AK46" s="14"/>
      <c r="AL46" s="14"/>
      <c r="AM46" s="14"/>
      <c r="AN46" s="14" t="s">
        <v>193</v>
      </c>
      <c r="AO46" s="14" t="s">
        <v>1785</v>
      </c>
      <c r="AP46" s="14"/>
      <c r="AQ46" s="14"/>
      <c r="AR46" s="53"/>
      <c r="AS46" s="53" t="s">
        <v>89</v>
      </c>
      <c r="AT46" s="53" t="s">
        <v>193</v>
      </c>
      <c r="AU46" s="51" t="str">
        <f>VLOOKUP(O46,[1]Lookup!A:B,2,FALSE)</f>
        <v>Test-SIT</v>
      </c>
      <c r="AV46" s="25" t="str">
        <f>VLOOKUP(test1[[#This Row],[Assignee]],lookup[#All],2,FALSE)</f>
        <v>Test-SIT</v>
      </c>
      <c r="AW46" s="25">
        <f ca="1">IF(test1[[#This Row],[Status]]&lt;&gt;"Closed", TODAY()-INT(test1[[#This Row],[Created]]),INT(test1[[#This Row],[Resolved]])-INT(test1[[#This Row],[Created]]))</f>
        <v>75</v>
      </c>
    </row>
    <row r="47" spans="1:49" s="16" customFormat="1" ht="342" x14ac:dyDescent="0.2">
      <c r="A47" s="48" t="s">
        <v>86</v>
      </c>
      <c r="B47" s="29" t="s">
        <v>1777</v>
      </c>
      <c r="C47" s="27" t="s">
        <v>1778</v>
      </c>
      <c r="D47" s="53" t="s">
        <v>89</v>
      </c>
      <c r="E47" s="53" t="s">
        <v>193</v>
      </c>
      <c r="F47" s="72"/>
      <c r="G47" s="72" t="s">
        <v>518</v>
      </c>
      <c r="H47" s="72"/>
      <c r="I47" s="72"/>
      <c r="J47" s="14" t="s">
        <v>91</v>
      </c>
      <c r="K47" s="14" t="s">
        <v>59</v>
      </c>
      <c r="L47" s="14" t="s">
        <v>93</v>
      </c>
      <c r="M47" s="14" t="s">
        <v>624</v>
      </c>
      <c r="N47" s="18" t="s">
        <v>24</v>
      </c>
      <c r="O47" s="14" t="s">
        <v>24</v>
      </c>
      <c r="P47" s="19">
        <v>42753.46875</v>
      </c>
      <c r="Q47" s="19">
        <v>42771.567361111112</v>
      </c>
      <c r="R47" s="19">
        <v>42753.74722222222</v>
      </c>
      <c r="S47" s="14" t="s">
        <v>518</v>
      </c>
      <c r="T47" s="14" t="s">
        <v>518</v>
      </c>
      <c r="U47" s="14" t="s">
        <v>412</v>
      </c>
      <c r="V47" s="28">
        <v>42754</v>
      </c>
      <c r="W47" s="14">
        <v>0</v>
      </c>
      <c r="X47" s="14">
        <v>0</v>
      </c>
      <c r="Y47" s="14"/>
      <c r="Z47" s="14"/>
      <c r="AA47" s="14"/>
      <c r="AB47" s="14"/>
      <c r="AC47" s="14"/>
      <c r="AD47" s="14"/>
      <c r="AE47" s="14" t="s">
        <v>1763</v>
      </c>
      <c r="AF47" s="14" t="s">
        <v>1779</v>
      </c>
      <c r="AG47" s="14" t="s">
        <v>1780</v>
      </c>
      <c r="AH47" s="14"/>
      <c r="AI47" s="14"/>
      <c r="AJ47" s="14"/>
      <c r="AK47" s="14"/>
      <c r="AL47" s="14"/>
      <c r="AM47" s="14"/>
      <c r="AN47" s="14" t="s">
        <v>624</v>
      </c>
      <c r="AO47" s="14" t="s">
        <v>1781</v>
      </c>
      <c r="AP47" s="14" t="s">
        <v>865</v>
      </c>
      <c r="AQ47" s="14" t="s">
        <v>1771</v>
      </c>
      <c r="AR47" s="53"/>
      <c r="AS47" s="53" t="s">
        <v>89</v>
      </c>
      <c r="AT47" s="53" t="s">
        <v>193</v>
      </c>
      <c r="AU47" s="51" t="str">
        <f>VLOOKUP(O47,[1]Lookup!A:B,2,FALSE)</f>
        <v>Test-SIT</v>
      </c>
      <c r="AV47" s="25" t="str">
        <f>VLOOKUP(test1[[#This Row],[Assignee]],lookup[#All],2,FALSE)</f>
        <v>Test-SIT</v>
      </c>
      <c r="AW47" s="25">
        <f ca="1">IF(test1[[#This Row],[Status]]&lt;&gt;"Closed", TODAY()-INT(test1[[#This Row],[Created]]),INT(test1[[#This Row],[Resolved]])-INT(test1[[#This Row],[Created]]))</f>
        <v>75</v>
      </c>
    </row>
    <row r="48" spans="1:49" s="16" customFormat="1" ht="256.5" x14ac:dyDescent="0.2">
      <c r="A48" s="48" t="s">
        <v>86</v>
      </c>
      <c r="B48" s="29" t="s">
        <v>1772</v>
      </c>
      <c r="C48" s="27" t="s">
        <v>1773</v>
      </c>
      <c r="D48" s="53" t="s">
        <v>241</v>
      </c>
      <c r="E48" s="53" t="s">
        <v>1262</v>
      </c>
      <c r="F48" s="72"/>
      <c r="G48" s="72"/>
      <c r="H48" s="72"/>
      <c r="I48" s="72"/>
      <c r="J48" s="14" t="s">
        <v>91</v>
      </c>
      <c r="K48" s="14" t="s">
        <v>59</v>
      </c>
      <c r="L48" s="14" t="s">
        <v>103</v>
      </c>
      <c r="M48" s="14" t="s">
        <v>132</v>
      </c>
      <c r="N48" s="18" t="s">
        <v>24</v>
      </c>
      <c r="O48" s="14" t="s">
        <v>24</v>
      </c>
      <c r="P48" s="19">
        <v>42753.494444444441</v>
      </c>
      <c r="Q48" s="19">
        <v>42771.564583333333</v>
      </c>
      <c r="R48" s="19">
        <v>42753.683333333334</v>
      </c>
      <c r="S48" s="14" t="s">
        <v>518</v>
      </c>
      <c r="T48" s="14"/>
      <c r="U48" s="14" t="s">
        <v>241</v>
      </c>
      <c r="V48" s="28">
        <v>42755</v>
      </c>
      <c r="W48" s="14">
        <v>0</v>
      </c>
      <c r="X48" s="14">
        <v>0</v>
      </c>
      <c r="Y48" s="14"/>
      <c r="Z48" s="14"/>
      <c r="AA48" s="14"/>
      <c r="AB48" s="14"/>
      <c r="AC48" s="14"/>
      <c r="AD48" s="14"/>
      <c r="AE48" s="14"/>
      <c r="AF48" s="14" t="s">
        <v>1774</v>
      </c>
      <c r="AG48" s="14" t="s">
        <v>1775</v>
      </c>
      <c r="AH48" s="14"/>
      <c r="AI48" s="14"/>
      <c r="AJ48" s="14"/>
      <c r="AK48" s="14"/>
      <c r="AL48" s="14"/>
      <c r="AM48" s="14"/>
      <c r="AN48" s="14" t="s">
        <v>123</v>
      </c>
      <c r="AO48" s="14" t="s">
        <v>1776</v>
      </c>
      <c r="AP48" s="14" t="s">
        <v>556</v>
      </c>
      <c r="AQ48" s="14"/>
      <c r="AR48" s="53"/>
      <c r="AS48" s="53" t="s">
        <v>241</v>
      </c>
      <c r="AT48" s="53" t="s">
        <v>1262</v>
      </c>
      <c r="AU48" s="51" t="str">
        <f>VLOOKUP(O48,[1]Lookup!A:B,2,FALSE)</f>
        <v>Test-SIT</v>
      </c>
      <c r="AV48" s="25" t="str">
        <f>VLOOKUP(test1[[#This Row],[Assignee]],lookup[#All],2,FALSE)</f>
        <v>Test-SIT</v>
      </c>
      <c r="AW48" s="25">
        <f ca="1">IF(test1[[#This Row],[Status]]&lt;&gt;"Closed", TODAY()-INT(test1[[#This Row],[Created]]),INT(test1[[#This Row],[Resolved]])-INT(test1[[#This Row],[Created]]))</f>
        <v>75</v>
      </c>
    </row>
    <row r="49" spans="1:49" s="16" customFormat="1" ht="409.5" x14ac:dyDescent="0.2">
      <c r="A49" s="48" t="s">
        <v>86</v>
      </c>
      <c r="B49" s="29" t="s">
        <v>1767</v>
      </c>
      <c r="C49" s="27" t="s">
        <v>1768</v>
      </c>
      <c r="D49" s="53" t="s">
        <v>89</v>
      </c>
      <c r="E49" s="53" t="s">
        <v>507</v>
      </c>
      <c r="F49" s="76" t="s">
        <v>1201</v>
      </c>
      <c r="G49" s="72"/>
      <c r="H49" s="72"/>
      <c r="I49" s="72"/>
      <c r="J49" s="14" t="s">
        <v>91</v>
      </c>
      <c r="K49" s="14" t="s">
        <v>59</v>
      </c>
      <c r="L49" s="14" t="s">
        <v>93</v>
      </c>
      <c r="M49" s="14" t="s">
        <v>132</v>
      </c>
      <c r="N49" s="18" t="s">
        <v>21</v>
      </c>
      <c r="O49" s="14" t="s">
        <v>24</v>
      </c>
      <c r="P49" s="19">
        <v>42753.566666666666</v>
      </c>
      <c r="Q49" s="19">
        <v>42770.774305555555</v>
      </c>
      <c r="R49" s="19">
        <v>42770.688194444447</v>
      </c>
      <c r="S49" s="14" t="s">
        <v>518</v>
      </c>
      <c r="T49" s="14"/>
      <c r="U49" s="14" t="s">
        <v>412</v>
      </c>
      <c r="V49" s="28">
        <v>42754</v>
      </c>
      <c r="W49" s="14">
        <v>0</v>
      </c>
      <c r="X49" s="14">
        <v>0</v>
      </c>
      <c r="Y49" s="14"/>
      <c r="Z49" s="14"/>
      <c r="AA49" s="14"/>
      <c r="AB49" s="14"/>
      <c r="AC49" s="14"/>
      <c r="AD49" s="14"/>
      <c r="AE49" s="14"/>
      <c r="AF49" s="14" t="s">
        <v>1769</v>
      </c>
      <c r="AG49" s="14" t="s">
        <v>1770</v>
      </c>
      <c r="AH49" s="14"/>
      <c r="AI49" s="14"/>
      <c r="AJ49" s="14"/>
      <c r="AK49" s="14"/>
      <c r="AL49" s="14"/>
      <c r="AM49" s="14"/>
      <c r="AN49" s="14" t="s">
        <v>149</v>
      </c>
      <c r="AO49" s="14" t="s">
        <v>1755</v>
      </c>
      <c r="AP49" s="14" t="s">
        <v>556</v>
      </c>
      <c r="AQ49" s="14" t="s">
        <v>1771</v>
      </c>
      <c r="AR49" s="53"/>
      <c r="AS49" s="53" t="s">
        <v>89</v>
      </c>
      <c r="AT49" s="53" t="s">
        <v>513</v>
      </c>
      <c r="AU49" s="51" t="str">
        <f>VLOOKUP(O49,[1]Lookup!A:B,2,FALSE)</f>
        <v>Test-SIT</v>
      </c>
      <c r="AV49" s="25" t="str">
        <f>VLOOKUP(test1[[#This Row],[Assignee]],lookup[#All],2,FALSE)</f>
        <v>Test-SIT</v>
      </c>
      <c r="AW49" s="25">
        <f ca="1">IF(test1[[#This Row],[Status]]&lt;&gt;"Closed", TODAY()-INT(test1[[#This Row],[Created]]),INT(test1[[#This Row],[Resolved]])-INT(test1[[#This Row],[Created]]))</f>
        <v>75</v>
      </c>
    </row>
    <row r="50" spans="1:49" s="16" customFormat="1" ht="242.25" x14ac:dyDescent="0.2">
      <c r="A50" s="48" t="s">
        <v>86</v>
      </c>
      <c r="B50" s="29" t="s">
        <v>1761</v>
      </c>
      <c r="C50" s="27" t="s">
        <v>1762</v>
      </c>
      <c r="D50" s="53" t="s">
        <v>89</v>
      </c>
      <c r="E50" s="53" t="s">
        <v>193</v>
      </c>
      <c r="F50" s="72"/>
      <c r="G50" s="72" t="s">
        <v>518</v>
      </c>
      <c r="H50" s="72"/>
      <c r="I50" s="72"/>
      <c r="J50" s="14" t="s">
        <v>91</v>
      </c>
      <c r="K50" s="14" t="s">
        <v>59</v>
      </c>
      <c r="L50" s="14" t="s">
        <v>93</v>
      </c>
      <c r="M50" s="14" t="s">
        <v>624</v>
      </c>
      <c r="N50" s="18" t="s">
        <v>24</v>
      </c>
      <c r="O50" s="14" t="s">
        <v>24</v>
      </c>
      <c r="P50" s="19">
        <v>42753.572222222225</v>
      </c>
      <c r="Q50" s="19">
        <v>42771.567361111112</v>
      </c>
      <c r="R50" s="19">
        <v>42753.74722222222</v>
      </c>
      <c r="S50" s="14" t="s">
        <v>518</v>
      </c>
      <c r="T50" s="14" t="s">
        <v>518</v>
      </c>
      <c r="U50" s="14" t="s">
        <v>89</v>
      </c>
      <c r="V50" s="28">
        <v>42754</v>
      </c>
      <c r="W50" s="14">
        <v>0</v>
      </c>
      <c r="X50" s="14">
        <v>0</v>
      </c>
      <c r="Y50" s="14"/>
      <c r="Z50" s="14"/>
      <c r="AA50" s="14"/>
      <c r="AB50" s="14"/>
      <c r="AC50" s="14"/>
      <c r="AD50" s="14"/>
      <c r="AE50" s="14" t="s">
        <v>1763</v>
      </c>
      <c r="AF50" s="14" t="s">
        <v>1764</v>
      </c>
      <c r="AG50" s="14" t="s">
        <v>1765</v>
      </c>
      <c r="AH50" s="14"/>
      <c r="AI50" s="14"/>
      <c r="AJ50" s="14"/>
      <c r="AK50" s="14"/>
      <c r="AL50" s="14"/>
      <c r="AM50" s="14"/>
      <c r="AN50" s="14" t="s">
        <v>624</v>
      </c>
      <c r="AO50" s="14" t="s">
        <v>1766</v>
      </c>
      <c r="AP50" s="14" t="s">
        <v>556</v>
      </c>
      <c r="AQ50" s="14"/>
      <c r="AR50" s="53"/>
      <c r="AS50" s="53" t="s">
        <v>89</v>
      </c>
      <c r="AT50" s="53" t="s">
        <v>193</v>
      </c>
      <c r="AU50" s="51" t="str">
        <f>VLOOKUP(O50,[1]Lookup!A:B,2,FALSE)</f>
        <v>Test-SIT</v>
      </c>
      <c r="AV50" s="25" t="str">
        <f>VLOOKUP(test1[[#This Row],[Assignee]],lookup[#All],2,FALSE)</f>
        <v>Test-SIT</v>
      </c>
      <c r="AW50" s="25">
        <f ca="1">IF(test1[[#This Row],[Status]]&lt;&gt;"Closed", TODAY()-INT(test1[[#This Row],[Created]]),INT(test1[[#This Row],[Resolved]])-INT(test1[[#This Row],[Created]]))</f>
        <v>75</v>
      </c>
    </row>
    <row r="51" spans="1:49" s="16" customFormat="1" ht="409.5" x14ac:dyDescent="0.2">
      <c r="A51" s="48" t="s">
        <v>86</v>
      </c>
      <c r="B51" s="29" t="s">
        <v>1756</v>
      </c>
      <c r="C51" s="27" t="s">
        <v>1757</v>
      </c>
      <c r="D51" s="53" t="s">
        <v>89</v>
      </c>
      <c r="E51" s="53" t="s">
        <v>507</v>
      </c>
      <c r="F51" s="72"/>
      <c r="G51" s="72" t="s">
        <v>1758</v>
      </c>
      <c r="H51" s="72"/>
      <c r="I51" s="72"/>
      <c r="J51" s="14" t="s">
        <v>91</v>
      </c>
      <c r="K51" s="14" t="s">
        <v>59</v>
      </c>
      <c r="L51" s="14" t="s">
        <v>93</v>
      </c>
      <c r="M51" s="14" t="s">
        <v>132</v>
      </c>
      <c r="N51" s="18" t="s">
        <v>24</v>
      </c>
      <c r="O51" s="14" t="s">
        <v>24</v>
      </c>
      <c r="P51" s="19">
        <v>42753.625</v>
      </c>
      <c r="Q51" s="19">
        <v>42771.740972222222</v>
      </c>
      <c r="R51" s="19">
        <v>42771.740972222222</v>
      </c>
      <c r="S51" s="14" t="s">
        <v>518</v>
      </c>
      <c r="T51" s="14" t="s">
        <v>1758</v>
      </c>
      <c r="U51" s="14" t="s">
        <v>412</v>
      </c>
      <c r="V51" s="28">
        <v>42754</v>
      </c>
      <c r="W51" s="14">
        <v>0</v>
      </c>
      <c r="X51" s="14">
        <v>0</v>
      </c>
      <c r="Y51" s="14"/>
      <c r="Z51" s="14"/>
      <c r="AA51" s="14"/>
      <c r="AB51" s="14"/>
      <c r="AC51" s="14"/>
      <c r="AD51" s="14"/>
      <c r="AE51" s="14"/>
      <c r="AF51" s="14" t="s">
        <v>1759</v>
      </c>
      <c r="AG51" s="14" t="s">
        <v>1760</v>
      </c>
      <c r="AH51" s="14"/>
      <c r="AI51" s="14"/>
      <c r="AJ51" s="14"/>
      <c r="AK51" s="14"/>
      <c r="AL51" s="14"/>
      <c r="AM51" s="14"/>
      <c r="AN51" s="14" t="s">
        <v>149</v>
      </c>
      <c r="AO51" s="14" t="s">
        <v>1755</v>
      </c>
      <c r="AP51" s="14" t="s">
        <v>163</v>
      </c>
      <c r="AQ51" s="14"/>
      <c r="AR51" s="53"/>
      <c r="AS51" s="53" t="s">
        <v>89</v>
      </c>
      <c r="AT51" s="53" t="s">
        <v>513</v>
      </c>
      <c r="AU51" s="51" t="str">
        <f>VLOOKUP(O51,[1]Lookup!A:B,2,FALSE)</f>
        <v>Test-SIT</v>
      </c>
      <c r="AV51" s="25" t="str">
        <f>VLOOKUP(test1[[#This Row],[Assignee]],lookup[#All],2,FALSE)</f>
        <v>Test-SIT</v>
      </c>
      <c r="AW51" s="25">
        <f ca="1">IF(test1[[#This Row],[Status]]&lt;&gt;"Closed", TODAY()-INT(test1[[#This Row],[Created]]),INT(test1[[#This Row],[Resolved]])-INT(test1[[#This Row],[Created]]))</f>
        <v>75</v>
      </c>
    </row>
    <row r="52" spans="1:49" s="16" customFormat="1" ht="409.5" x14ac:dyDescent="0.2">
      <c r="A52" s="48" t="s">
        <v>86</v>
      </c>
      <c r="B52" s="29" t="s">
        <v>1751</v>
      </c>
      <c r="C52" s="27" t="s">
        <v>1752</v>
      </c>
      <c r="D52" s="53" t="s">
        <v>89</v>
      </c>
      <c r="E52" s="53" t="s">
        <v>507</v>
      </c>
      <c r="F52" s="72"/>
      <c r="G52" s="72" t="s">
        <v>139</v>
      </c>
      <c r="H52" s="72"/>
      <c r="I52" s="72"/>
      <c r="J52" s="14" t="s">
        <v>91</v>
      </c>
      <c r="K52" s="14" t="s">
        <v>59</v>
      </c>
      <c r="L52" s="14" t="s">
        <v>93</v>
      </c>
      <c r="M52" s="14" t="s">
        <v>132</v>
      </c>
      <c r="N52" s="18" t="s">
        <v>21</v>
      </c>
      <c r="O52" s="14" t="s">
        <v>24</v>
      </c>
      <c r="P52" s="19">
        <v>42753.640277777777</v>
      </c>
      <c r="Q52" s="19">
        <v>42771.684027777781</v>
      </c>
      <c r="R52" s="19">
        <v>42771.684027777781</v>
      </c>
      <c r="S52" s="14" t="s">
        <v>518</v>
      </c>
      <c r="T52" s="14" t="s">
        <v>139</v>
      </c>
      <c r="U52" s="14" t="s">
        <v>412</v>
      </c>
      <c r="V52" s="28">
        <v>42754</v>
      </c>
      <c r="W52" s="14">
        <v>0</v>
      </c>
      <c r="X52" s="14">
        <v>0</v>
      </c>
      <c r="Y52" s="14"/>
      <c r="Z52" s="14"/>
      <c r="AA52" s="14"/>
      <c r="AB52" s="14"/>
      <c r="AC52" s="14"/>
      <c r="AD52" s="14"/>
      <c r="AE52" s="14"/>
      <c r="AF52" s="14" t="s">
        <v>1753</v>
      </c>
      <c r="AG52" s="14" t="s">
        <v>1754</v>
      </c>
      <c r="AH52" s="14"/>
      <c r="AI52" s="14"/>
      <c r="AJ52" s="14"/>
      <c r="AK52" s="14"/>
      <c r="AL52" s="14"/>
      <c r="AM52" s="14"/>
      <c r="AN52" s="14" t="s">
        <v>149</v>
      </c>
      <c r="AO52" s="14" t="s">
        <v>1755</v>
      </c>
      <c r="AP52" s="14" t="s">
        <v>163</v>
      </c>
      <c r="AQ52" s="14"/>
      <c r="AR52" s="53"/>
      <c r="AS52" s="53" t="s">
        <v>89</v>
      </c>
      <c r="AT52" s="53" t="s">
        <v>513</v>
      </c>
      <c r="AU52" s="51" t="str">
        <f>VLOOKUP(O52,[1]Lookup!A:B,2,FALSE)</f>
        <v>Test-SIT</v>
      </c>
      <c r="AV52" s="25" t="str">
        <f>VLOOKUP(test1[[#This Row],[Assignee]],lookup[#All],2,FALSE)</f>
        <v>Test-SIT</v>
      </c>
      <c r="AW52" s="25">
        <f ca="1">IF(test1[[#This Row],[Status]]&lt;&gt;"Closed", TODAY()-INT(test1[[#This Row],[Created]]),INT(test1[[#This Row],[Resolved]])-INT(test1[[#This Row],[Created]]))</f>
        <v>75</v>
      </c>
    </row>
    <row r="53" spans="1:49" s="16" customFormat="1" ht="370.5" x14ac:dyDescent="0.2">
      <c r="A53" s="48" t="s">
        <v>86</v>
      </c>
      <c r="B53" s="29" t="s">
        <v>1746</v>
      </c>
      <c r="C53" s="27" t="s">
        <v>1747</v>
      </c>
      <c r="D53" s="53" t="s">
        <v>89</v>
      </c>
      <c r="E53" s="53" t="s">
        <v>193</v>
      </c>
      <c r="F53" s="72"/>
      <c r="G53" s="72" t="s">
        <v>518</v>
      </c>
      <c r="H53" s="72"/>
      <c r="I53" s="72"/>
      <c r="J53" s="14" t="s">
        <v>91</v>
      </c>
      <c r="K53" s="14" t="s">
        <v>59</v>
      </c>
      <c r="L53" s="14" t="s">
        <v>93</v>
      </c>
      <c r="M53" s="14" t="s">
        <v>624</v>
      </c>
      <c r="N53" s="18" t="s">
        <v>24</v>
      </c>
      <c r="O53" s="14" t="s">
        <v>24</v>
      </c>
      <c r="P53" s="19">
        <v>42753.692361111112</v>
      </c>
      <c r="Q53" s="19">
        <v>42771.567361111112</v>
      </c>
      <c r="R53" s="19">
        <v>42753.74722222222</v>
      </c>
      <c r="S53" s="14" t="s">
        <v>518</v>
      </c>
      <c r="T53" s="14" t="s">
        <v>518</v>
      </c>
      <c r="U53" s="14" t="s">
        <v>96</v>
      </c>
      <c r="V53" s="28">
        <v>42754</v>
      </c>
      <c r="W53" s="14">
        <v>0</v>
      </c>
      <c r="X53" s="14">
        <v>0</v>
      </c>
      <c r="Y53" s="14"/>
      <c r="Z53" s="14"/>
      <c r="AA53" s="14"/>
      <c r="AB53" s="14"/>
      <c r="AC53" s="14"/>
      <c r="AD53" s="14"/>
      <c r="AE53" s="14"/>
      <c r="AF53" s="14" t="s">
        <v>1748</v>
      </c>
      <c r="AG53" s="14" t="s">
        <v>1749</v>
      </c>
      <c r="AH53" s="14"/>
      <c r="AI53" s="14"/>
      <c r="AJ53" s="14"/>
      <c r="AK53" s="14"/>
      <c r="AL53" s="14"/>
      <c r="AM53" s="14"/>
      <c r="AN53" s="14" t="s">
        <v>624</v>
      </c>
      <c r="AO53" s="14" t="s">
        <v>1750</v>
      </c>
      <c r="AP53" s="14" t="s">
        <v>250</v>
      </c>
      <c r="AQ53" s="14"/>
      <c r="AR53" s="53"/>
      <c r="AS53" s="53" t="s">
        <v>89</v>
      </c>
      <c r="AT53" s="53" t="s">
        <v>193</v>
      </c>
      <c r="AU53" s="51" t="str">
        <f>VLOOKUP(O53,[1]Lookup!A:B,2,FALSE)</f>
        <v>Test-SIT</v>
      </c>
      <c r="AV53" s="25" t="str">
        <f>VLOOKUP(test1[[#This Row],[Assignee]],lookup[#All],2,FALSE)</f>
        <v>Test-SIT</v>
      </c>
      <c r="AW53" s="25">
        <f ca="1">IF(test1[[#This Row],[Status]]&lt;&gt;"Closed", TODAY()-INT(test1[[#This Row],[Created]]),INT(test1[[#This Row],[Resolved]])-INT(test1[[#This Row],[Created]]))</f>
        <v>75</v>
      </c>
    </row>
    <row r="54" spans="1:49" s="16" customFormat="1" ht="409.5" x14ac:dyDescent="0.2">
      <c r="A54" s="48" t="s">
        <v>86</v>
      </c>
      <c r="B54" s="29" t="s">
        <v>1740</v>
      </c>
      <c r="C54" s="27" t="s">
        <v>1741</v>
      </c>
      <c r="D54" s="53" t="s">
        <v>89</v>
      </c>
      <c r="E54" s="53" t="s">
        <v>90</v>
      </c>
      <c r="F54" s="72"/>
      <c r="G54" s="72" t="s">
        <v>518</v>
      </c>
      <c r="H54" s="72"/>
      <c r="I54" s="72"/>
      <c r="J54" s="14" t="s">
        <v>91</v>
      </c>
      <c r="K54" s="14" t="s">
        <v>59</v>
      </c>
      <c r="L54" s="14" t="s">
        <v>93</v>
      </c>
      <c r="M54" s="14" t="s">
        <v>132</v>
      </c>
      <c r="N54" s="18" t="s">
        <v>21</v>
      </c>
      <c r="O54" s="14" t="s">
        <v>24</v>
      </c>
      <c r="P54" s="19">
        <v>42753.7</v>
      </c>
      <c r="Q54" s="19">
        <v>42771.570833333331</v>
      </c>
      <c r="R54" s="19">
        <v>42754.895833333336</v>
      </c>
      <c r="S54" s="14" t="s">
        <v>518</v>
      </c>
      <c r="T54" s="14" t="s">
        <v>518</v>
      </c>
      <c r="U54" s="14" t="s">
        <v>89</v>
      </c>
      <c r="V54" s="28">
        <v>42754</v>
      </c>
      <c r="W54" s="14">
        <v>0</v>
      </c>
      <c r="X54" s="14">
        <v>0</v>
      </c>
      <c r="Y54" s="20" t="s">
        <v>1742</v>
      </c>
      <c r="Z54" s="14"/>
      <c r="AA54" s="14"/>
      <c r="AB54" s="14"/>
      <c r="AC54" s="14"/>
      <c r="AD54" s="14"/>
      <c r="AE54" s="14"/>
      <c r="AF54" s="14" t="s">
        <v>1743</v>
      </c>
      <c r="AG54" s="14" t="s">
        <v>1744</v>
      </c>
      <c r="AH54" s="14"/>
      <c r="AI54" s="14"/>
      <c r="AJ54" s="14"/>
      <c r="AK54" s="14"/>
      <c r="AL54" s="14"/>
      <c r="AM54" s="14"/>
      <c r="AN54" s="14" t="s">
        <v>1105</v>
      </c>
      <c r="AO54" s="14" t="s">
        <v>1745</v>
      </c>
      <c r="AP54" s="14" t="s">
        <v>250</v>
      </c>
      <c r="AQ54" s="14"/>
      <c r="AR54" s="53"/>
      <c r="AS54" s="53" t="s">
        <v>89</v>
      </c>
      <c r="AT54" s="53" t="s">
        <v>99</v>
      </c>
      <c r="AU54" s="51" t="str">
        <f>VLOOKUP(O54,[1]Lookup!A:B,2,FALSE)</f>
        <v>Test-SIT</v>
      </c>
      <c r="AV54" s="25" t="str">
        <f>VLOOKUP(test1[[#This Row],[Assignee]],lookup[#All],2,FALSE)</f>
        <v>Test-SIT</v>
      </c>
      <c r="AW54" s="25">
        <f ca="1">IF(test1[[#This Row],[Status]]&lt;&gt;"Closed", TODAY()-INT(test1[[#This Row],[Created]]),INT(test1[[#This Row],[Resolved]])-INT(test1[[#This Row],[Created]]))</f>
        <v>75</v>
      </c>
    </row>
    <row r="55" spans="1:49" s="16" customFormat="1" ht="256.5" x14ac:dyDescent="0.2">
      <c r="A55" s="48" t="s">
        <v>86</v>
      </c>
      <c r="B55" s="29" t="s">
        <v>1735</v>
      </c>
      <c r="C55" s="27" t="s">
        <v>1736</v>
      </c>
      <c r="D55" s="53" t="s">
        <v>89</v>
      </c>
      <c r="E55" s="53" t="s">
        <v>1540</v>
      </c>
      <c r="F55" s="72"/>
      <c r="G55" s="72" t="s">
        <v>518</v>
      </c>
      <c r="H55" s="72"/>
      <c r="I55" s="72"/>
      <c r="J55" s="14" t="s">
        <v>91</v>
      </c>
      <c r="K55" s="14" t="s">
        <v>59</v>
      </c>
      <c r="L55" s="14" t="s">
        <v>93</v>
      </c>
      <c r="M55" s="14" t="s">
        <v>132</v>
      </c>
      <c r="N55" s="18" t="s">
        <v>24</v>
      </c>
      <c r="O55" s="14" t="s">
        <v>24</v>
      </c>
      <c r="P55" s="19">
        <v>42753.763888888891</v>
      </c>
      <c r="Q55" s="19">
        <v>42771.574999999997</v>
      </c>
      <c r="R55" s="19">
        <v>42753.794444444444</v>
      </c>
      <c r="S55" s="14" t="s">
        <v>518</v>
      </c>
      <c r="T55" s="14" t="s">
        <v>518</v>
      </c>
      <c r="U55" s="14" t="s">
        <v>130</v>
      </c>
      <c r="V55" s="28">
        <v>42754</v>
      </c>
      <c r="W55" s="14">
        <v>0</v>
      </c>
      <c r="X55" s="14">
        <v>0</v>
      </c>
      <c r="Y55" s="14"/>
      <c r="Z55" s="14"/>
      <c r="AA55" s="14"/>
      <c r="AB55" s="14"/>
      <c r="AC55" s="14"/>
      <c r="AD55" s="14"/>
      <c r="AE55" s="14"/>
      <c r="AF55" s="14" t="s">
        <v>1737</v>
      </c>
      <c r="AG55" s="14" t="s">
        <v>1738</v>
      </c>
      <c r="AH55" s="14"/>
      <c r="AI55" s="14"/>
      <c r="AJ55" s="14"/>
      <c r="AK55" s="14"/>
      <c r="AL55" s="14"/>
      <c r="AM55" s="14"/>
      <c r="AN55" s="14" t="s">
        <v>255</v>
      </c>
      <c r="AO55" s="14" t="s">
        <v>1739</v>
      </c>
      <c r="AP55" s="14" t="s">
        <v>779</v>
      </c>
      <c r="AQ55" s="14"/>
      <c r="AR55" s="53"/>
      <c r="AS55" s="53" t="s">
        <v>89</v>
      </c>
      <c r="AT55" s="53" t="s">
        <v>1540</v>
      </c>
      <c r="AU55" s="51" t="str">
        <f>VLOOKUP(O55,[1]Lookup!A:B,2,FALSE)</f>
        <v>Test-SIT</v>
      </c>
      <c r="AV55" s="25" t="str">
        <f>VLOOKUP(test1[[#This Row],[Assignee]],lookup[#All],2,FALSE)</f>
        <v>Test-SIT</v>
      </c>
      <c r="AW55" s="25">
        <f ca="1">IF(test1[[#This Row],[Status]]&lt;&gt;"Closed", TODAY()-INT(test1[[#This Row],[Created]]),INT(test1[[#This Row],[Resolved]])-INT(test1[[#This Row],[Created]]))</f>
        <v>75</v>
      </c>
    </row>
    <row r="56" spans="1:49" s="16" customFormat="1" ht="409.5" x14ac:dyDescent="0.2">
      <c r="A56" s="48" t="s">
        <v>86</v>
      </c>
      <c r="B56" s="29" t="s">
        <v>1729</v>
      </c>
      <c r="C56" s="27" t="s">
        <v>1730</v>
      </c>
      <c r="D56" s="53" t="s">
        <v>89</v>
      </c>
      <c r="E56" s="53" t="s">
        <v>1556</v>
      </c>
      <c r="F56" s="72"/>
      <c r="G56" s="72" t="s">
        <v>518</v>
      </c>
      <c r="H56" s="72"/>
      <c r="I56" s="72"/>
      <c r="J56" s="14" t="s">
        <v>91</v>
      </c>
      <c r="K56" s="14" t="s">
        <v>59</v>
      </c>
      <c r="L56" s="14" t="s">
        <v>93</v>
      </c>
      <c r="M56" s="14" t="s">
        <v>132</v>
      </c>
      <c r="N56" s="18" t="s">
        <v>21</v>
      </c>
      <c r="O56" s="14" t="s">
        <v>24</v>
      </c>
      <c r="P56" s="19">
        <v>42753.797222222223</v>
      </c>
      <c r="Q56" s="19">
        <v>42771.64166666667</v>
      </c>
      <c r="R56" s="19">
        <v>42758.710416666669</v>
      </c>
      <c r="S56" s="14" t="s">
        <v>518</v>
      </c>
      <c r="T56" s="14" t="s">
        <v>518</v>
      </c>
      <c r="U56" s="14" t="s">
        <v>89</v>
      </c>
      <c r="V56" s="28">
        <v>42754</v>
      </c>
      <c r="W56" s="14">
        <v>1</v>
      </c>
      <c r="X56" s="14">
        <v>1</v>
      </c>
      <c r="Y56" s="20" t="s">
        <v>1731</v>
      </c>
      <c r="Z56" s="14"/>
      <c r="AA56" s="14"/>
      <c r="AB56" s="14"/>
      <c r="AC56" s="14"/>
      <c r="AD56" s="14"/>
      <c r="AE56" s="14"/>
      <c r="AF56" s="14" t="s">
        <v>1732</v>
      </c>
      <c r="AG56" s="14" t="s">
        <v>1733</v>
      </c>
      <c r="AH56" s="14"/>
      <c r="AI56" s="14"/>
      <c r="AJ56" s="14"/>
      <c r="AK56" s="14"/>
      <c r="AL56" s="14"/>
      <c r="AM56" s="14"/>
      <c r="AN56" s="14" t="s">
        <v>1523</v>
      </c>
      <c r="AO56" s="14" t="s">
        <v>1734</v>
      </c>
      <c r="AP56" s="14" t="s">
        <v>779</v>
      </c>
      <c r="AQ56" s="14"/>
      <c r="AR56" s="53"/>
      <c r="AS56" s="53" t="s">
        <v>89</v>
      </c>
      <c r="AT56" s="53" t="s">
        <v>1556</v>
      </c>
      <c r="AU56" s="51" t="str">
        <f>VLOOKUP(O56,[1]Lookup!A:B,2,FALSE)</f>
        <v>Test-SIT</v>
      </c>
      <c r="AV56" s="25" t="str">
        <f>VLOOKUP(test1[[#This Row],[Assignee]],lookup[#All],2,FALSE)</f>
        <v>Test-SIT</v>
      </c>
      <c r="AW56" s="25">
        <f ca="1">IF(test1[[#This Row],[Status]]&lt;&gt;"Closed", TODAY()-INT(test1[[#This Row],[Created]]),INT(test1[[#This Row],[Resolved]])-INT(test1[[#This Row],[Created]]))</f>
        <v>75</v>
      </c>
    </row>
    <row r="57" spans="1:49" s="16" customFormat="1" ht="156.75" x14ac:dyDescent="0.2">
      <c r="A57" s="48" t="s">
        <v>86</v>
      </c>
      <c r="B57" s="29" t="s">
        <v>1724</v>
      </c>
      <c r="C57" s="27" t="s">
        <v>1725</v>
      </c>
      <c r="D57" s="53" t="s">
        <v>89</v>
      </c>
      <c r="E57" s="53" t="s">
        <v>477</v>
      </c>
      <c r="F57" s="72"/>
      <c r="G57" s="72" t="s">
        <v>139</v>
      </c>
      <c r="H57" s="72"/>
      <c r="I57" s="72"/>
      <c r="J57" s="14" t="s">
        <v>91</v>
      </c>
      <c r="K57" s="14" t="s">
        <v>59</v>
      </c>
      <c r="L57" s="14" t="s">
        <v>93</v>
      </c>
      <c r="M57" s="14" t="s">
        <v>132</v>
      </c>
      <c r="N57" s="18" t="s">
        <v>21</v>
      </c>
      <c r="O57" s="14" t="s">
        <v>21</v>
      </c>
      <c r="P57" s="19">
        <v>42754.913194444445</v>
      </c>
      <c r="Q57" s="19">
        <v>42773.413194444445</v>
      </c>
      <c r="R57" s="19">
        <v>42773.413194444445</v>
      </c>
      <c r="S57" s="14" t="s">
        <v>518</v>
      </c>
      <c r="T57" s="14" t="s">
        <v>139</v>
      </c>
      <c r="U57" s="14" t="s">
        <v>89</v>
      </c>
      <c r="V57" s="28">
        <v>42755</v>
      </c>
      <c r="W57" s="14">
        <v>0</v>
      </c>
      <c r="X57" s="14">
        <v>0</v>
      </c>
      <c r="Y57" s="14"/>
      <c r="Z57" s="14"/>
      <c r="AA57" s="14"/>
      <c r="AB57" s="14"/>
      <c r="AC57" s="14"/>
      <c r="AD57" s="14"/>
      <c r="AE57" s="14"/>
      <c r="AF57" s="14" t="s">
        <v>1726</v>
      </c>
      <c r="AG57" s="14" t="s">
        <v>1727</v>
      </c>
      <c r="AH57" s="14"/>
      <c r="AI57" s="14"/>
      <c r="AJ57" s="14"/>
      <c r="AK57" s="14"/>
      <c r="AL57" s="14"/>
      <c r="AM57" s="14"/>
      <c r="AN57" s="14" t="s">
        <v>193</v>
      </c>
      <c r="AO57" s="14" t="s">
        <v>1728</v>
      </c>
      <c r="AP57" s="14"/>
      <c r="AQ57" s="14"/>
      <c r="AR57" s="53"/>
      <c r="AS57" s="53" t="s">
        <v>89</v>
      </c>
      <c r="AT57" s="53" t="s">
        <v>477</v>
      </c>
      <c r="AU57" s="51" t="str">
        <f>VLOOKUP(O57,[1]Lookup!A:B,2,FALSE)</f>
        <v>Test-SIT</v>
      </c>
      <c r="AV57" s="25" t="str">
        <f>VLOOKUP(test1[[#This Row],[Assignee]],lookup[#All],2,FALSE)</f>
        <v>Test-SIT</v>
      </c>
      <c r="AW57" s="25">
        <f ca="1">IF(test1[[#This Row],[Status]]&lt;&gt;"Closed", TODAY()-INT(test1[[#This Row],[Created]]),INT(test1[[#This Row],[Resolved]])-INT(test1[[#This Row],[Created]]))</f>
        <v>74</v>
      </c>
    </row>
    <row r="58" spans="1:49" s="16" customFormat="1" ht="156.75" x14ac:dyDescent="0.2">
      <c r="A58" s="48" t="s">
        <v>86</v>
      </c>
      <c r="B58" s="29" t="s">
        <v>1718</v>
      </c>
      <c r="C58" s="27" t="s">
        <v>1719</v>
      </c>
      <c r="D58" s="53" t="s">
        <v>89</v>
      </c>
      <c r="E58" s="53" t="s">
        <v>193</v>
      </c>
      <c r="F58" s="72"/>
      <c r="G58" s="72" t="s">
        <v>139</v>
      </c>
      <c r="H58" s="72"/>
      <c r="I58" s="72"/>
      <c r="J58" s="14" t="s">
        <v>91</v>
      </c>
      <c r="K58" s="14" t="s">
        <v>59</v>
      </c>
      <c r="L58" s="14" t="s">
        <v>93</v>
      </c>
      <c r="M58" s="14" t="s">
        <v>132</v>
      </c>
      <c r="N58" s="18" t="s">
        <v>21</v>
      </c>
      <c r="O58" s="14" t="s">
        <v>21</v>
      </c>
      <c r="P58" s="19">
        <v>42754.918055555558</v>
      </c>
      <c r="Q58" s="19">
        <v>42768.738194444442</v>
      </c>
      <c r="R58" s="19">
        <v>42766.444444444445</v>
      </c>
      <c r="S58" s="14" t="s">
        <v>518</v>
      </c>
      <c r="T58" s="14" t="s">
        <v>139</v>
      </c>
      <c r="U58" s="14" t="s">
        <v>89</v>
      </c>
      <c r="V58" s="28">
        <v>42755</v>
      </c>
      <c r="W58" s="14">
        <v>0</v>
      </c>
      <c r="X58" s="14">
        <v>0</v>
      </c>
      <c r="Y58" s="20" t="s">
        <v>1720</v>
      </c>
      <c r="Z58" s="14"/>
      <c r="AA58" s="14"/>
      <c r="AB58" s="14"/>
      <c r="AC58" s="14"/>
      <c r="AD58" s="14"/>
      <c r="AE58" s="14"/>
      <c r="AF58" s="14" t="s">
        <v>1721</v>
      </c>
      <c r="AG58" s="14" t="s">
        <v>1722</v>
      </c>
      <c r="AH58" s="14"/>
      <c r="AI58" s="14"/>
      <c r="AJ58" s="14"/>
      <c r="AK58" s="14"/>
      <c r="AL58" s="14"/>
      <c r="AM58" s="14"/>
      <c r="AN58" s="14" t="s">
        <v>193</v>
      </c>
      <c r="AO58" s="14" t="s">
        <v>1723</v>
      </c>
      <c r="AP58" s="14"/>
      <c r="AQ58" s="14"/>
      <c r="AR58" s="53"/>
      <c r="AS58" s="53" t="s">
        <v>89</v>
      </c>
      <c r="AT58" s="53" t="s">
        <v>193</v>
      </c>
      <c r="AU58" s="51" t="str">
        <f>VLOOKUP(O58,[1]Lookup!A:B,2,FALSE)</f>
        <v>Test-SIT</v>
      </c>
      <c r="AV58" s="25" t="str">
        <f>VLOOKUP(test1[[#This Row],[Assignee]],lookup[#All],2,FALSE)</f>
        <v>Test-SIT</v>
      </c>
      <c r="AW58" s="25">
        <f ca="1">IF(test1[[#This Row],[Status]]&lt;&gt;"Closed", TODAY()-INT(test1[[#This Row],[Created]]),INT(test1[[#This Row],[Resolved]])-INT(test1[[#This Row],[Created]]))</f>
        <v>74</v>
      </c>
    </row>
    <row r="59" spans="1:49" s="16" customFormat="1" ht="270.75" x14ac:dyDescent="0.2">
      <c r="A59" s="48" t="s">
        <v>86</v>
      </c>
      <c r="B59" s="29" t="s">
        <v>1713</v>
      </c>
      <c r="C59" s="27" t="s">
        <v>1714</v>
      </c>
      <c r="D59" s="53" t="s">
        <v>89</v>
      </c>
      <c r="E59" s="53" t="s">
        <v>435</v>
      </c>
      <c r="F59" s="72"/>
      <c r="G59" s="72" t="s">
        <v>139</v>
      </c>
      <c r="H59" s="72"/>
      <c r="I59" s="72"/>
      <c r="J59" s="14" t="s">
        <v>91</v>
      </c>
      <c r="K59" s="14" t="s">
        <v>59</v>
      </c>
      <c r="L59" s="14" t="s">
        <v>93</v>
      </c>
      <c r="M59" s="14" t="s">
        <v>132</v>
      </c>
      <c r="N59" s="18" t="s">
        <v>21</v>
      </c>
      <c r="O59" s="14" t="s">
        <v>24</v>
      </c>
      <c r="P59" s="19">
        <v>42755.67083333333</v>
      </c>
      <c r="Q59" s="19">
        <v>42771.64166666667</v>
      </c>
      <c r="R59" s="19">
        <v>42771.64166666667</v>
      </c>
      <c r="S59" s="14" t="s">
        <v>518</v>
      </c>
      <c r="T59" s="14" t="s">
        <v>139</v>
      </c>
      <c r="U59" s="14" t="s">
        <v>89</v>
      </c>
      <c r="V59" s="28">
        <v>42756</v>
      </c>
      <c r="W59" s="14">
        <v>0</v>
      </c>
      <c r="X59" s="14">
        <v>0</v>
      </c>
      <c r="Y59" s="14"/>
      <c r="Z59" s="14"/>
      <c r="AA59" s="14"/>
      <c r="AB59" s="14"/>
      <c r="AC59" s="14"/>
      <c r="AD59" s="14"/>
      <c r="AE59" s="14"/>
      <c r="AF59" s="14" t="s">
        <v>1715</v>
      </c>
      <c r="AG59" s="14" t="s">
        <v>1716</v>
      </c>
      <c r="AH59" s="14"/>
      <c r="AI59" s="14"/>
      <c r="AJ59" s="14"/>
      <c r="AK59" s="14"/>
      <c r="AL59" s="14"/>
      <c r="AM59" s="14"/>
      <c r="AN59" s="14" t="s">
        <v>1717</v>
      </c>
      <c r="AO59" s="14" t="s">
        <v>1505</v>
      </c>
      <c r="AP59" s="14"/>
      <c r="AQ59" s="14"/>
      <c r="AR59" s="53"/>
      <c r="AS59" s="53" t="s">
        <v>89</v>
      </c>
      <c r="AT59" s="53" t="s">
        <v>435</v>
      </c>
      <c r="AU59" s="51" t="str">
        <f>VLOOKUP(O59,[1]Lookup!A:B,2,FALSE)</f>
        <v>Test-SIT</v>
      </c>
      <c r="AV59" s="25" t="str">
        <f>VLOOKUP(test1[[#This Row],[Assignee]],lookup[#All],2,FALSE)</f>
        <v>Test-SIT</v>
      </c>
      <c r="AW59" s="25">
        <f ca="1">IF(test1[[#This Row],[Status]]&lt;&gt;"Closed", TODAY()-INT(test1[[#This Row],[Created]]),INT(test1[[#This Row],[Resolved]])-INT(test1[[#This Row],[Created]]))</f>
        <v>73</v>
      </c>
    </row>
    <row r="60" spans="1:49" s="16" customFormat="1" ht="409.5" x14ac:dyDescent="0.2">
      <c r="A60" s="48" t="s">
        <v>86</v>
      </c>
      <c r="B60" s="29" t="s">
        <v>1709</v>
      </c>
      <c r="C60" s="27" t="s">
        <v>1634</v>
      </c>
      <c r="D60" s="53" t="s">
        <v>89</v>
      </c>
      <c r="E60" s="53" t="s">
        <v>507</v>
      </c>
      <c r="F60" s="74" t="s">
        <v>1276</v>
      </c>
      <c r="G60" s="76" t="s">
        <v>155</v>
      </c>
      <c r="H60" s="77" t="s">
        <v>1277</v>
      </c>
      <c r="I60" s="74" t="s">
        <v>1278</v>
      </c>
      <c r="J60" s="14" t="s">
        <v>91</v>
      </c>
      <c r="K60" s="14" t="s">
        <v>59</v>
      </c>
      <c r="L60" s="14" t="s">
        <v>93</v>
      </c>
      <c r="M60" s="14" t="s">
        <v>1129</v>
      </c>
      <c r="N60" s="18" t="s">
        <v>8</v>
      </c>
      <c r="O60" s="14" t="s">
        <v>21</v>
      </c>
      <c r="P60" s="19">
        <v>42757.493750000001</v>
      </c>
      <c r="Q60" s="19">
        <v>42807.652083333334</v>
      </c>
      <c r="R60" s="19">
        <v>42807.652083333334</v>
      </c>
      <c r="S60" s="14" t="s">
        <v>518</v>
      </c>
      <c r="T60" s="14" t="s">
        <v>510</v>
      </c>
      <c r="U60" s="14" t="s">
        <v>1710</v>
      </c>
      <c r="V60" s="28">
        <v>42762</v>
      </c>
      <c r="W60" s="14">
        <v>0</v>
      </c>
      <c r="X60" s="14">
        <v>0</v>
      </c>
      <c r="Y60" s="14"/>
      <c r="Z60" s="14"/>
      <c r="AA60" s="14"/>
      <c r="AB60" s="14"/>
      <c r="AC60" s="14"/>
      <c r="AD60" s="14"/>
      <c r="AE60" s="14" t="s">
        <v>1332</v>
      </c>
      <c r="AF60" s="14" t="s">
        <v>1711</v>
      </c>
      <c r="AG60" s="14" t="s">
        <v>1712</v>
      </c>
      <c r="AH60" s="14"/>
      <c r="AI60" s="14"/>
      <c r="AJ60" s="14"/>
      <c r="AK60" s="14"/>
      <c r="AL60" s="14"/>
      <c r="AM60" s="14"/>
      <c r="AN60" s="14" t="s">
        <v>149</v>
      </c>
      <c r="AO60" s="14" t="s">
        <v>221</v>
      </c>
      <c r="AP60" s="14"/>
      <c r="AQ60" s="14"/>
      <c r="AR60" s="53"/>
      <c r="AS60" s="53" t="s">
        <v>89</v>
      </c>
      <c r="AT60" s="53" t="s">
        <v>513</v>
      </c>
      <c r="AU60" s="51" t="str">
        <f>VLOOKUP(O60,[1]Lookup!A:B,2,FALSE)</f>
        <v>Test-SIT</v>
      </c>
      <c r="AV60" s="25" t="str">
        <f>VLOOKUP(test1[[#This Row],[Assignee]],lookup[#All],2,FALSE)</f>
        <v>BTS-Dev</v>
      </c>
      <c r="AW60" s="25">
        <f ca="1">IF(test1[[#This Row],[Status]]&lt;&gt;"Closed", TODAY()-INT(test1[[#This Row],[Created]]),INT(test1[[#This Row],[Resolved]])-INT(test1[[#This Row],[Created]]))</f>
        <v>71</v>
      </c>
    </row>
    <row r="61" spans="1:49" s="16" customFormat="1" ht="370.5" x14ac:dyDescent="0.2">
      <c r="A61" s="48" t="s">
        <v>86</v>
      </c>
      <c r="B61" s="29" t="s">
        <v>1705</v>
      </c>
      <c r="C61" s="27" t="s">
        <v>1706</v>
      </c>
      <c r="D61" s="22" t="s">
        <v>96</v>
      </c>
      <c r="E61" s="22" t="s">
        <v>166</v>
      </c>
      <c r="F61" s="72"/>
      <c r="G61" s="72" t="s">
        <v>139</v>
      </c>
      <c r="H61" s="72"/>
      <c r="I61" s="72"/>
      <c r="J61" s="14" t="s">
        <v>91</v>
      </c>
      <c r="K61" s="14" t="s">
        <v>59</v>
      </c>
      <c r="L61" s="14" t="s">
        <v>124</v>
      </c>
      <c r="M61" s="14" t="s">
        <v>132</v>
      </c>
      <c r="N61" s="18" t="s">
        <v>21</v>
      </c>
      <c r="O61" s="14" t="s">
        <v>21</v>
      </c>
      <c r="P61" s="19">
        <v>42757.518750000003</v>
      </c>
      <c r="Q61" s="19">
        <v>42772.521527777775</v>
      </c>
      <c r="R61" s="19">
        <v>42766.601388888892</v>
      </c>
      <c r="S61" s="14" t="s">
        <v>518</v>
      </c>
      <c r="T61" s="14" t="s">
        <v>139</v>
      </c>
      <c r="U61" s="14" t="s">
        <v>96</v>
      </c>
      <c r="V61" s="28">
        <v>42760</v>
      </c>
      <c r="W61" s="14">
        <v>0</v>
      </c>
      <c r="X61" s="14">
        <v>0</v>
      </c>
      <c r="Y61" s="14"/>
      <c r="Z61" s="14"/>
      <c r="AA61" s="14"/>
      <c r="AB61" s="14"/>
      <c r="AC61" s="14"/>
      <c r="AD61" s="14"/>
      <c r="AE61" s="14"/>
      <c r="AF61" s="14" t="s">
        <v>1707</v>
      </c>
      <c r="AG61" s="14" t="s">
        <v>1708</v>
      </c>
      <c r="AH61" s="14"/>
      <c r="AI61" s="14"/>
      <c r="AJ61" s="14"/>
      <c r="AK61" s="14"/>
      <c r="AL61" s="14"/>
      <c r="AM61" s="14"/>
      <c r="AN61" s="14" t="s">
        <v>235</v>
      </c>
      <c r="AO61" s="14" t="s">
        <v>1653</v>
      </c>
      <c r="AP61" s="14"/>
      <c r="AQ61" s="14"/>
      <c r="AR61" s="53"/>
      <c r="AS61" s="53" t="s">
        <v>96</v>
      </c>
      <c r="AT61" s="53" t="s">
        <v>959</v>
      </c>
      <c r="AU61" s="51" t="str">
        <f>VLOOKUP(O61,[1]Lookup!A:B,2,FALSE)</f>
        <v>Test-SIT</v>
      </c>
      <c r="AV61" s="25" t="str">
        <f>VLOOKUP(test1[[#This Row],[Assignee]],lookup[#All],2,FALSE)</f>
        <v>Test-SIT</v>
      </c>
      <c r="AW61" s="25">
        <f ca="1">IF(test1[[#This Row],[Status]]&lt;&gt;"Closed", TODAY()-INT(test1[[#This Row],[Created]]),INT(test1[[#This Row],[Resolved]])-INT(test1[[#This Row],[Created]]))</f>
        <v>71</v>
      </c>
    </row>
    <row r="62" spans="1:49" s="16" customFormat="1" ht="409.5" x14ac:dyDescent="0.2">
      <c r="A62" s="48" t="s">
        <v>86</v>
      </c>
      <c r="B62" s="29" t="s">
        <v>1701</v>
      </c>
      <c r="C62" s="27" t="s">
        <v>1702</v>
      </c>
      <c r="D62" s="53" t="s">
        <v>96</v>
      </c>
      <c r="E62" s="53" t="s">
        <v>166</v>
      </c>
      <c r="F62" s="72"/>
      <c r="G62" s="72" t="s">
        <v>139</v>
      </c>
      <c r="H62" s="72"/>
      <c r="I62" s="72"/>
      <c r="J62" s="14" t="s">
        <v>91</v>
      </c>
      <c r="K62" s="14" t="s">
        <v>59</v>
      </c>
      <c r="L62" s="14" t="s">
        <v>124</v>
      </c>
      <c r="M62" s="14" t="s">
        <v>132</v>
      </c>
      <c r="N62" s="18" t="s">
        <v>21</v>
      </c>
      <c r="O62" s="14" t="s">
        <v>21</v>
      </c>
      <c r="P62" s="19">
        <v>42757.537499999999</v>
      </c>
      <c r="Q62" s="19">
        <v>42772.526388888888</v>
      </c>
      <c r="R62" s="19">
        <v>42766.57708333333</v>
      </c>
      <c r="S62" s="14" t="s">
        <v>518</v>
      </c>
      <c r="T62" s="14" t="s">
        <v>139</v>
      </c>
      <c r="U62" s="14" t="s">
        <v>96</v>
      </c>
      <c r="V62" s="28">
        <v>42760</v>
      </c>
      <c r="W62" s="14">
        <v>0</v>
      </c>
      <c r="X62" s="14">
        <v>0</v>
      </c>
      <c r="Y62" s="14"/>
      <c r="Z62" s="14"/>
      <c r="AA62" s="14"/>
      <c r="AB62" s="14"/>
      <c r="AC62" s="14"/>
      <c r="AD62" s="14"/>
      <c r="AE62" s="14"/>
      <c r="AF62" s="14" t="s">
        <v>1703</v>
      </c>
      <c r="AG62" s="14" t="s">
        <v>1704</v>
      </c>
      <c r="AH62" s="14"/>
      <c r="AI62" s="14"/>
      <c r="AJ62" s="14"/>
      <c r="AK62" s="14"/>
      <c r="AL62" s="14"/>
      <c r="AM62" s="14"/>
      <c r="AN62" s="14" t="s">
        <v>235</v>
      </c>
      <c r="AO62" s="14" t="s">
        <v>1653</v>
      </c>
      <c r="AP62" s="14" t="s">
        <v>146</v>
      </c>
      <c r="AQ62" s="14"/>
      <c r="AR62" s="53"/>
      <c r="AS62" s="53" t="s">
        <v>96</v>
      </c>
      <c r="AT62" s="53" t="s">
        <v>959</v>
      </c>
      <c r="AU62" s="51" t="str">
        <f>VLOOKUP(O62,[1]Lookup!A:B,2,FALSE)</f>
        <v>Test-SIT</v>
      </c>
      <c r="AV62" s="25" t="str">
        <f>VLOOKUP(test1[[#This Row],[Assignee]],lookup[#All],2,FALSE)</f>
        <v>Test-SIT</v>
      </c>
      <c r="AW62" s="25">
        <f ca="1">IF(test1[[#This Row],[Status]]&lt;&gt;"Closed", TODAY()-INT(test1[[#This Row],[Created]]),INT(test1[[#This Row],[Resolved]])-INT(test1[[#This Row],[Created]]))</f>
        <v>71</v>
      </c>
    </row>
    <row r="63" spans="1:49" s="16" customFormat="1" ht="356.25" x14ac:dyDescent="0.2">
      <c r="A63" s="48" t="s">
        <v>86</v>
      </c>
      <c r="B63" s="29" t="s">
        <v>1697</v>
      </c>
      <c r="C63" s="27" t="s">
        <v>1698</v>
      </c>
      <c r="D63" s="69" t="s">
        <v>96</v>
      </c>
      <c r="E63" s="69" t="s">
        <v>166</v>
      </c>
      <c r="F63" s="27"/>
      <c r="G63" s="27" t="s">
        <v>518</v>
      </c>
      <c r="H63" s="27"/>
      <c r="I63" s="27"/>
      <c r="J63" s="14" t="s">
        <v>91</v>
      </c>
      <c r="K63" s="14" t="s">
        <v>59</v>
      </c>
      <c r="L63" s="14" t="s">
        <v>124</v>
      </c>
      <c r="M63" s="14" t="s">
        <v>132</v>
      </c>
      <c r="N63" s="18" t="s">
        <v>21</v>
      </c>
      <c r="O63" s="14" t="s">
        <v>21</v>
      </c>
      <c r="P63" s="19">
        <v>42757.54791666667</v>
      </c>
      <c r="Q63" s="19">
        <v>42772.526388888888</v>
      </c>
      <c r="R63" s="19">
        <v>42761.619444444441</v>
      </c>
      <c r="S63" s="14" t="s">
        <v>518</v>
      </c>
      <c r="T63" s="14" t="s">
        <v>518</v>
      </c>
      <c r="U63" s="14" t="s">
        <v>96</v>
      </c>
      <c r="V63" s="28">
        <v>42760</v>
      </c>
      <c r="W63" s="14">
        <v>0</v>
      </c>
      <c r="X63" s="14">
        <v>0</v>
      </c>
      <c r="Y63" s="14"/>
      <c r="Z63" s="14"/>
      <c r="AA63" s="14"/>
      <c r="AB63" s="14"/>
      <c r="AC63" s="14"/>
      <c r="AD63" s="14"/>
      <c r="AE63" s="14"/>
      <c r="AF63" s="14" t="s">
        <v>1699</v>
      </c>
      <c r="AG63" s="14" t="s">
        <v>1700</v>
      </c>
      <c r="AH63" s="14"/>
      <c r="AI63" s="14"/>
      <c r="AJ63" s="14"/>
      <c r="AK63" s="14"/>
      <c r="AL63" s="14"/>
      <c r="AM63" s="14"/>
      <c r="AN63" s="14" t="s">
        <v>235</v>
      </c>
      <c r="AO63" s="14" t="s">
        <v>1648</v>
      </c>
      <c r="AP63" s="14"/>
      <c r="AQ63" s="14"/>
      <c r="AR63" s="22"/>
      <c r="AS63" s="69" t="s">
        <v>96</v>
      </c>
      <c r="AT63" s="69" t="s">
        <v>959</v>
      </c>
      <c r="AU63" s="25" t="str">
        <f>VLOOKUP(O63,[1]Lookup!A:B,2,FALSE)</f>
        <v>Test-SIT</v>
      </c>
      <c r="AV63" s="25" t="str">
        <f>VLOOKUP(test1[[#This Row],[Assignee]],lookup[#All],2,FALSE)</f>
        <v>Test-SIT</v>
      </c>
      <c r="AW63" s="25">
        <f ca="1">IF(test1[[#This Row],[Status]]&lt;&gt;"Closed", TODAY()-INT(test1[[#This Row],[Created]]),INT(test1[[#This Row],[Resolved]])-INT(test1[[#This Row],[Created]]))</f>
        <v>71</v>
      </c>
    </row>
    <row r="64" spans="1:49" s="16" customFormat="1" ht="356.25" x14ac:dyDescent="0.2">
      <c r="A64" s="48" t="s">
        <v>86</v>
      </c>
      <c r="B64" s="29" t="s">
        <v>1693</v>
      </c>
      <c r="C64" s="27" t="s">
        <v>1694</v>
      </c>
      <c r="D64" s="69" t="s">
        <v>96</v>
      </c>
      <c r="E64" s="69" t="s">
        <v>166</v>
      </c>
      <c r="F64" s="27"/>
      <c r="G64" s="27" t="s">
        <v>139</v>
      </c>
      <c r="H64" s="27"/>
      <c r="I64" s="27"/>
      <c r="J64" s="14" t="s">
        <v>91</v>
      </c>
      <c r="K64" s="14" t="s">
        <v>59</v>
      </c>
      <c r="L64" s="14" t="s">
        <v>124</v>
      </c>
      <c r="M64" s="14" t="s">
        <v>132</v>
      </c>
      <c r="N64" s="18" t="s">
        <v>21</v>
      </c>
      <c r="O64" s="14" t="s">
        <v>21</v>
      </c>
      <c r="P64" s="19">
        <v>42757.554861111108</v>
      </c>
      <c r="Q64" s="19">
        <v>42772.525694444441</v>
      </c>
      <c r="R64" s="19">
        <v>42766.565972222219</v>
      </c>
      <c r="S64" s="14" t="s">
        <v>518</v>
      </c>
      <c r="T64" s="14" t="s">
        <v>139</v>
      </c>
      <c r="U64" s="14" t="s">
        <v>96</v>
      </c>
      <c r="V64" s="28">
        <v>42760</v>
      </c>
      <c r="W64" s="14">
        <v>0</v>
      </c>
      <c r="X64" s="14">
        <v>0</v>
      </c>
      <c r="Y64" s="14"/>
      <c r="Z64" s="14"/>
      <c r="AA64" s="14"/>
      <c r="AB64" s="14"/>
      <c r="AC64" s="14"/>
      <c r="AD64" s="14"/>
      <c r="AE64" s="14"/>
      <c r="AF64" s="14" t="s">
        <v>1695</v>
      </c>
      <c r="AG64" s="14" t="s">
        <v>1696</v>
      </c>
      <c r="AH64" s="14"/>
      <c r="AI64" s="14"/>
      <c r="AJ64" s="14"/>
      <c r="AK64" s="14"/>
      <c r="AL64" s="14"/>
      <c r="AM64" s="14"/>
      <c r="AN64" s="14" t="s">
        <v>235</v>
      </c>
      <c r="AO64" s="14" t="s">
        <v>1653</v>
      </c>
      <c r="AP64" s="14" t="s">
        <v>146</v>
      </c>
      <c r="AQ64" s="14"/>
      <c r="AR64" s="22"/>
      <c r="AS64" s="69" t="s">
        <v>96</v>
      </c>
      <c r="AT64" s="69" t="s">
        <v>959</v>
      </c>
      <c r="AU64" s="25" t="str">
        <f>VLOOKUP(O64,[1]Lookup!A:B,2,FALSE)</f>
        <v>Test-SIT</v>
      </c>
      <c r="AV64" s="25" t="str">
        <f>VLOOKUP(test1[[#This Row],[Assignee]],lookup[#All],2,FALSE)</f>
        <v>Test-SIT</v>
      </c>
      <c r="AW64" s="25">
        <f ca="1">IF(test1[[#This Row],[Status]]&lt;&gt;"Closed", TODAY()-INT(test1[[#This Row],[Created]]),INT(test1[[#This Row],[Resolved]])-INT(test1[[#This Row],[Created]]))</f>
        <v>71</v>
      </c>
    </row>
    <row r="65" spans="1:49" s="16" customFormat="1" ht="228" x14ac:dyDescent="0.2">
      <c r="A65" s="48" t="s">
        <v>86</v>
      </c>
      <c r="B65" s="29" t="s">
        <v>1689</v>
      </c>
      <c r="C65" s="27" t="s">
        <v>1690</v>
      </c>
      <c r="D65" s="69" t="s">
        <v>89</v>
      </c>
      <c r="E65" s="69" t="s">
        <v>229</v>
      </c>
      <c r="F65" s="27"/>
      <c r="G65" s="27"/>
      <c r="H65" s="27"/>
      <c r="I65" s="27"/>
      <c r="J65" s="14" t="s">
        <v>91</v>
      </c>
      <c r="K65" s="14" t="s">
        <v>59</v>
      </c>
      <c r="L65" s="14" t="s">
        <v>103</v>
      </c>
      <c r="M65" s="14" t="s">
        <v>132</v>
      </c>
      <c r="N65" s="18" t="s">
        <v>21</v>
      </c>
      <c r="O65" s="14" t="s">
        <v>21</v>
      </c>
      <c r="P65" s="19">
        <v>42757.776388888888</v>
      </c>
      <c r="Q65" s="19">
        <v>42771.599305555559</v>
      </c>
      <c r="R65" s="19">
        <v>42759.45208333333</v>
      </c>
      <c r="S65" s="14" t="s">
        <v>518</v>
      </c>
      <c r="T65" s="14"/>
      <c r="U65" s="14" t="s">
        <v>96</v>
      </c>
      <c r="V65" s="28">
        <v>42759</v>
      </c>
      <c r="W65" s="14">
        <v>0</v>
      </c>
      <c r="X65" s="14">
        <v>0</v>
      </c>
      <c r="Y65" s="14"/>
      <c r="Z65" s="14"/>
      <c r="AA65" s="14"/>
      <c r="AB65" s="14"/>
      <c r="AC65" s="14"/>
      <c r="AD65" s="14"/>
      <c r="AE65" s="14"/>
      <c r="AF65" s="14" t="s">
        <v>1691</v>
      </c>
      <c r="AG65" s="14" t="s">
        <v>1692</v>
      </c>
      <c r="AH65" s="14"/>
      <c r="AI65" s="14"/>
      <c r="AJ65" s="14"/>
      <c r="AK65" s="14"/>
      <c r="AL65" s="14"/>
      <c r="AM65" s="14"/>
      <c r="AN65" s="14" t="s">
        <v>229</v>
      </c>
      <c r="AO65" s="14" t="s">
        <v>381</v>
      </c>
      <c r="AP65" s="14"/>
      <c r="AQ65" s="14"/>
      <c r="AR65" s="22"/>
      <c r="AS65" s="69" t="s">
        <v>89</v>
      </c>
      <c r="AT65" s="69" t="s">
        <v>229</v>
      </c>
      <c r="AU65" s="25" t="str">
        <f>VLOOKUP(O65,[1]Lookup!A:B,2,FALSE)</f>
        <v>Test-SIT</v>
      </c>
      <c r="AV65" s="25" t="str">
        <f>VLOOKUP(test1[[#This Row],[Assignee]],lookup[#All],2,FALSE)</f>
        <v>Test-SIT</v>
      </c>
      <c r="AW65" s="25">
        <f ca="1">IF(test1[[#This Row],[Status]]&lt;&gt;"Closed", TODAY()-INT(test1[[#This Row],[Created]]),INT(test1[[#This Row],[Resolved]])-INT(test1[[#This Row],[Created]]))</f>
        <v>71</v>
      </c>
    </row>
    <row r="66" spans="1:49" s="16" customFormat="1" ht="409.5" x14ac:dyDescent="0.2">
      <c r="A66" s="48" t="s">
        <v>86</v>
      </c>
      <c r="B66" s="29" t="s">
        <v>1685</v>
      </c>
      <c r="C66" s="27" t="s">
        <v>1686</v>
      </c>
      <c r="D66" s="69" t="s">
        <v>96</v>
      </c>
      <c r="E66" s="22" t="s">
        <v>166</v>
      </c>
      <c r="F66" s="27"/>
      <c r="G66" s="27" t="s">
        <v>139</v>
      </c>
      <c r="H66" s="27"/>
      <c r="I66" s="27"/>
      <c r="J66" s="14" t="s">
        <v>91</v>
      </c>
      <c r="K66" s="14" t="s">
        <v>59</v>
      </c>
      <c r="L66" s="14" t="s">
        <v>124</v>
      </c>
      <c r="M66" s="14" t="s">
        <v>132</v>
      </c>
      <c r="N66" s="18" t="s">
        <v>21</v>
      </c>
      <c r="O66" s="14" t="s">
        <v>21</v>
      </c>
      <c r="P66" s="19">
        <v>42757.777083333334</v>
      </c>
      <c r="Q66" s="19">
        <v>42772.523611111108</v>
      </c>
      <c r="R66" s="19">
        <v>42766.600694444445</v>
      </c>
      <c r="S66" s="14" t="s">
        <v>518</v>
      </c>
      <c r="T66" s="14" t="s">
        <v>139</v>
      </c>
      <c r="U66" s="14" t="s">
        <v>96</v>
      </c>
      <c r="V66" s="28">
        <v>42760</v>
      </c>
      <c r="W66" s="14">
        <v>0</v>
      </c>
      <c r="X66" s="14">
        <v>0</v>
      </c>
      <c r="Y66" s="14"/>
      <c r="Z66" s="14"/>
      <c r="AA66" s="14"/>
      <c r="AB66" s="14"/>
      <c r="AC66" s="14"/>
      <c r="AD66" s="14"/>
      <c r="AE66" s="14"/>
      <c r="AF66" s="14" t="s">
        <v>1687</v>
      </c>
      <c r="AG66" s="14" t="s">
        <v>1688</v>
      </c>
      <c r="AH66" s="14"/>
      <c r="AI66" s="14"/>
      <c r="AJ66" s="14"/>
      <c r="AK66" s="14"/>
      <c r="AL66" s="14"/>
      <c r="AM66" s="14"/>
      <c r="AN66" s="14" t="s">
        <v>235</v>
      </c>
      <c r="AO66" s="14" t="s">
        <v>1653</v>
      </c>
      <c r="AP66" s="14" t="s">
        <v>146</v>
      </c>
      <c r="AQ66" s="14"/>
      <c r="AR66" s="22"/>
      <c r="AS66" s="69" t="s">
        <v>96</v>
      </c>
      <c r="AT66" s="69" t="s">
        <v>959</v>
      </c>
      <c r="AU66" s="25" t="str">
        <f>VLOOKUP(O66,[1]Lookup!A:B,2,FALSE)</f>
        <v>Test-SIT</v>
      </c>
      <c r="AV66" s="25" t="str">
        <f>VLOOKUP(test1[[#This Row],[Assignee]],lookup[#All],2,FALSE)</f>
        <v>Test-SIT</v>
      </c>
      <c r="AW66" s="25">
        <f ca="1">IF(test1[[#This Row],[Status]]&lt;&gt;"Closed", TODAY()-INT(test1[[#This Row],[Created]]),INT(test1[[#This Row],[Resolved]])-INT(test1[[#This Row],[Created]]))</f>
        <v>71</v>
      </c>
    </row>
    <row r="67" spans="1:49" s="16" customFormat="1" ht="242.25" x14ac:dyDescent="0.2">
      <c r="A67" s="48" t="s">
        <v>86</v>
      </c>
      <c r="B67" s="29" t="s">
        <v>1680</v>
      </c>
      <c r="C67" s="27" t="s">
        <v>1681</v>
      </c>
      <c r="D67" s="69" t="s">
        <v>89</v>
      </c>
      <c r="E67" s="69" t="s">
        <v>671</v>
      </c>
      <c r="F67" s="27"/>
      <c r="G67" s="27" t="s">
        <v>139</v>
      </c>
      <c r="H67" s="27"/>
      <c r="I67" s="27"/>
      <c r="J67" s="14" t="s">
        <v>91</v>
      </c>
      <c r="K67" s="14" t="s">
        <v>59</v>
      </c>
      <c r="L67" s="14" t="s">
        <v>93</v>
      </c>
      <c r="M67" s="14" t="s">
        <v>132</v>
      </c>
      <c r="N67" s="18" t="s">
        <v>21</v>
      </c>
      <c r="O67" s="14" t="s">
        <v>24</v>
      </c>
      <c r="P67" s="19">
        <v>42758.398611111108</v>
      </c>
      <c r="Q67" s="19">
        <v>42773.411111111112</v>
      </c>
      <c r="R67" s="19">
        <v>42773.411111111112</v>
      </c>
      <c r="S67" s="14" t="s">
        <v>518</v>
      </c>
      <c r="T67" s="14" t="s">
        <v>139</v>
      </c>
      <c r="U67" s="14" t="s">
        <v>89</v>
      </c>
      <c r="V67" s="28">
        <v>42759</v>
      </c>
      <c r="W67" s="14">
        <v>0</v>
      </c>
      <c r="X67" s="14">
        <v>1</v>
      </c>
      <c r="Y67" s="14"/>
      <c r="Z67" s="14"/>
      <c r="AA67" s="14"/>
      <c r="AB67" s="14"/>
      <c r="AC67" s="14"/>
      <c r="AD67" s="14"/>
      <c r="AE67" s="14"/>
      <c r="AF67" s="14" t="s">
        <v>1682</v>
      </c>
      <c r="AG67" s="14" t="s">
        <v>1683</v>
      </c>
      <c r="AH67" s="14"/>
      <c r="AI67" s="14"/>
      <c r="AJ67" s="14"/>
      <c r="AK67" s="14"/>
      <c r="AL67" s="14"/>
      <c r="AM67" s="14"/>
      <c r="AN67" s="14" t="s">
        <v>671</v>
      </c>
      <c r="AO67" s="14" t="s">
        <v>1684</v>
      </c>
      <c r="AP67" s="14"/>
      <c r="AQ67" s="14"/>
      <c r="AR67" s="22"/>
      <c r="AS67" s="69" t="s">
        <v>89</v>
      </c>
      <c r="AT67" s="69" t="s">
        <v>671</v>
      </c>
      <c r="AU67" s="25" t="str">
        <f>VLOOKUP(O67,[1]Lookup!A:B,2,FALSE)</f>
        <v>Test-SIT</v>
      </c>
      <c r="AV67" s="25" t="str">
        <f>VLOOKUP(test1[[#This Row],[Assignee]],lookup[#All],2,FALSE)</f>
        <v>Test-SIT</v>
      </c>
      <c r="AW67" s="25">
        <f ca="1">IF(test1[[#This Row],[Status]]&lt;&gt;"Closed", TODAY()-INT(test1[[#This Row],[Created]]),INT(test1[[#This Row],[Resolved]])-INT(test1[[#This Row],[Created]]))</f>
        <v>70</v>
      </c>
    </row>
    <row r="68" spans="1:49" s="16" customFormat="1" ht="370.5" x14ac:dyDescent="0.2">
      <c r="A68" s="48" t="s">
        <v>86</v>
      </c>
      <c r="B68" s="29" t="s">
        <v>1674</v>
      </c>
      <c r="C68" s="26" t="s">
        <v>1675</v>
      </c>
      <c r="D68" s="69" t="s">
        <v>89</v>
      </c>
      <c r="E68" s="69" t="s">
        <v>507</v>
      </c>
      <c r="F68" s="26" t="s">
        <v>873</v>
      </c>
      <c r="G68" s="26" t="s">
        <v>312</v>
      </c>
      <c r="H68" s="40" t="s">
        <v>526</v>
      </c>
      <c r="I68" s="40" t="s">
        <v>874</v>
      </c>
      <c r="J68" s="14" t="s">
        <v>91</v>
      </c>
      <c r="K68" s="14" t="s">
        <v>59</v>
      </c>
      <c r="L68" s="14" t="s">
        <v>103</v>
      </c>
      <c r="M68" s="14" t="s">
        <v>132</v>
      </c>
      <c r="N68" s="18" t="s">
        <v>30</v>
      </c>
      <c r="O68" s="14" t="s">
        <v>21</v>
      </c>
      <c r="P68" s="19">
        <v>42758.595833333333</v>
      </c>
      <c r="Q68" s="19">
        <v>42804.59652777778</v>
      </c>
      <c r="R68" s="19">
        <v>42804.59652777778</v>
      </c>
      <c r="S68" s="14" t="s">
        <v>518</v>
      </c>
      <c r="T68" s="14" t="s">
        <v>155</v>
      </c>
      <c r="U68" s="14" t="s">
        <v>840</v>
      </c>
      <c r="V68" s="28">
        <v>42760</v>
      </c>
      <c r="W68" s="14">
        <v>0</v>
      </c>
      <c r="X68" s="14">
        <v>1</v>
      </c>
      <c r="Y68" s="20" t="s">
        <v>1676</v>
      </c>
      <c r="Z68" s="14"/>
      <c r="AA68" s="14"/>
      <c r="AB68" s="14"/>
      <c r="AC68" s="14"/>
      <c r="AD68" s="14"/>
      <c r="AE68" s="14"/>
      <c r="AF68" s="14" t="s">
        <v>1677</v>
      </c>
      <c r="AG68" s="14" t="s">
        <v>1678</v>
      </c>
      <c r="AH68" s="14"/>
      <c r="AI68" s="14"/>
      <c r="AJ68" s="14"/>
      <c r="AK68" s="14"/>
      <c r="AL68" s="14"/>
      <c r="AM68" s="14"/>
      <c r="AN68" s="14" t="s">
        <v>123</v>
      </c>
      <c r="AO68" s="14" t="s">
        <v>1679</v>
      </c>
      <c r="AP68" s="14" t="s">
        <v>146</v>
      </c>
      <c r="AQ68" s="14"/>
      <c r="AR68" s="22"/>
      <c r="AS68" s="69" t="s">
        <v>89</v>
      </c>
      <c r="AT68" s="69" t="s">
        <v>513</v>
      </c>
      <c r="AU68" s="25" t="str">
        <f>VLOOKUP(O68,[1]Lookup!A:B,2,FALSE)</f>
        <v>Test-SIT</v>
      </c>
      <c r="AV68" s="25" t="str">
        <f>VLOOKUP(test1[[#This Row],[Assignee]],lookup[#All],2,FALSE)</f>
        <v>Test-SIT</v>
      </c>
      <c r="AW68" s="25">
        <f ca="1">IF(test1[[#This Row],[Status]]&lt;&gt;"Closed", TODAY()-INT(test1[[#This Row],[Created]]),INT(test1[[#This Row],[Resolved]])-INT(test1[[#This Row],[Created]]))</f>
        <v>70</v>
      </c>
    </row>
    <row r="69" spans="1:49" s="16" customFormat="1" ht="228" x14ac:dyDescent="0.2">
      <c r="A69" s="48" t="s">
        <v>86</v>
      </c>
      <c r="B69" s="29" t="s">
        <v>1669</v>
      </c>
      <c r="C69" s="27" t="s">
        <v>1670</v>
      </c>
      <c r="D69" s="69" t="s">
        <v>89</v>
      </c>
      <c r="E69" s="69" t="s">
        <v>507</v>
      </c>
      <c r="F69" s="27"/>
      <c r="G69" s="27" t="s">
        <v>139</v>
      </c>
      <c r="H69" s="27"/>
      <c r="I69" s="27"/>
      <c r="J69" s="14" t="s">
        <v>91</v>
      </c>
      <c r="K69" s="14" t="s">
        <v>59</v>
      </c>
      <c r="L69" s="14" t="s">
        <v>103</v>
      </c>
      <c r="M69" s="14" t="s">
        <v>132</v>
      </c>
      <c r="N69" s="18" t="s">
        <v>8</v>
      </c>
      <c r="O69" s="14" t="s">
        <v>21</v>
      </c>
      <c r="P69" s="19">
        <v>42758.599305555559</v>
      </c>
      <c r="Q69" s="19">
        <v>42771.652083333334</v>
      </c>
      <c r="R69" s="19">
        <v>42771.652083333334</v>
      </c>
      <c r="S69" s="14" t="s">
        <v>518</v>
      </c>
      <c r="T69" s="14" t="s">
        <v>139</v>
      </c>
      <c r="U69" s="14" t="s">
        <v>89</v>
      </c>
      <c r="V69" s="28">
        <v>42760</v>
      </c>
      <c r="W69" s="14">
        <v>0</v>
      </c>
      <c r="X69" s="14">
        <v>0</v>
      </c>
      <c r="Y69" s="14"/>
      <c r="Z69" s="14"/>
      <c r="AA69" s="14"/>
      <c r="AB69" s="14"/>
      <c r="AC69" s="14"/>
      <c r="AD69" s="14"/>
      <c r="AE69" s="14"/>
      <c r="AF69" s="14" t="s">
        <v>1671</v>
      </c>
      <c r="AG69" s="14" t="s">
        <v>1672</v>
      </c>
      <c r="AH69" s="14"/>
      <c r="AI69" s="14"/>
      <c r="AJ69" s="14"/>
      <c r="AK69" s="14"/>
      <c r="AL69" s="14"/>
      <c r="AM69" s="14"/>
      <c r="AN69" s="14" t="s">
        <v>149</v>
      </c>
      <c r="AO69" s="14" t="s">
        <v>1673</v>
      </c>
      <c r="AP69" s="14" t="s">
        <v>146</v>
      </c>
      <c r="AQ69" s="14"/>
      <c r="AR69" s="22"/>
      <c r="AS69" s="69" t="s">
        <v>89</v>
      </c>
      <c r="AT69" s="69" t="s">
        <v>513</v>
      </c>
      <c r="AU69" s="25" t="str">
        <f>VLOOKUP(O69,[1]Lookup!A:B,2,FALSE)</f>
        <v>Test-SIT</v>
      </c>
      <c r="AV69" s="25" t="str">
        <f>VLOOKUP(test1[[#This Row],[Assignee]],lookup[#All],2,FALSE)</f>
        <v>BTS-Dev</v>
      </c>
      <c r="AW69" s="25">
        <f ca="1">IF(test1[[#This Row],[Status]]&lt;&gt;"Closed", TODAY()-INT(test1[[#This Row],[Created]]),INT(test1[[#This Row],[Resolved]])-INT(test1[[#This Row],[Created]]))</f>
        <v>70</v>
      </c>
    </row>
    <row r="70" spans="1:49" ht="409.5" x14ac:dyDescent="0.2">
      <c r="A70" s="48" t="s">
        <v>86</v>
      </c>
      <c r="B70" s="29" t="s">
        <v>1663</v>
      </c>
      <c r="C70" s="27" t="s">
        <v>1666</v>
      </c>
      <c r="D70" s="22" t="s">
        <v>96</v>
      </c>
      <c r="E70" s="22" t="s">
        <v>166</v>
      </c>
      <c r="F70" s="27"/>
      <c r="G70" s="27" t="s">
        <v>139</v>
      </c>
      <c r="H70" s="27"/>
      <c r="I70" s="27"/>
      <c r="J70" s="14" t="s">
        <v>91</v>
      </c>
      <c r="K70" s="14" t="s">
        <v>59</v>
      </c>
      <c r="L70" s="14" t="s">
        <v>124</v>
      </c>
      <c r="M70" s="14" t="s">
        <v>132</v>
      </c>
      <c r="N70" s="18" t="s">
        <v>21</v>
      </c>
      <c r="O70" s="14" t="s">
        <v>21</v>
      </c>
      <c r="P70" s="19">
        <v>42758.826388888891</v>
      </c>
      <c r="Q70" s="19">
        <v>42772.522916666669</v>
      </c>
      <c r="R70" s="19">
        <v>42770.678472222222</v>
      </c>
      <c r="S70" s="14" t="s">
        <v>518</v>
      </c>
      <c r="T70" s="14" t="s">
        <v>139</v>
      </c>
      <c r="U70" s="14" t="s">
        <v>96</v>
      </c>
      <c r="V70" s="28">
        <v>42760</v>
      </c>
      <c r="W70" s="14">
        <v>0</v>
      </c>
      <c r="X70" s="14">
        <v>0</v>
      </c>
      <c r="Y70" s="14"/>
      <c r="Z70" s="14"/>
      <c r="AA70" s="14"/>
      <c r="AB70" s="14"/>
      <c r="AC70" s="14"/>
      <c r="AD70" s="14"/>
      <c r="AE70" s="14" t="s">
        <v>1661</v>
      </c>
      <c r="AF70" s="14" t="s">
        <v>1667</v>
      </c>
      <c r="AG70" s="14" t="s">
        <v>1668</v>
      </c>
      <c r="AH70" s="14"/>
      <c r="AI70" s="14"/>
      <c r="AJ70" s="14"/>
      <c r="AK70" s="14"/>
      <c r="AL70" s="14"/>
      <c r="AM70" s="14"/>
      <c r="AN70" s="14" t="s">
        <v>235</v>
      </c>
      <c r="AO70" s="14" t="s">
        <v>1653</v>
      </c>
      <c r="AP70" s="14" t="s">
        <v>950</v>
      </c>
      <c r="AQ70" s="14"/>
      <c r="AR70" s="22"/>
      <c r="AS70" s="22" t="s">
        <v>96</v>
      </c>
      <c r="AT70" s="22" t="s">
        <v>959</v>
      </c>
      <c r="AU70" s="25" t="str">
        <f>VLOOKUP(O70,[1]Lookup!A:B,2,FALSE)</f>
        <v>Test-SIT</v>
      </c>
      <c r="AV70" s="25" t="str">
        <f>VLOOKUP(test1[[#This Row],[Assignee]],lookup[#All],2,FALSE)</f>
        <v>Test-SIT</v>
      </c>
      <c r="AW70" s="25">
        <f ca="1">IF(test1[[#This Row],[Status]]&lt;&gt;"Closed", TODAY()-INT(test1[[#This Row],[Created]]),INT(test1[[#This Row],[Resolved]])-INT(test1[[#This Row],[Created]]))</f>
        <v>70</v>
      </c>
    </row>
    <row r="71" spans="1:49" ht="409.5" x14ac:dyDescent="0.2">
      <c r="A71" s="48" t="s">
        <v>86</v>
      </c>
      <c r="B71" s="29" t="s">
        <v>1661</v>
      </c>
      <c r="C71" s="27" t="s">
        <v>1662</v>
      </c>
      <c r="D71" s="22" t="s">
        <v>89</v>
      </c>
      <c r="E71" s="22" t="s">
        <v>550</v>
      </c>
      <c r="F71" s="27"/>
      <c r="G71" s="27" t="s">
        <v>139</v>
      </c>
      <c r="H71" s="27"/>
      <c r="I71" s="27"/>
      <c r="J71" s="14" t="s">
        <v>91</v>
      </c>
      <c r="K71" s="14" t="s">
        <v>59</v>
      </c>
      <c r="L71" s="14" t="s">
        <v>124</v>
      </c>
      <c r="M71" s="14" t="s">
        <v>132</v>
      </c>
      <c r="N71" s="18" t="s">
        <v>21</v>
      </c>
      <c r="O71" s="14" t="s">
        <v>21</v>
      </c>
      <c r="P71" s="19">
        <v>42758.828472222223</v>
      </c>
      <c r="Q71" s="19">
        <v>42770.775000000001</v>
      </c>
      <c r="R71" s="19">
        <v>42770.760416666664</v>
      </c>
      <c r="S71" s="14" t="s">
        <v>518</v>
      </c>
      <c r="T71" s="14" t="s">
        <v>139</v>
      </c>
      <c r="U71" s="14" t="s">
        <v>412</v>
      </c>
      <c r="V71" s="28">
        <v>42760</v>
      </c>
      <c r="W71" s="14">
        <v>0</v>
      </c>
      <c r="X71" s="14">
        <v>0</v>
      </c>
      <c r="Y71" s="14"/>
      <c r="Z71" s="14"/>
      <c r="AA71" s="14"/>
      <c r="AB71" s="14"/>
      <c r="AC71" s="14"/>
      <c r="AD71" s="14"/>
      <c r="AE71" s="14" t="s">
        <v>1663</v>
      </c>
      <c r="AF71" s="14" t="s">
        <v>1664</v>
      </c>
      <c r="AG71" s="14" t="s">
        <v>1647</v>
      </c>
      <c r="AH71" s="14"/>
      <c r="AI71" s="14"/>
      <c r="AJ71" s="14"/>
      <c r="AK71" s="14"/>
      <c r="AL71" s="14"/>
      <c r="AM71" s="14"/>
      <c r="AN71" s="14" t="s">
        <v>1105</v>
      </c>
      <c r="AO71" s="14" t="s">
        <v>1665</v>
      </c>
      <c r="AP71" s="14"/>
      <c r="AQ71" s="14"/>
      <c r="AR71" s="22"/>
      <c r="AS71" s="22" t="s">
        <v>89</v>
      </c>
      <c r="AT71" s="22" t="s">
        <v>564</v>
      </c>
      <c r="AU71" s="25" t="str">
        <f>VLOOKUP(O71,[1]Lookup!A:B,2,FALSE)</f>
        <v>Test-SIT</v>
      </c>
      <c r="AV71" s="25" t="str">
        <f>VLOOKUP(test1[[#This Row],[Assignee]],lookup[#All],2,FALSE)</f>
        <v>Test-SIT</v>
      </c>
      <c r="AW71" s="25">
        <f ca="1">IF(test1[[#This Row],[Status]]&lt;&gt;"Closed", TODAY()-INT(test1[[#This Row],[Created]]),INT(test1[[#This Row],[Resolved]])-INT(test1[[#This Row],[Created]]))</f>
        <v>70</v>
      </c>
    </row>
    <row r="72" spans="1:49" ht="409.5" x14ac:dyDescent="0.2">
      <c r="A72" s="48" t="s">
        <v>86</v>
      </c>
      <c r="B72" s="29" t="s">
        <v>1658</v>
      </c>
      <c r="C72" s="27" t="s">
        <v>1659</v>
      </c>
      <c r="D72" s="22" t="s">
        <v>96</v>
      </c>
      <c r="E72" s="22" t="s">
        <v>166</v>
      </c>
      <c r="F72" s="27"/>
      <c r="G72" s="27" t="s">
        <v>139</v>
      </c>
      <c r="H72" s="27"/>
      <c r="I72" s="27"/>
      <c r="J72" s="14" t="s">
        <v>91</v>
      </c>
      <c r="K72" s="14" t="s">
        <v>59</v>
      </c>
      <c r="L72" s="14" t="s">
        <v>124</v>
      </c>
      <c r="M72" s="14" t="s">
        <v>132</v>
      </c>
      <c r="N72" s="18" t="s">
        <v>21</v>
      </c>
      <c r="O72" s="14" t="s">
        <v>21</v>
      </c>
      <c r="P72" s="19">
        <v>42758.84375</v>
      </c>
      <c r="Q72" s="19">
        <v>42772.522916666669</v>
      </c>
      <c r="R72" s="19">
        <v>42770.763194444444</v>
      </c>
      <c r="S72" s="14" t="s">
        <v>518</v>
      </c>
      <c r="T72" s="14" t="s">
        <v>139</v>
      </c>
      <c r="U72" s="14" t="s">
        <v>96</v>
      </c>
      <c r="V72" s="28">
        <v>42760</v>
      </c>
      <c r="W72" s="14">
        <v>0</v>
      </c>
      <c r="X72" s="14">
        <v>0</v>
      </c>
      <c r="Y72" s="14"/>
      <c r="Z72" s="14"/>
      <c r="AA72" s="14"/>
      <c r="AB72" s="14"/>
      <c r="AC72" s="14"/>
      <c r="AD72" s="14"/>
      <c r="AE72" s="14"/>
      <c r="AF72" s="14" t="s">
        <v>1660</v>
      </c>
      <c r="AG72" s="14" t="s">
        <v>1652</v>
      </c>
      <c r="AH72" s="14"/>
      <c r="AI72" s="14"/>
      <c r="AJ72" s="14"/>
      <c r="AK72" s="14"/>
      <c r="AL72" s="14"/>
      <c r="AM72" s="14"/>
      <c r="AN72" s="14" t="s">
        <v>235</v>
      </c>
      <c r="AO72" s="14" t="s">
        <v>1653</v>
      </c>
      <c r="AP72" s="14"/>
      <c r="AQ72" s="14"/>
      <c r="AR72" s="22"/>
      <c r="AS72" s="22" t="s">
        <v>96</v>
      </c>
      <c r="AT72" s="22" t="s">
        <v>959</v>
      </c>
      <c r="AU72" s="25" t="str">
        <f>VLOOKUP(O72,[1]Lookup!A:B,2,FALSE)</f>
        <v>Test-SIT</v>
      </c>
      <c r="AV72" s="25" t="str">
        <f>VLOOKUP(test1[[#This Row],[Assignee]],lookup[#All],2,FALSE)</f>
        <v>Test-SIT</v>
      </c>
      <c r="AW72" s="25">
        <f ca="1">IF(test1[[#This Row],[Status]]&lt;&gt;"Closed", TODAY()-INT(test1[[#This Row],[Created]]),INT(test1[[#This Row],[Resolved]])-INT(test1[[#This Row],[Created]]))</f>
        <v>70</v>
      </c>
    </row>
    <row r="73" spans="1:49" ht="409.5" x14ac:dyDescent="0.2">
      <c r="A73" s="48" t="s">
        <v>86</v>
      </c>
      <c r="B73" s="29" t="s">
        <v>1654</v>
      </c>
      <c r="C73" s="27" t="s">
        <v>1655</v>
      </c>
      <c r="D73" s="22" t="s">
        <v>96</v>
      </c>
      <c r="E73" s="22" t="s">
        <v>166</v>
      </c>
      <c r="F73" s="27"/>
      <c r="G73" s="27" t="s">
        <v>139</v>
      </c>
      <c r="H73" s="27"/>
      <c r="I73" s="27"/>
      <c r="J73" s="14" t="s">
        <v>91</v>
      </c>
      <c r="K73" s="14" t="s">
        <v>59</v>
      </c>
      <c r="L73" s="14" t="s">
        <v>124</v>
      </c>
      <c r="M73" s="14" t="s">
        <v>132</v>
      </c>
      <c r="N73" s="18" t="s">
        <v>21</v>
      </c>
      <c r="O73" s="14" t="s">
        <v>21</v>
      </c>
      <c r="P73" s="19">
        <v>42758.847222222219</v>
      </c>
      <c r="Q73" s="19">
        <v>42771.629861111112</v>
      </c>
      <c r="R73" s="19">
        <v>42771.629861111112</v>
      </c>
      <c r="S73" s="14" t="s">
        <v>518</v>
      </c>
      <c r="T73" s="14" t="s">
        <v>139</v>
      </c>
      <c r="U73" s="14" t="s">
        <v>242</v>
      </c>
      <c r="V73" s="28">
        <v>42760</v>
      </c>
      <c r="W73" s="14">
        <v>0</v>
      </c>
      <c r="X73" s="14">
        <v>0</v>
      </c>
      <c r="Y73" s="14"/>
      <c r="Z73" s="14"/>
      <c r="AA73" s="14"/>
      <c r="AB73" s="14"/>
      <c r="AC73" s="14"/>
      <c r="AD73" s="14"/>
      <c r="AE73" s="14"/>
      <c r="AF73" s="14" t="s">
        <v>1656</v>
      </c>
      <c r="AG73" s="14" t="s">
        <v>1647</v>
      </c>
      <c r="AH73" s="14"/>
      <c r="AI73" s="14"/>
      <c r="AJ73" s="14"/>
      <c r="AK73" s="14"/>
      <c r="AL73" s="14"/>
      <c r="AM73" s="14"/>
      <c r="AN73" s="14" t="s">
        <v>235</v>
      </c>
      <c r="AO73" s="14" t="s">
        <v>1657</v>
      </c>
      <c r="AP73" s="14"/>
      <c r="AQ73" s="14"/>
      <c r="AR73" s="22"/>
      <c r="AS73" s="22" t="s">
        <v>96</v>
      </c>
      <c r="AT73" s="22" t="s">
        <v>959</v>
      </c>
      <c r="AU73" s="25" t="str">
        <f>VLOOKUP(O73,[1]Lookup!A:B,2,FALSE)</f>
        <v>Test-SIT</v>
      </c>
      <c r="AV73" s="25" t="str">
        <f>VLOOKUP(test1[[#This Row],[Assignee]],lookup[#All],2,FALSE)</f>
        <v>Test-SIT</v>
      </c>
      <c r="AW73" s="25">
        <f ca="1">IF(test1[[#This Row],[Status]]&lt;&gt;"Closed", TODAY()-INT(test1[[#This Row],[Created]]),INT(test1[[#This Row],[Resolved]])-INT(test1[[#This Row],[Created]]))</f>
        <v>70</v>
      </c>
    </row>
    <row r="74" spans="1:49" ht="409.5" x14ac:dyDescent="0.2">
      <c r="A74" s="48" t="s">
        <v>86</v>
      </c>
      <c r="B74" s="29" t="s">
        <v>1644</v>
      </c>
      <c r="C74" s="27" t="s">
        <v>1645</v>
      </c>
      <c r="D74" s="22" t="s">
        <v>96</v>
      </c>
      <c r="E74" s="22" t="s">
        <v>166</v>
      </c>
      <c r="F74" s="27"/>
      <c r="G74" s="27" t="s">
        <v>139</v>
      </c>
      <c r="H74" s="27"/>
      <c r="I74" s="27"/>
      <c r="J74" s="14" t="s">
        <v>91</v>
      </c>
      <c r="K74" s="14" t="s">
        <v>59</v>
      </c>
      <c r="L74" s="14" t="s">
        <v>124</v>
      </c>
      <c r="M74" s="14" t="s">
        <v>132</v>
      </c>
      <c r="N74" s="18" t="s">
        <v>21</v>
      </c>
      <c r="O74" s="14" t="s">
        <v>21</v>
      </c>
      <c r="P74" s="19">
        <v>42758.848611111112</v>
      </c>
      <c r="Q74" s="19">
        <v>42772.521527777775</v>
      </c>
      <c r="R74" s="19">
        <v>42770.679166666669</v>
      </c>
      <c r="S74" s="14" t="s">
        <v>518</v>
      </c>
      <c r="T74" s="14" t="s">
        <v>139</v>
      </c>
      <c r="U74" s="14" t="s">
        <v>96</v>
      </c>
      <c r="V74" s="28">
        <v>42760</v>
      </c>
      <c r="W74" s="14">
        <v>0</v>
      </c>
      <c r="X74" s="14">
        <v>0</v>
      </c>
      <c r="Y74" s="14"/>
      <c r="Z74" s="14"/>
      <c r="AA74" s="14"/>
      <c r="AB74" s="14"/>
      <c r="AC74" s="14"/>
      <c r="AD74" s="14"/>
      <c r="AE74" s="14"/>
      <c r="AF74" s="14" t="s">
        <v>1646</v>
      </c>
      <c r="AG74" s="14" t="s">
        <v>1647</v>
      </c>
      <c r="AH74" s="14"/>
      <c r="AI74" s="14"/>
      <c r="AJ74" s="14"/>
      <c r="AK74" s="14"/>
      <c r="AL74" s="14"/>
      <c r="AM74" s="14"/>
      <c r="AN74" s="14" t="s">
        <v>235</v>
      </c>
      <c r="AO74" s="14" t="s">
        <v>1648</v>
      </c>
      <c r="AP74" s="14"/>
      <c r="AQ74" s="14"/>
      <c r="AR74" s="22"/>
      <c r="AS74" s="22" t="s">
        <v>96</v>
      </c>
      <c r="AT74" s="22" t="s">
        <v>959</v>
      </c>
      <c r="AU74" s="25" t="str">
        <f>VLOOKUP(O74,[1]Lookup!A:B,2,FALSE)</f>
        <v>Test-SIT</v>
      </c>
      <c r="AV74" s="25" t="str">
        <f>VLOOKUP(test1[[#This Row],[Assignee]],lookup[#All],2,FALSE)</f>
        <v>Test-SIT</v>
      </c>
      <c r="AW74" s="25">
        <f ca="1">IF(test1[[#This Row],[Status]]&lt;&gt;"Closed", TODAY()-INT(test1[[#This Row],[Created]]),INT(test1[[#This Row],[Resolved]])-INT(test1[[#This Row],[Created]]))</f>
        <v>70</v>
      </c>
    </row>
    <row r="75" spans="1:49" ht="409.5" x14ac:dyDescent="0.2">
      <c r="A75" s="48" t="s">
        <v>86</v>
      </c>
      <c r="B75" s="29" t="s">
        <v>1649</v>
      </c>
      <c r="C75" s="27" t="s">
        <v>1650</v>
      </c>
      <c r="D75" s="22" t="s">
        <v>96</v>
      </c>
      <c r="E75" s="22" t="s">
        <v>166</v>
      </c>
      <c r="F75" s="27"/>
      <c r="G75" s="27" t="s">
        <v>139</v>
      </c>
      <c r="H75" s="27"/>
      <c r="I75" s="27"/>
      <c r="J75" s="14" t="s">
        <v>91</v>
      </c>
      <c r="K75" s="14" t="s">
        <v>59</v>
      </c>
      <c r="L75" s="14" t="s">
        <v>124</v>
      </c>
      <c r="M75" s="14" t="s">
        <v>132</v>
      </c>
      <c r="N75" s="18" t="s">
        <v>21</v>
      </c>
      <c r="O75" s="14" t="s">
        <v>21</v>
      </c>
      <c r="P75" s="19">
        <v>42758.848611111112</v>
      </c>
      <c r="Q75" s="19">
        <v>42772.522222222222</v>
      </c>
      <c r="R75" s="19">
        <v>42771.682638888888</v>
      </c>
      <c r="S75" s="14" t="s">
        <v>518</v>
      </c>
      <c r="T75" s="14" t="s">
        <v>139</v>
      </c>
      <c r="U75" s="14" t="s">
        <v>96</v>
      </c>
      <c r="V75" s="28">
        <v>42760</v>
      </c>
      <c r="W75" s="14">
        <v>0</v>
      </c>
      <c r="X75" s="14">
        <v>0</v>
      </c>
      <c r="Y75" s="14"/>
      <c r="Z75" s="14"/>
      <c r="AA75" s="14"/>
      <c r="AB75" s="14"/>
      <c r="AC75" s="14"/>
      <c r="AD75" s="14"/>
      <c r="AE75" s="14"/>
      <c r="AF75" s="14" t="s">
        <v>1651</v>
      </c>
      <c r="AG75" s="14" t="s">
        <v>1652</v>
      </c>
      <c r="AH75" s="14"/>
      <c r="AI75" s="14"/>
      <c r="AJ75" s="14"/>
      <c r="AK75" s="14"/>
      <c r="AL75" s="14"/>
      <c r="AM75" s="14"/>
      <c r="AN75" s="14" t="s">
        <v>235</v>
      </c>
      <c r="AO75" s="14" t="s">
        <v>1653</v>
      </c>
      <c r="AP75" s="14"/>
      <c r="AQ75" s="14"/>
      <c r="AR75" s="22"/>
      <c r="AS75" s="22" t="s">
        <v>96</v>
      </c>
      <c r="AT75" s="22" t="s">
        <v>959</v>
      </c>
      <c r="AU75" s="25" t="str">
        <f>VLOOKUP(O75,[1]Lookup!A:B,2,FALSE)</f>
        <v>Test-SIT</v>
      </c>
      <c r="AV75" s="25" t="str">
        <f>VLOOKUP(test1[[#This Row],[Assignee]],lookup[#All],2,FALSE)</f>
        <v>Test-SIT</v>
      </c>
      <c r="AW75" s="25">
        <f ca="1">IF(test1[[#This Row],[Status]]&lt;&gt;"Closed", TODAY()-INT(test1[[#This Row],[Created]]),INT(test1[[#This Row],[Resolved]])-INT(test1[[#This Row],[Created]]))</f>
        <v>70</v>
      </c>
    </row>
    <row r="76" spans="1:49" ht="409.5" x14ac:dyDescent="0.2">
      <c r="A76" s="48" t="s">
        <v>86</v>
      </c>
      <c r="B76" s="29" t="s">
        <v>1639</v>
      </c>
      <c r="C76" s="27" t="s">
        <v>1640</v>
      </c>
      <c r="D76" s="68" t="s">
        <v>96</v>
      </c>
      <c r="E76" s="68" t="s">
        <v>261</v>
      </c>
      <c r="F76" s="27"/>
      <c r="G76" s="27" t="s">
        <v>139</v>
      </c>
      <c r="H76" s="27"/>
      <c r="I76" s="27"/>
      <c r="J76" s="14" t="s">
        <v>91</v>
      </c>
      <c r="K76" s="14" t="s">
        <v>59</v>
      </c>
      <c r="L76" s="14" t="s">
        <v>93</v>
      </c>
      <c r="M76" s="14" t="s">
        <v>132</v>
      </c>
      <c r="N76" s="18" t="s">
        <v>21</v>
      </c>
      <c r="O76" s="14" t="s">
        <v>21</v>
      </c>
      <c r="P76" s="19">
        <v>42759.626388888886</v>
      </c>
      <c r="Q76" s="19">
        <v>42772.520138888889</v>
      </c>
      <c r="R76" s="19">
        <v>42766.460416666669</v>
      </c>
      <c r="S76" s="14" t="s">
        <v>518</v>
      </c>
      <c r="T76" s="14" t="s">
        <v>139</v>
      </c>
      <c r="U76" s="14" t="s">
        <v>96</v>
      </c>
      <c r="V76" s="28">
        <v>42760</v>
      </c>
      <c r="W76" s="14">
        <v>0</v>
      </c>
      <c r="X76" s="14">
        <v>0</v>
      </c>
      <c r="Y76" s="14"/>
      <c r="Z76" s="14"/>
      <c r="AA76" s="14"/>
      <c r="AB76" s="14"/>
      <c r="AC76" s="14"/>
      <c r="AD76" s="14"/>
      <c r="AE76" s="14"/>
      <c r="AF76" s="14" t="s">
        <v>1641</v>
      </c>
      <c r="AG76" s="14" t="s">
        <v>1642</v>
      </c>
      <c r="AH76" s="14"/>
      <c r="AI76" s="14"/>
      <c r="AJ76" s="14"/>
      <c r="AK76" s="14"/>
      <c r="AL76" s="14"/>
      <c r="AM76" s="14"/>
      <c r="AN76" s="14" t="s">
        <v>235</v>
      </c>
      <c r="AO76" s="14" t="s">
        <v>1643</v>
      </c>
      <c r="AP76" s="14"/>
      <c r="AQ76" s="14"/>
      <c r="AR76" s="22"/>
      <c r="AS76" s="68" t="s">
        <v>96</v>
      </c>
      <c r="AT76" s="68" t="s">
        <v>261</v>
      </c>
      <c r="AU76" s="25" t="str">
        <f>VLOOKUP(O76,[1]Lookup!A:B,2,FALSE)</f>
        <v>Test-SIT</v>
      </c>
      <c r="AV76" s="25" t="str">
        <f>VLOOKUP(test1[[#This Row],[Assignee]],lookup[#All],2,FALSE)</f>
        <v>Test-SIT</v>
      </c>
      <c r="AW76" s="25">
        <f ca="1">IF(test1[[#This Row],[Status]]&lt;&gt;"Closed", TODAY()-INT(test1[[#This Row],[Created]]),INT(test1[[#This Row],[Resolved]])-INT(test1[[#This Row],[Created]]))</f>
        <v>69</v>
      </c>
    </row>
    <row r="77" spans="1:49" ht="409.5" x14ac:dyDescent="0.2">
      <c r="A77" s="48" t="s">
        <v>86</v>
      </c>
      <c r="B77" s="29" t="s">
        <v>1332</v>
      </c>
      <c r="C77" s="27" t="s">
        <v>1634</v>
      </c>
      <c r="D77" s="22" t="s">
        <v>89</v>
      </c>
      <c r="E77" s="22" t="s">
        <v>507</v>
      </c>
      <c r="F77" s="26" t="s">
        <v>1276</v>
      </c>
      <c r="G77" s="26" t="s">
        <v>155</v>
      </c>
      <c r="H77" s="40" t="s">
        <v>1277</v>
      </c>
      <c r="I77" s="26" t="s">
        <v>1278</v>
      </c>
      <c r="J77" s="14" t="s">
        <v>91</v>
      </c>
      <c r="K77" s="14" t="s">
        <v>59</v>
      </c>
      <c r="L77" s="14" t="s">
        <v>93</v>
      </c>
      <c r="M77" s="14" t="s">
        <v>132</v>
      </c>
      <c r="N77" s="18" t="s">
        <v>22</v>
      </c>
      <c r="O77" s="14" t="s">
        <v>22</v>
      </c>
      <c r="P77" s="19">
        <v>42760.881944444445</v>
      </c>
      <c r="Q77" s="19">
        <v>42807.699305555558</v>
      </c>
      <c r="R77" s="19">
        <v>42807.699305555558</v>
      </c>
      <c r="S77" s="14" t="s">
        <v>518</v>
      </c>
      <c r="T77" s="14" t="s">
        <v>510</v>
      </c>
      <c r="U77" s="14" t="s">
        <v>89</v>
      </c>
      <c r="V77" s="28">
        <v>42761</v>
      </c>
      <c r="W77" s="14">
        <v>0</v>
      </c>
      <c r="X77" s="14">
        <v>0</v>
      </c>
      <c r="Y77" s="14"/>
      <c r="Z77" s="14"/>
      <c r="AA77" s="14"/>
      <c r="AB77" s="14"/>
      <c r="AC77" s="14"/>
      <c r="AD77" s="14"/>
      <c r="AE77" s="14" t="s">
        <v>1635</v>
      </c>
      <c r="AF77" s="14" t="s">
        <v>1636</v>
      </c>
      <c r="AG77" s="14" t="s">
        <v>1637</v>
      </c>
      <c r="AH77" s="14"/>
      <c r="AI77" s="14"/>
      <c r="AJ77" s="14"/>
      <c r="AK77" s="14"/>
      <c r="AL77" s="14"/>
      <c r="AM77" s="14"/>
      <c r="AN77" s="14" t="s">
        <v>149</v>
      </c>
      <c r="AO77" s="14" t="s">
        <v>1638</v>
      </c>
      <c r="AP77" s="14"/>
      <c r="AQ77" s="14"/>
      <c r="AR77" s="22"/>
      <c r="AS77" s="22" t="s">
        <v>89</v>
      </c>
      <c r="AT77" s="22" t="s">
        <v>513</v>
      </c>
      <c r="AU77" s="25" t="str">
        <f>VLOOKUP(O77,[1]Lookup!A:B,2,FALSE)</f>
        <v>Test-SIT</v>
      </c>
      <c r="AV77" s="25" t="str">
        <f>VLOOKUP(test1[[#This Row],[Assignee]],lookup[#All],2,FALSE)</f>
        <v>Test-SIT</v>
      </c>
      <c r="AW77" s="25">
        <f ca="1">IF(test1[[#This Row],[Status]]&lt;&gt;"Closed", TODAY()-INT(test1[[#This Row],[Created]]),INT(test1[[#This Row],[Resolved]])-INT(test1[[#This Row],[Created]]))</f>
        <v>68</v>
      </c>
    </row>
    <row r="78" spans="1:49" ht="228" x14ac:dyDescent="0.2">
      <c r="A78" s="48" t="s">
        <v>86</v>
      </c>
      <c r="B78" s="29" t="s">
        <v>1626</v>
      </c>
      <c r="C78" s="27" t="s">
        <v>1627</v>
      </c>
      <c r="D78" s="22" t="s">
        <v>89</v>
      </c>
      <c r="E78" s="22" t="s">
        <v>1628</v>
      </c>
      <c r="F78" s="27"/>
      <c r="G78" s="27" t="s">
        <v>1629</v>
      </c>
      <c r="H78" s="27"/>
      <c r="I78" s="27"/>
      <c r="J78" s="14" t="s">
        <v>91</v>
      </c>
      <c r="K78" s="14" t="s">
        <v>59</v>
      </c>
      <c r="L78" s="14" t="s">
        <v>167</v>
      </c>
      <c r="M78" s="14" t="s">
        <v>132</v>
      </c>
      <c r="N78" s="18" t="s">
        <v>21</v>
      </c>
      <c r="O78" s="14" t="s">
        <v>21</v>
      </c>
      <c r="P78" s="19">
        <v>42761.379861111112</v>
      </c>
      <c r="Q78" s="19">
        <v>42781.775694444441</v>
      </c>
      <c r="R78" s="19">
        <v>42781.775694444441</v>
      </c>
      <c r="S78" s="14" t="s">
        <v>518</v>
      </c>
      <c r="T78" s="14" t="s">
        <v>1629</v>
      </c>
      <c r="U78" s="14" t="s">
        <v>89</v>
      </c>
      <c r="V78" s="28">
        <v>42762</v>
      </c>
      <c r="W78" s="14">
        <v>0</v>
      </c>
      <c r="X78" s="14">
        <v>0</v>
      </c>
      <c r="Y78" s="14"/>
      <c r="Z78" s="14"/>
      <c r="AA78" s="14"/>
      <c r="AB78" s="14"/>
      <c r="AC78" s="14"/>
      <c r="AD78" s="14"/>
      <c r="AE78" s="14"/>
      <c r="AF78" s="14" t="s">
        <v>1630</v>
      </c>
      <c r="AG78" s="14" t="s">
        <v>1631</v>
      </c>
      <c r="AH78" s="14"/>
      <c r="AI78" s="14"/>
      <c r="AJ78" s="14"/>
      <c r="AK78" s="14"/>
      <c r="AL78" s="14"/>
      <c r="AM78" s="14"/>
      <c r="AN78" s="14" t="s">
        <v>1632</v>
      </c>
      <c r="AO78" s="14" t="s">
        <v>1633</v>
      </c>
      <c r="AP78" s="14" t="s">
        <v>146</v>
      </c>
      <c r="AQ78" s="14"/>
      <c r="AR78" s="22"/>
      <c r="AS78" s="22" t="s">
        <v>89</v>
      </c>
      <c r="AT78" s="22" t="s">
        <v>1628</v>
      </c>
      <c r="AU78" s="25" t="str">
        <f>VLOOKUP(O78,[1]Lookup!A:B,2,FALSE)</f>
        <v>Test-SIT</v>
      </c>
      <c r="AV78" s="25" t="str">
        <f>VLOOKUP(test1[[#This Row],[Assignee]],lookup[#All],2,FALSE)</f>
        <v>Test-SIT</v>
      </c>
      <c r="AW78" s="25">
        <f ca="1">IF(test1[[#This Row],[Status]]&lt;&gt;"Closed", TODAY()-INT(test1[[#This Row],[Created]]),INT(test1[[#This Row],[Resolved]])-INT(test1[[#This Row],[Created]]))</f>
        <v>67</v>
      </c>
    </row>
    <row r="79" spans="1:49" ht="199.5" x14ac:dyDescent="0.2">
      <c r="A79" s="48" t="s">
        <v>86</v>
      </c>
      <c r="B79" s="29" t="s">
        <v>1621</v>
      </c>
      <c r="C79" s="27" t="s">
        <v>1622</v>
      </c>
      <c r="D79" s="22" t="s">
        <v>89</v>
      </c>
      <c r="E79" s="22" t="s">
        <v>1540</v>
      </c>
      <c r="F79" s="27"/>
      <c r="G79" s="27" t="s">
        <v>139</v>
      </c>
      <c r="H79" s="27"/>
      <c r="I79" s="27"/>
      <c r="J79" s="14" t="s">
        <v>91</v>
      </c>
      <c r="K79" s="14" t="s">
        <v>59</v>
      </c>
      <c r="L79" s="14" t="s">
        <v>93</v>
      </c>
      <c r="M79" s="14" t="s">
        <v>132</v>
      </c>
      <c r="N79" s="18" t="s">
        <v>21</v>
      </c>
      <c r="O79" s="14" t="s">
        <v>21</v>
      </c>
      <c r="P79" s="19">
        <v>42761.381944444445</v>
      </c>
      <c r="Q79" s="19">
        <v>42771.681250000001</v>
      </c>
      <c r="R79" s="19">
        <v>42771.681250000001</v>
      </c>
      <c r="S79" s="14" t="s">
        <v>518</v>
      </c>
      <c r="T79" s="14" t="s">
        <v>139</v>
      </c>
      <c r="U79" s="14" t="s">
        <v>130</v>
      </c>
      <c r="V79" s="28">
        <v>42762</v>
      </c>
      <c r="W79" s="14">
        <v>0</v>
      </c>
      <c r="X79" s="14">
        <v>0</v>
      </c>
      <c r="Y79" s="14"/>
      <c r="Z79" s="14"/>
      <c r="AA79" s="14"/>
      <c r="AB79" s="14"/>
      <c r="AC79" s="14"/>
      <c r="AD79" s="14"/>
      <c r="AE79" s="14"/>
      <c r="AF79" s="14" t="s">
        <v>1623</v>
      </c>
      <c r="AG79" s="14" t="s">
        <v>1624</v>
      </c>
      <c r="AH79" s="14"/>
      <c r="AI79" s="14"/>
      <c r="AJ79" s="14"/>
      <c r="AK79" s="14"/>
      <c r="AL79" s="14"/>
      <c r="AM79" s="14"/>
      <c r="AN79" s="14" t="s">
        <v>255</v>
      </c>
      <c r="AO79" s="14" t="s">
        <v>1625</v>
      </c>
      <c r="AP79" s="14" t="s">
        <v>146</v>
      </c>
      <c r="AQ79" s="14"/>
      <c r="AR79" s="22"/>
      <c r="AS79" s="22" t="s">
        <v>89</v>
      </c>
      <c r="AT79" s="22" t="s">
        <v>1540</v>
      </c>
      <c r="AU79" s="25" t="str">
        <f>VLOOKUP(O79,[1]Lookup!A:B,2,FALSE)</f>
        <v>Test-SIT</v>
      </c>
      <c r="AV79" s="25" t="str">
        <f>VLOOKUP(test1[[#This Row],[Assignee]],lookup[#All],2,FALSE)</f>
        <v>Test-SIT</v>
      </c>
      <c r="AW79" s="25">
        <f ca="1">IF(test1[[#This Row],[Status]]&lt;&gt;"Closed", TODAY()-INT(test1[[#This Row],[Created]]),INT(test1[[#This Row],[Resolved]])-INT(test1[[#This Row],[Created]]))</f>
        <v>67</v>
      </c>
    </row>
    <row r="80" spans="1:49" s="35" customFormat="1" ht="299.25" x14ac:dyDescent="0.2">
      <c r="A80" s="48" t="s">
        <v>86</v>
      </c>
      <c r="B80" s="29" t="s">
        <v>1616</v>
      </c>
      <c r="C80" s="27" t="s">
        <v>1617</v>
      </c>
      <c r="D80" s="22" t="s">
        <v>117</v>
      </c>
      <c r="E80" s="22" t="s">
        <v>398</v>
      </c>
      <c r="F80" s="27"/>
      <c r="G80" s="27" t="s">
        <v>139</v>
      </c>
      <c r="H80" s="27"/>
      <c r="I80" s="27"/>
      <c r="J80" s="14" t="s">
        <v>91</v>
      </c>
      <c r="K80" s="14" t="s">
        <v>59</v>
      </c>
      <c r="L80" s="14" t="s">
        <v>103</v>
      </c>
      <c r="M80" s="14" t="s">
        <v>132</v>
      </c>
      <c r="N80" s="18" t="s">
        <v>23</v>
      </c>
      <c r="O80" s="14" t="s">
        <v>24</v>
      </c>
      <c r="P80" s="19">
        <v>42761.396527777775</v>
      </c>
      <c r="Q80" s="19">
        <v>42789.796527777777</v>
      </c>
      <c r="R80" s="19">
        <v>42780.404166666667</v>
      </c>
      <c r="S80" s="14" t="s">
        <v>139</v>
      </c>
      <c r="T80" s="14" t="s">
        <v>139</v>
      </c>
      <c r="U80" s="14" t="s">
        <v>117</v>
      </c>
      <c r="V80" s="28">
        <v>42762</v>
      </c>
      <c r="W80" s="14">
        <v>0</v>
      </c>
      <c r="X80" s="14">
        <v>0</v>
      </c>
      <c r="Y80" s="14"/>
      <c r="Z80" s="14"/>
      <c r="AA80" s="14"/>
      <c r="AB80" s="14"/>
      <c r="AC80" s="14"/>
      <c r="AD80" s="14"/>
      <c r="AE80" s="14"/>
      <c r="AF80" s="14" t="s">
        <v>1618</v>
      </c>
      <c r="AG80" s="14" t="s">
        <v>1619</v>
      </c>
      <c r="AH80" s="14"/>
      <c r="AI80" s="14"/>
      <c r="AJ80" s="14"/>
      <c r="AK80" s="14"/>
      <c r="AL80" s="14"/>
      <c r="AM80" s="14"/>
      <c r="AN80" s="14" t="s">
        <v>549</v>
      </c>
      <c r="AO80" s="14" t="s">
        <v>1620</v>
      </c>
      <c r="AP80" s="14"/>
      <c r="AQ80" s="14"/>
      <c r="AR80" s="22"/>
      <c r="AS80" s="22" t="s">
        <v>117</v>
      </c>
      <c r="AT80" s="22" t="s">
        <v>542</v>
      </c>
      <c r="AU80" s="25" t="str">
        <f>VLOOKUP(O80,[1]Lookup!A:B,2,FALSE)</f>
        <v>Test-SIT</v>
      </c>
      <c r="AV80" s="25" t="str">
        <f>VLOOKUP(test1[[#This Row],[Assignee]],lookup[#All],2,FALSE)</f>
        <v>Test-SIT</v>
      </c>
      <c r="AW80" s="25">
        <f ca="1">IF(test1[[#This Row],[Status]]&lt;&gt;"Closed", TODAY()-INT(test1[[#This Row],[Created]]),INT(test1[[#This Row],[Resolved]])-INT(test1[[#This Row],[Created]]))</f>
        <v>67</v>
      </c>
    </row>
    <row r="81" spans="1:49" ht="409.5" x14ac:dyDescent="0.2">
      <c r="A81" s="48" t="s">
        <v>86</v>
      </c>
      <c r="B81" s="29" t="s">
        <v>1611</v>
      </c>
      <c r="C81" s="27" t="s">
        <v>1612</v>
      </c>
      <c r="D81" s="22" t="s">
        <v>241</v>
      </c>
      <c r="E81" s="22" t="s">
        <v>1262</v>
      </c>
      <c r="F81" s="27"/>
      <c r="G81" s="27" t="s">
        <v>139</v>
      </c>
      <c r="H81" s="27"/>
      <c r="I81" s="27"/>
      <c r="J81" s="14" t="s">
        <v>91</v>
      </c>
      <c r="K81" s="14" t="s">
        <v>59</v>
      </c>
      <c r="L81" s="14" t="s">
        <v>93</v>
      </c>
      <c r="M81" s="14" t="s">
        <v>132</v>
      </c>
      <c r="N81" s="18" t="s">
        <v>21</v>
      </c>
      <c r="O81" s="14" t="s">
        <v>21</v>
      </c>
      <c r="P81" s="19">
        <v>42761.711111111108</v>
      </c>
      <c r="Q81" s="19">
        <v>42771.627083333333</v>
      </c>
      <c r="R81" s="19">
        <v>42766.630555555559</v>
      </c>
      <c r="S81" s="14" t="s">
        <v>518</v>
      </c>
      <c r="T81" s="14" t="s">
        <v>139</v>
      </c>
      <c r="U81" s="14" t="s">
        <v>241</v>
      </c>
      <c r="V81" s="14"/>
      <c r="W81" s="14">
        <v>0</v>
      </c>
      <c r="X81" s="14">
        <v>0</v>
      </c>
      <c r="Y81" s="14"/>
      <c r="Z81" s="14"/>
      <c r="AA81" s="14"/>
      <c r="AB81" s="14"/>
      <c r="AC81" s="14"/>
      <c r="AD81" s="14"/>
      <c r="AE81" s="14"/>
      <c r="AF81" s="14" t="s">
        <v>1613</v>
      </c>
      <c r="AG81" s="14" t="s">
        <v>1614</v>
      </c>
      <c r="AH81" s="14"/>
      <c r="AI81" s="14"/>
      <c r="AJ81" s="14"/>
      <c r="AK81" s="14"/>
      <c r="AL81" s="14"/>
      <c r="AM81" s="14"/>
      <c r="AN81" s="14" t="s">
        <v>123</v>
      </c>
      <c r="AO81" s="14" t="s">
        <v>1615</v>
      </c>
      <c r="AP81" s="14" t="s">
        <v>146</v>
      </c>
      <c r="AQ81" s="14"/>
      <c r="AR81" s="22"/>
      <c r="AS81" s="22" t="s">
        <v>241</v>
      </c>
      <c r="AT81" s="22" t="s">
        <v>1262</v>
      </c>
      <c r="AU81" s="25" t="str">
        <f>VLOOKUP(O81,[1]Lookup!A:B,2,FALSE)</f>
        <v>Test-SIT</v>
      </c>
      <c r="AV81" s="25" t="str">
        <f>VLOOKUP(test1[[#This Row],[Assignee]],lookup[#All],2,FALSE)</f>
        <v>Test-SIT</v>
      </c>
      <c r="AW81" s="25">
        <f ca="1">IF(test1[[#This Row],[Status]]&lt;&gt;"Closed", TODAY()-INT(test1[[#This Row],[Created]]),INT(test1[[#This Row],[Resolved]])-INT(test1[[#This Row],[Created]]))</f>
        <v>67</v>
      </c>
    </row>
    <row r="82" spans="1:49" s="35" customFormat="1" ht="409.5" x14ac:dyDescent="0.2">
      <c r="A82" s="48" t="s">
        <v>86</v>
      </c>
      <c r="B82" s="29" t="s">
        <v>1607</v>
      </c>
      <c r="C82" s="27" t="s">
        <v>1608</v>
      </c>
      <c r="D82" s="22" t="s">
        <v>89</v>
      </c>
      <c r="E82" s="22" t="s">
        <v>1556</v>
      </c>
      <c r="F82" s="37" t="s">
        <v>608</v>
      </c>
      <c r="G82" s="37" t="s">
        <v>659</v>
      </c>
      <c r="H82" s="37"/>
      <c r="I82" s="37" t="s">
        <v>609</v>
      </c>
      <c r="J82" s="14" t="s">
        <v>91</v>
      </c>
      <c r="K82" s="14" t="s">
        <v>59</v>
      </c>
      <c r="L82" s="14" t="s">
        <v>93</v>
      </c>
      <c r="M82" s="14" t="s">
        <v>132</v>
      </c>
      <c r="N82" s="18" t="s">
        <v>30</v>
      </c>
      <c r="O82" s="14" t="s">
        <v>21</v>
      </c>
      <c r="P82" s="19">
        <v>42763.786805555559</v>
      </c>
      <c r="Q82" s="19">
        <v>42794.548611111109</v>
      </c>
      <c r="R82" s="19">
        <v>42794.548611111109</v>
      </c>
      <c r="S82" s="14" t="s">
        <v>139</v>
      </c>
      <c r="T82" s="14" t="s">
        <v>659</v>
      </c>
      <c r="U82" s="14" t="s">
        <v>89</v>
      </c>
      <c r="V82" s="28">
        <v>42764</v>
      </c>
      <c r="W82" s="14">
        <v>0</v>
      </c>
      <c r="X82" s="14">
        <v>0</v>
      </c>
      <c r="Y82" s="14"/>
      <c r="Z82" s="14"/>
      <c r="AA82" s="14"/>
      <c r="AB82" s="14"/>
      <c r="AC82" s="14"/>
      <c r="AD82" s="14"/>
      <c r="AE82" s="14"/>
      <c r="AF82" s="14" t="s">
        <v>1609</v>
      </c>
      <c r="AG82" s="14" t="s">
        <v>1610</v>
      </c>
      <c r="AH82" s="14"/>
      <c r="AI82" s="14"/>
      <c r="AJ82" s="14"/>
      <c r="AK82" s="14"/>
      <c r="AL82" s="14"/>
      <c r="AM82" s="14"/>
      <c r="AN82" s="14" t="s">
        <v>1606</v>
      </c>
      <c r="AO82" s="14" t="s">
        <v>605</v>
      </c>
      <c r="AP82" s="14" t="s">
        <v>146</v>
      </c>
      <c r="AQ82" s="14"/>
      <c r="AR82" s="22"/>
      <c r="AS82" s="22" t="s">
        <v>89</v>
      </c>
      <c r="AT82" s="22" t="s">
        <v>1556</v>
      </c>
      <c r="AU82" s="25" t="str">
        <f>VLOOKUP(O82,[1]Lookup!A:B,2,FALSE)</f>
        <v>Test-SIT</v>
      </c>
      <c r="AV82" s="25" t="str">
        <f>VLOOKUP(test1[[#This Row],[Assignee]],lookup[#All],2,FALSE)</f>
        <v>Test-SIT</v>
      </c>
      <c r="AW82" s="25">
        <f ca="1">IF(test1[[#This Row],[Status]]&lt;&gt;"Closed", TODAY()-INT(test1[[#This Row],[Created]]),INT(test1[[#This Row],[Resolved]])-INT(test1[[#This Row],[Created]]))</f>
        <v>65</v>
      </c>
    </row>
    <row r="83" spans="1:49" ht="409.5" x14ac:dyDescent="0.2">
      <c r="A83" s="48" t="s">
        <v>86</v>
      </c>
      <c r="B83" s="29" t="s">
        <v>1602</v>
      </c>
      <c r="C83" s="27" t="s">
        <v>1603</v>
      </c>
      <c r="D83" s="22" t="s">
        <v>89</v>
      </c>
      <c r="E83" s="22" t="s">
        <v>1556</v>
      </c>
      <c r="F83" s="37" t="s">
        <v>608</v>
      </c>
      <c r="G83" s="37" t="s">
        <v>659</v>
      </c>
      <c r="H83" s="37"/>
      <c r="I83" s="37" t="s">
        <v>609</v>
      </c>
      <c r="J83" s="14" t="s">
        <v>91</v>
      </c>
      <c r="K83" s="14" t="s">
        <v>59</v>
      </c>
      <c r="L83" s="14" t="s">
        <v>93</v>
      </c>
      <c r="M83" s="14" t="s">
        <v>132</v>
      </c>
      <c r="N83" s="18" t="s">
        <v>30</v>
      </c>
      <c r="O83" s="14" t="s">
        <v>21</v>
      </c>
      <c r="P83" s="19">
        <v>42763.790277777778</v>
      </c>
      <c r="Q83" s="19">
        <v>42794.54791666667</v>
      </c>
      <c r="R83" s="19">
        <v>42794.54791666667</v>
      </c>
      <c r="S83" s="14" t="s">
        <v>139</v>
      </c>
      <c r="T83" s="14" t="s">
        <v>659</v>
      </c>
      <c r="U83" s="14" t="s">
        <v>89</v>
      </c>
      <c r="V83" s="28">
        <v>42764</v>
      </c>
      <c r="W83" s="14">
        <v>0</v>
      </c>
      <c r="X83" s="14">
        <v>0</v>
      </c>
      <c r="Y83" s="14"/>
      <c r="Z83" s="14"/>
      <c r="AA83" s="14"/>
      <c r="AB83" s="14"/>
      <c r="AC83" s="14"/>
      <c r="AD83" s="14"/>
      <c r="AE83" s="14"/>
      <c r="AF83" s="14" t="s">
        <v>1604</v>
      </c>
      <c r="AG83" s="14" t="s">
        <v>1605</v>
      </c>
      <c r="AH83" s="14"/>
      <c r="AI83" s="14"/>
      <c r="AJ83" s="14"/>
      <c r="AK83" s="14"/>
      <c r="AL83" s="14"/>
      <c r="AM83" s="14"/>
      <c r="AN83" s="14" t="s">
        <v>1606</v>
      </c>
      <c r="AO83" s="14" t="s">
        <v>605</v>
      </c>
      <c r="AP83" s="14" t="s">
        <v>779</v>
      </c>
      <c r="AQ83" s="14"/>
      <c r="AR83" s="22"/>
      <c r="AS83" s="22" t="s">
        <v>89</v>
      </c>
      <c r="AT83" s="22" t="s">
        <v>1556</v>
      </c>
      <c r="AU83" s="25" t="str">
        <f>VLOOKUP(O83,[1]Lookup!A:B,2,FALSE)</f>
        <v>Test-SIT</v>
      </c>
      <c r="AV83" s="25" t="str">
        <f>VLOOKUP(test1[[#This Row],[Assignee]],lookup[#All],2,FALSE)</f>
        <v>Test-SIT</v>
      </c>
      <c r="AW83" s="25">
        <f ca="1">IF(test1[[#This Row],[Status]]&lt;&gt;"Closed", TODAY()-INT(test1[[#This Row],[Created]]),INT(test1[[#This Row],[Resolved]])-INT(test1[[#This Row],[Created]]))</f>
        <v>65</v>
      </c>
    </row>
    <row r="84" spans="1:49" ht="128.25" x14ac:dyDescent="0.2">
      <c r="A84" s="48" t="s">
        <v>86</v>
      </c>
      <c r="B84" s="29" t="s">
        <v>1597</v>
      </c>
      <c r="C84" s="27" t="s">
        <v>1600</v>
      </c>
      <c r="D84" s="22" t="s">
        <v>96</v>
      </c>
      <c r="E84" s="22" t="s">
        <v>166</v>
      </c>
      <c r="F84" s="27"/>
      <c r="G84" s="27" t="s">
        <v>139</v>
      </c>
      <c r="H84" s="27"/>
      <c r="I84" s="27"/>
      <c r="J84" s="14" t="s">
        <v>91</v>
      </c>
      <c r="K84" s="14" t="s">
        <v>59</v>
      </c>
      <c r="L84" s="14" t="s">
        <v>93</v>
      </c>
      <c r="M84" s="14" t="s">
        <v>132</v>
      </c>
      <c r="N84" s="18" t="s">
        <v>21</v>
      </c>
      <c r="O84" s="14" t="s">
        <v>21</v>
      </c>
      <c r="P84" s="19">
        <v>42764.7</v>
      </c>
      <c r="Q84" s="19">
        <v>42771.627083333333</v>
      </c>
      <c r="R84" s="19">
        <v>42771.627083333333</v>
      </c>
      <c r="S84" s="14" t="s">
        <v>139</v>
      </c>
      <c r="T84" s="14" t="s">
        <v>139</v>
      </c>
      <c r="U84" s="14" t="s">
        <v>242</v>
      </c>
      <c r="V84" s="28">
        <v>42767</v>
      </c>
      <c r="W84" s="14">
        <v>0</v>
      </c>
      <c r="X84" s="14">
        <v>0</v>
      </c>
      <c r="Y84" s="14"/>
      <c r="Z84" s="14"/>
      <c r="AA84" s="14"/>
      <c r="AB84" s="14"/>
      <c r="AC84" s="14"/>
      <c r="AD84" s="14"/>
      <c r="AE84" s="14" t="s">
        <v>1595</v>
      </c>
      <c r="AF84" s="14" t="s">
        <v>1598</v>
      </c>
      <c r="AG84" s="14" t="s">
        <v>1601</v>
      </c>
      <c r="AH84" s="14"/>
      <c r="AI84" s="14"/>
      <c r="AJ84" s="14"/>
      <c r="AK84" s="14"/>
      <c r="AL84" s="14"/>
      <c r="AM84" s="14"/>
      <c r="AN84" s="14" t="s">
        <v>235</v>
      </c>
      <c r="AO84" s="14" t="s">
        <v>1594</v>
      </c>
      <c r="AP84" s="14" t="s">
        <v>250</v>
      </c>
      <c r="AQ84" s="14"/>
      <c r="AR84" s="22"/>
      <c r="AS84" s="22" t="s">
        <v>96</v>
      </c>
      <c r="AT84" s="22" t="s">
        <v>959</v>
      </c>
      <c r="AU84" s="25" t="str">
        <f>VLOOKUP(O84,[1]Lookup!A:B,2,FALSE)</f>
        <v>Test-SIT</v>
      </c>
      <c r="AV84" s="25" t="str">
        <f>VLOOKUP(test1[[#This Row],[Assignee]],lookup[#All],2,FALSE)</f>
        <v>Test-SIT</v>
      </c>
      <c r="AW84" s="25">
        <f ca="1">IF(test1[[#This Row],[Status]]&lt;&gt;"Closed", TODAY()-INT(test1[[#This Row],[Created]]),INT(test1[[#This Row],[Resolved]])-INT(test1[[#This Row],[Created]]))</f>
        <v>64</v>
      </c>
    </row>
    <row r="85" spans="1:49" ht="128.25" x14ac:dyDescent="0.2">
      <c r="A85" s="48" t="s">
        <v>86</v>
      </c>
      <c r="B85" s="29" t="s">
        <v>1595</v>
      </c>
      <c r="C85" s="27" t="s">
        <v>1596</v>
      </c>
      <c r="D85" s="22" t="s">
        <v>96</v>
      </c>
      <c r="E85" s="22" t="s">
        <v>166</v>
      </c>
      <c r="F85" s="27"/>
      <c r="G85" s="27"/>
      <c r="H85" s="27"/>
      <c r="I85" s="27"/>
      <c r="J85" s="14" t="s">
        <v>91</v>
      </c>
      <c r="K85" s="14" t="s">
        <v>59</v>
      </c>
      <c r="L85" s="14" t="s">
        <v>93</v>
      </c>
      <c r="M85" s="14" t="s">
        <v>132</v>
      </c>
      <c r="N85" s="18" t="s">
        <v>21</v>
      </c>
      <c r="O85" s="14" t="s">
        <v>21</v>
      </c>
      <c r="P85" s="19">
        <v>42764.700694444444</v>
      </c>
      <c r="Q85" s="19">
        <v>42770.773611111108</v>
      </c>
      <c r="R85" s="19">
        <v>42770.68472222222</v>
      </c>
      <c r="S85" s="14" t="s">
        <v>139</v>
      </c>
      <c r="T85" s="14"/>
      <c r="U85" s="14" t="s">
        <v>242</v>
      </c>
      <c r="V85" s="28">
        <v>42766</v>
      </c>
      <c r="W85" s="14">
        <v>0</v>
      </c>
      <c r="X85" s="14">
        <v>0</v>
      </c>
      <c r="Y85" s="14"/>
      <c r="Z85" s="14"/>
      <c r="AA85" s="14"/>
      <c r="AB85" s="14"/>
      <c r="AC85" s="14"/>
      <c r="AD85" s="14"/>
      <c r="AE85" s="14" t="s">
        <v>1597</v>
      </c>
      <c r="AF85" s="14" t="s">
        <v>1598</v>
      </c>
      <c r="AG85" s="14" t="s">
        <v>1599</v>
      </c>
      <c r="AH85" s="14"/>
      <c r="AI85" s="14"/>
      <c r="AJ85" s="14"/>
      <c r="AK85" s="14"/>
      <c r="AL85" s="14"/>
      <c r="AM85" s="14"/>
      <c r="AN85" s="14" t="s">
        <v>235</v>
      </c>
      <c r="AO85" s="14" t="s">
        <v>1594</v>
      </c>
      <c r="AP85" s="14" t="s">
        <v>250</v>
      </c>
      <c r="AQ85" s="14"/>
      <c r="AR85" s="22"/>
      <c r="AS85" s="22" t="s">
        <v>96</v>
      </c>
      <c r="AT85" s="22" t="s">
        <v>959</v>
      </c>
      <c r="AU85" s="25" t="str">
        <f>VLOOKUP(O85,[1]Lookup!A:B,2,FALSE)</f>
        <v>Test-SIT</v>
      </c>
      <c r="AV85" s="25" t="str">
        <f>VLOOKUP(test1[[#This Row],[Assignee]],lookup[#All],2,FALSE)</f>
        <v>Test-SIT</v>
      </c>
      <c r="AW85" s="25">
        <f ca="1">IF(test1[[#This Row],[Status]]&lt;&gt;"Closed", TODAY()-INT(test1[[#This Row],[Created]]),INT(test1[[#This Row],[Resolved]])-INT(test1[[#This Row],[Created]]))</f>
        <v>64</v>
      </c>
    </row>
    <row r="86" spans="1:49" ht="171" x14ac:dyDescent="0.2">
      <c r="A86" s="48" t="s">
        <v>86</v>
      </c>
      <c r="B86" s="29" t="s">
        <v>1590</v>
      </c>
      <c r="C86" s="27" t="s">
        <v>1591</v>
      </c>
      <c r="D86" s="22" t="s">
        <v>96</v>
      </c>
      <c r="E86" s="22" t="s">
        <v>166</v>
      </c>
      <c r="F86" s="27"/>
      <c r="G86" s="27" t="s">
        <v>139</v>
      </c>
      <c r="H86" s="27"/>
      <c r="I86" s="27"/>
      <c r="J86" s="14" t="s">
        <v>91</v>
      </c>
      <c r="K86" s="14" t="s">
        <v>59</v>
      </c>
      <c r="L86" s="14" t="s">
        <v>93</v>
      </c>
      <c r="M86" s="14" t="s">
        <v>132</v>
      </c>
      <c r="N86" s="18" t="s">
        <v>21</v>
      </c>
      <c r="O86" s="14" t="s">
        <v>21</v>
      </c>
      <c r="P86" s="19">
        <v>42766.350694444445</v>
      </c>
      <c r="Q86" s="19">
        <v>42771.680555555555</v>
      </c>
      <c r="R86" s="19">
        <v>42771.680555555555</v>
      </c>
      <c r="S86" s="14" t="s">
        <v>139</v>
      </c>
      <c r="T86" s="14" t="s">
        <v>139</v>
      </c>
      <c r="U86" s="14" t="s">
        <v>242</v>
      </c>
      <c r="V86" s="28">
        <v>42767</v>
      </c>
      <c r="W86" s="14">
        <v>0</v>
      </c>
      <c r="X86" s="14">
        <v>0</v>
      </c>
      <c r="Y86" s="14"/>
      <c r="Z86" s="14"/>
      <c r="AA86" s="14"/>
      <c r="AB86" s="14"/>
      <c r="AC86" s="14"/>
      <c r="AD86" s="14"/>
      <c r="AE86" s="14"/>
      <c r="AF86" s="14" t="s">
        <v>1592</v>
      </c>
      <c r="AG86" s="14" t="s">
        <v>1593</v>
      </c>
      <c r="AH86" s="14"/>
      <c r="AI86" s="14"/>
      <c r="AJ86" s="14"/>
      <c r="AK86" s="14"/>
      <c r="AL86" s="14"/>
      <c r="AM86" s="14"/>
      <c r="AN86" s="14" t="s">
        <v>235</v>
      </c>
      <c r="AO86" s="14" t="s">
        <v>1594</v>
      </c>
      <c r="AP86" s="14" t="s">
        <v>146</v>
      </c>
      <c r="AQ86" s="14"/>
      <c r="AR86" s="22"/>
      <c r="AS86" s="22" t="s">
        <v>96</v>
      </c>
      <c r="AT86" s="22" t="s">
        <v>959</v>
      </c>
      <c r="AU86" s="25" t="str">
        <f>VLOOKUP(O86,[1]Lookup!A:B,2,FALSE)</f>
        <v>Test-SIT</v>
      </c>
      <c r="AV86" s="25" t="str">
        <f>VLOOKUP(test1[[#This Row],[Assignee]],lookup[#All],2,FALSE)</f>
        <v>Test-SIT</v>
      </c>
      <c r="AW86" s="25">
        <f ca="1">IF(test1[[#This Row],[Status]]&lt;&gt;"Closed", TODAY()-INT(test1[[#This Row],[Created]]),INT(test1[[#This Row],[Resolved]])-INT(test1[[#This Row],[Created]]))</f>
        <v>62</v>
      </c>
    </row>
    <row r="87" spans="1:49" ht="409.5" x14ac:dyDescent="0.2">
      <c r="A87" s="48" t="s">
        <v>86</v>
      </c>
      <c r="B87" s="29" t="s">
        <v>1586</v>
      </c>
      <c r="C87" s="27" t="s">
        <v>1587</v>
      </c>
      <c r="D87" s="22" t="s">
        <v>96</v>
      </c>
      <c r="E87" s="22" t="s">
        <v>166</v>
      </c>
      <c r="F87" s="27"/>
      <c r="G87" s="27" t="s">
        <v>139</v>
      </c>
      <c r="H87" s="27"/>
      <c r="I87" s="27"/>
      <c r="J87" s="14" t="s">
        <v>91</v>
      </c>
      <c r="K87" s="14" t="s">
        <v>59</v>
      </c>
      <c r="L87" s="14" t="s">
        <v>93</v>
      </c>
      <c r="M87" s="14" t="s">
        <v>132</v>
      </c>
      <c r="N87" s="18" t="s">
        <v>21</v>
      </c>
      <c r="O87" s="14" t="s">
        <v>21</v>
      </c>
      <c r="P87" s="19">
        <v>42766.354166666664</v>
      </c>
      <c r="Q87" s="19">
        <v>42772.519444444442</v>
      </c>
      <c r="R87" s="19">
        <v>42771.620138888888</v>
      </c>
      <c r="S87" s="14" t="s">
        <v>139</v>
      </c>
      <c r="T87" s="14" t="s">
        <v>139</v>
      </c>
      <c r="U87" s="14" t="s">
        <v>96</v>
      </c>
      <c r="V87" s="28">
        <v>42767</v>
      </c>
      <c r="W87" s="14">
        <v>0</v>
      </c>
      <c r="X87" s="14">
        <v>0</v>
      </c>
      <c r="Y87" s="14"/>
      <c r="Z87" s="14"/>
      <c r="AA87" s="14"/>
      <c r="AB87" s="14"/>
      <c r="AC87" s="14"/>
      <c r="AD87" s="14"/>
      <c r="AE87" s="14"/>
      <c r="AF87" s="14" t="s">
        <v>1588</v>
      </c>
      <c r="AG87" s="14" t="s">
        <v>1589</v>
      </c>
      <c r="AH87" s="14"/>
      <c r="AI87" s="14"/>
      <c r="AJ87" s="14"/>
      <c r="AK87" s="14"/>
      <c r="AL87" s="14"/>
      <c r="AM87" s="14"/>
      <c r="AN87" s="14" t="s">
        <v>235</v>
      </c>
      <c r="AO87" s="14" t="s">
        <v>1581</v>
      </c>
      <c r="AP87" s="14" t="s">
        <v>146</v>
      </c>
      <c r="AQ87" s="14"/>
      <c r="AR87" s="22"/>
      <c r="AS87" s="22" t="s">
        <v>96</v>
      </c>
      <c r="AT87" s="22" t="s">
        <v>959</v>
      </c>
      <c r="AU87" s="25" t="str">
        <f>VLOOKUP(O87,[1]Lookup!A:B,2,FALSE)</f>
        <v>Test-SIT</v>
      </c>
      <c r="AV87" s="25" t="str">
        <f>VLOOKUP(test1[[#This Row],[Assignee]],lookup[#All],2,FALSE)</f>
        <v>Test-SIT</v>
      </c>
      <c r="AW87" s="25">
        <f ca="1">IF(test1[[#This Row],[Status]]&lt;&gt;"Closed", TODAY()-INT(test1[[#This Row],[Created]]),INT(test1[[#This Row],[Resolved]])-INT(test1[[#This Row],[Created]]))</f>
        <v>62</v>
      </c>
    </row>
    <row r="88" spans="1:49" ht="356.25" x14ac:dyDescent="0.2">
      <c r="A88" s="48" t="s">
        <v>86</v>
      </c>
      <c r="B88" s="29" t="s">
        <v>1582</v>
      </c>
      <c r="C88" s="27" t="s">
        <v>1583</v>
      </c>
      <c r="D88" s="22" t="s">
        <v>96</v>
      </c>
      <c r="E88" s="22" t="s">
        <v>166</v>
      </c>
      <c r="F88" s="27"/>
      <c r="G88" s="27" t="s">
        <v>139</v>
      </c>
      <c r="H88" s="27"/>
      <c r="I88" s="27"/>
      <c r="J88" s="14" t="s">
        <v>91</v>
      </c>
      <c r="K88" s="14" t="s">
        <v>59</v>
      </c>
      <c r="L88" s="14" t="s">
        <v>93</v>
      </c>
      <c r="M88" s="14" t="s">
        <v>132</v>
      </c>
      <c r="N88" s="18" t="s">
        <v>21</v>
      </c>
      <c r="O88" s="14" t="s">
        <v>21</v>
      </c>
      <c r="P88" s="19">
        <v>42766.356944444444</v>
      </c>
      <c r="Q88" s="19">
        <v>42772.518750000003</v>
      </c>
      <c r="R88" s="19">
        <v>42771.620833333334</v>
      </c>
      <c r="S88" s="14" t="s">
        <v>139</v>
      </c>
      <c r="T88" s="14" t="s">
        <v>139</v>
      </c>
      <c r="U88" s="14" t="s">
        <v>96</v>
      </c>
      <c r="V88" s="28">
        <v>42767</v>
      </c>
      <c r="W88" s="14">
        <v>0</v>
      </c>
      <c r="X88" s="14">
        <v>0</v>
      </c>
      <c r="Y88" s="14"/>
      <c r="Z88" s="14"/>
      <c r="AA88" s="14"/>
      <c r="AB88" s="14"/>
      <c r="AC88" s="14"/>
      <c r="AD88" s="14"/>
      <c r="AE88" s="14"/>
      <c r="AF88" s="14" t="s">
        <v>1584</v>
      </c>
      <c r="AG88" s="14" t="s">
        <v>1585</v>
      </c>
      <c r="AH88" s="14"/>
      <c r="AI88" s="14"/>
      <c r="AJ88" s="14"/>
      <c r="AK88" s="14"/>
      <c r="AL88" s="14"/>
      <c r="AM88" s="14"/>
      <c r="AN88" s="14" t="s">
        <v>235</v>
      </c>
      <c r="AO88" s="14" t="s">
        <v>1581</v>
      </c>
      <c r="AP88" s="14" t="s">
        <v>146</v>
      </c>
      <c r="AQ88" s="14"/>
      <c r="AR88" s="22"/>
      <c r="AS88" s="22" t="s">
        <v>96</v>
      </c>
      <c r="AT88" s="22" t="s">
        <v>959</v>
      </c>
      <c r="AU88" s="25" t="str">
        <f>VLOOKUP(O88,[1]Lookup!A:B,2,FALSE)</f>
        <v>Test-SIT</v>
      </c>
      <c r="AV88" s="25" t="str">
        <f>VLOOKUP(test1[[#This Row],[Assignee]],lookup[#All],2,FALSE)</f>
        <v>Test-SIT</v>
      </c>
      <c r="AW88" s="25">
        <f ca="1">IF(test1[[#This Row],[Status]]&lt;&gt;"Closed", TODAY()-INT(test1[[#This Row],[Created]]),INT(test1[[#This Row],[Resolved]])-INT(test1[[#This Row],[Created]]))</f>
        <v>62</v>
      </c>
    </row>
    <row r="89" spans="1:49" ht="356.25" x14ac:dyDescent="0.2">
      <c r="A89" s="48" t="s">
        <v>86</v>
      </c>
      <c r="B89" s="29" t="s">
        <v>1577</v>
      </c>
      <c r="C89" s="27" t="s">
        <v>1578</v>
      </c>
      <c r="D89" s="22" t="s">
        <v>96</v>
      </c>
      <c r="E89" s="22" t="s">
        <v>166</v>
      </c>
      <c r="F89" s="27"/>
      <c r="G89" s="27" t="s">
        <v>139</v>
      </c>
      <c r="H89" s="27"/>
      <c r="I89" s="27"/>
      <c r="J89" s="14" t="s">
        <v>91</v>
      </c>
      <c r="K89" s="14" t="s">
        <v>59</v>
      </c>
      <c r="L89" s="14" t="s">
        <v>93</v>
      </c>
      <c r="M89" s="14" t="s">
        <v>132</v>
      </c>
      <c r="N89" s="18" t="s">
        <v>21</v>
      </c>
      <c r="O89" s="14" t="s">
        <v>21</v>
      </c>
      <c r="P89" s="19">
        <v>42766.366666666669</v>
      </c>
      <c r="Q89" s="19">
        <v>42772.518750000003</v>
      </c>
      <c r="R89" s="19">
        <v>42771.620833333334</v>
      </c>
      <c r="S89" s="14" t="s">
        <v>139</v>
      </c>
      <c r="T89" s="14" t="s">
        <v>139</v>
      </c>
      <c r="U89" s="14" t="s">
        <v>96</v>
      </c>
      <c r="V89" s="28">
        <v>42767</v>
      </c>
      <c r="W89" s="14">
        <v>0</v>
      </c>
      <c r="X89" s="14">
        <v>0</v>
      </c>
      <c r="Y89" s="14"/>
      <c r="Z89" s="14"/>
      <c r="AA89" s="14"/>
      <c r="AB89" s="14"/>
      <c r="AC89" s="14"/>
      <c r="AD89" s="14"/>
      <c r="AE89" s="14"/>
      <c r="AF89" s="14" t="s">
        <v>1579</v>
      </c>
      <c r="AG89" s="14" t="s">
        <v>1580</v>
      </c>
      <c r="AH89" s="14"/>
      <c r="AI89" s="14"/>
      <c r="AJ89" s="14"/>
      <c r="AK89" s="14"/>
      <c r="AL89" s="14"/>
      <c r="AM89" s="14"/>
      <c r="AN89" s="14" t="s">
        <v>235</v>
      </c>
      <c r="AO89" s="14" t="s">
        <v>1581</v>
      </c>
      <c r="AP89" s="14" t="s">
        <v>779</v>
      </c>
      <c r="AQ89" s="14"/>
      <c r="AR89" s="22"/>
      <c r="AS89" s="22" t="s">
        <v>96</v>
      </c>
      <c r="AT89" s="22" t="s">
        <v>959</v>
      </c>
      <c r="AU89" s="25" t="str">
        <f>VLOOKUP(O89,[1]Lookup!A:B,2,FALSE)</f>
        <v>Test-SIT</v>
      </c>
      <c r="AV89" s="25" t="str">
        <f>VLOOKUP(test1[[#This Row],[Assignee]],lookup[#All],2,FALSE)</f>
        <v>Test-SIT</v>
      </c>
      <c r="AW89" s="25">
        <f ca="1">IF(test1[[#This Row],[Status]]&lt;&gt;"Closed", TODAY()-INT(test1[[#This Row],[Created]]),INT(test1[[#This Row],[Resolved]])-INT(test1[[#This Row],[Created]]))</f>
        <v>62</v>
      </c>
    </row>
    <row r="90" spans="1:49" s="35" customFormat="1" ht="409.5" x14ac:dyDescent="0.2">
      <c r="A90" s="48" t="s">
        <v>86</v>
      </c>
      <c r="B90" s="29" t="s">
        <v>1573</v>
      </c>
      <c r="C90" s="27" t="s">
        <v>1574</v>
      </c>
      <c r="D90" s="22" t="s">
        <v>117</v>
      </c>
      <c r="E90" s="22" t="s">
        <v>435</v>
      </c>
      <c r="F90" s="27"/>
      <c r="G90" s="27"/>
      <c r="H90" s="27"/>
      <c r="I90" s="27"/>
      <c r="J90" s="14" t="s">
        <v>91</v>
      </c>
      <c r="K90" s="14" t="s">
        <v>59</v>
      </c>
      <c r="L90" s="14" t="s">
        <v>93</v>
      </c>
      <c r="M90" s="14" t="s">
        <v>201</v>
      </c>
      <c r="N90" s="18" t="s">
        <v>24</v>
      </c>
      <c r="O90" s="14" t="s">
        <v>24</v>
      </c>
      <c r="P90" s="19">
        <v>42766.393750000003</v>
      </c>
      <c r="Q90" s="19">
        <v>42789.549305555556</v>
      </c>
      <c r="R90" s="19">
        <v>42789.549305555556</v>
      </c>
      <c r="S90" s="14" t="s">
        <v>139</v>
      </c>
      <c r="T90" s="14" t="s">
        <v>155</v>
      </c>
      <c r="U90" s="14" t="s">
        <v>117</v>
      </c>
      <c r="V90" s="28">
        <v>42736</v>
      </c>
      <c r="W90" s="14">
        <v>0</v>
      </c>
      <c r="X90" s="14">
        <v>0</v>
      </c>
      <c r="Y90" s="14"/>
      <c r="Z90" s="14"/>
      <c r="AA90" s="14"/>
      <c r="AB90" s="14"/>
      <c r="AC90" s="14"/>
      <c r="AD90" s="14"/>
      <c r="AE90" s="14"/>
      <c r="AF90" s="14" t="s">
        <v>143</v>
      </c>
      <c r="AG90" s="14" t="s">
        <v>1575</v>
      </c>
      <c r="AH90" s="14"/>
      <c r="AI90" s="14"/>
      <c r="AJ90" s="14"/>
      <c r="AK90" s="14"/>
      <c r="AL90" s="14"/>
      <c r="AM90" s="14"/>
      <c r="AN90" s="14" t="s">
        <v>431</v>
      </c>
      <c r="AO90" s="14" t="s">
        <v>1576</v>
      </c>
      <c r="AP90" s="14"/>
      <c r="AQ90" s="14"/>
      <c r="AR90" s="22"/>
      <c r="AS90" s="22" t="s">
        <v>117</v>
      </c>
      <c r="AT90" s="22" t="s">
        <v>435</v>
      </c>
      <c r="AU90" s="25" t="str">
        <f>VLOOKUP(O90,[1]Lookup!A:B,2,FALSE)</f>
        <v>Test-SIT</v>
      </c>
      <c r="AV90" s="25" t="str">
        <f>VLOOKUP(test1[[#This Row],[Assignee]],lookup[#All],2,FALSE)</f>
        <v>Test-SIT</v>
      </c>
      <c r="AW90" s="25">
        <f ca="1">IF(test1[[#This Row],[Status]]&lt;&gt;"Closed", TODAY()-INT(test1[[#This Row],[Created]]),INT(test1[[#This Row],[Resolved]])-INT(test1[[#This Row],[Created]]))</f>
        <v>62</v>
      </c>
    </row>
    <row r="91" spans="1:49" ht="409.5" x14ac:dyDescent="0.2">
      <c r="A91" s="48" t="s">
        <v>86</v>
      </c>
      <c r="B91" s="29" t="s">
        <v>1569</v>
      </c>
      <c r="C91" s="27" t="s">
        <v>1570</v>
      </c>
      <c r="D91" s="22" t="s">
        <v>117</v>
      </c>
      <c r="E91" s="22" t="s">
        <v>229</v>
      </c>
      <c r="F91" s="27"/>
      <c r="G91" s="27" t="s">
        <v>204</v>
      </c>
      <c r="H91" s="27"/>
      <c r="I91" s="27"/>
      <c r="J91" s="14" t="s">
        <v>91</v>
      </c>
      <c r="K91" s="14" t="s">
        <v>59</v>
      </c>
      <c r="L91" s="14" t="s">
        <v>103</v>
      </c>
      <c r="M91" s="14" t="s">
        <v>132</v>
      </c>
      <c r="N91" s="18" t="s">
        <v>24</v>
      </c>
      <c r="O91" s="14" t="s">
        <v>24</v>
      </c>
      <c r="P91" s="19">
        <v>42766.396527777775</v>
      </c>
      <c r="Q91" s="19">
        <v>42783.421527777777</v>
      </c>
      <c r="R91" s="19">
        <v>42783.421527777777</v>
      </c>
      <c r="S91" s="14" t="s">
        <v>139</v>
      </c>
      <c r="T91" s="14" t="s">
        <v>204</v>
      </c>
      <c r="U91" s="14" t="s">
        <v>117</v>
      </c>
      <c r="V91" s="28">
        <v>42768</v>
      </c>
      <c r="W91" s="14">
        <v>0</v>
      </c>
      <c r="X91" s="14">
        <v>0</v>
      </c>
      <c r="Y91" s="14"/>
      <c r="Z91" s="14"/>
      <c r="AA91" s="14"/>
      <c r="AB91" s="14"/>
      <c r="AC91" s="14"/>
      <c r="AD91" s="14"/>
      <c r="AE91" s="14"/>
      <c r="AF91" s="14" t="s">
        <v>143</v>
      </c>
      <c r="AG91" s="14" t="s">
        <v>1571</v>
      </c>
      <c r="AH91" s="14"/>
      <c r="AI91" s="14"/>
      <c r="AJ91" s="14"/>
      <c r="AK91" s="14"/>
      <c r="AL91" s="14"/>
      <c r="AM91" s="14"/>
      <c r="AN91" s="14" t="s">
        <v>362</v>
      </c>
      <c r="AO91" s="14" t="s">
        <v>1572</v>
      </c>
      <c r="AP91" s="14"/>
      <c r="AQ91" s="14"/>
      <c r="AR91" s="22"/>
      <c r="AS91" s="22" t="s">
        <v>117</v>
      </c>
      <c r="AT91" s="22" t="s">
        <v>229</v>
      </c>
      <c r="AU91" s="25" t="str">
        <f>VLOOKUP(O91,[1]Lookup!A:B,2,FALSE)</f>
        <v>Test-SIT</v>
      </c>
      <c r="AV91" s="25" t="str">
        <f>VLOOKUP(test1[[#This Row],[Assignee]],lookup[#All],2,FALSE)</f>
        <v>Test-SIT</v>
      </c>
      <c r="AW91" s="25">
        <f ca="1">IF(test1[[#This Row],[Status]]&lt;&gt;"Closed", TODAY()-INT(test1[[#This Row],[Created]]),INT(test1[[#This Row],[Resolved]])-INT(test1[[#This Row],[Created]]))</f>
        <v>62</v>
      </c>
    </row>
    <row r="92" spans="1:49" ht="409.5" x14ac:dyDescent="0.2">
      <c r="A92" s="48" t="s">
        <v>86</v>
      </c>
      <c r="B92" s="29" t="s">
        <v>1565</v>
      </c>
      <c r="C92" s="27" t="s">
        <v>1566</v>
      </c>
      <c r="D92" s="22" t="s">
        <v>117</v>
      </c>
      <c r="E92" s="22" t="s">
        <v>550</v>
      </c>
      <c r="F92" s="27"/>
      <c r="G92" s="27"/>
      <c r="H92" s="27"/>
      <c r="I92" s="27"/>
      <c r="J92" s="14" t="s">
        <v>91</v>
      </c>
      <c r="K92" s="14" t="s">
        <v>59</v>
      </c>
      <c r="L92" s="14" t="s">
        <v>103</v>
      </c>
      <c r="M92" s="14" t="s">
        <v>132</v>
      </c>
      <c r="N92" s="18" t="s">
        <v>24</v>
      </c>
      <c r="O92" s="14" t="s">
        <v>24</v>
      </c>
      <c r="P92" s="19">
        <v>42766.401388888888</v>
      </c>
      <c r="Q92" s="19">
        <v>42811.452777777777</v>
      </c>
      <c r="R92" s="19">
        <v>42773.410416666666</v>
      </c>
      <c r="S92" s="14" t="s">
        <v>139</v>
      </c>
      <c r="T92" s="14" t="s">
        <v>139</v>
      </c>
      <c r="U92" s="14" t="s">
        <v>1512</v>
      </c>
      <c r="V92" s="28">
        <v>42768</v>
      </c>
      <c r="W92" s="14">
        <v>0</v>
      </c>
      <c r="X92" s="14">
        <v>0</v>
      </c>
      <c r="Y92" s="14"/>
      <c r="Z92" s="14"/>
      <c r="AA92" s="14"/>
      <c r="AB92" s="14"/>
      <c r="AC92" s="14"/>
      <c r="AD92" s="14"/>
      <c r="AE92" s="14"/>
      <c r="AF92" s="14" t="s">
        <v>143</v>
      </c>
      <c r="AG92" s="14" t="s">
        <v>1567</v>
      </c>
      <c r="AH92" s="14"/>
      <c r="AI92" s="14"/>
      <c r="AJ92" s="14"/>
      <c r="AK92" s="14"/>
      <c r="AL92" s="14"/>
      <c r="AM92" s="14"/>
      <c r="AN92" s="14" t="s">
        <v>362</v>
      </c>
      <c r="AO92" s="14" t="s">
        <v>1568</v>
      </c>
      <c r="AP92" s="14"/>
      <c r="AQ92" s="14"/>
      <c r="AR92" s="22"/>
      <c r="AS92" s="22" t="s">
        <v>117</v>
      </c>
      <c r="AT92" s="22" t="s">
        <v>564</v>
      </c>
      <c r="AU92" s="25" t="str">
        <f>VLOOKUP(O92,[1]Lookup!A:B,2,FALSE)</f>
        <v>Test-SIT</v>
      </c>
      <c r="AV92" s="25" t="str">
        <f>VLOOKUP(test1[[#This Row],[Assignee]],lookup[#All],2,FALSE)</f>
        <v>Test-SIT</v>
      </c>
      <c r="AW92" s="25">
        <f ca="1">IF(test1[[#This Row],[Status]]&lt;&gt;"Closed", TODAY()-INT(test1[[#This Row],[Created]]),INT(test1[[#This Row],[Resolved]])-INT(test1[[#This Row],[Created]]))</f>
        <v>62</v>
      </c>
    </row>
    <row r="93" spans="1:49" ht="384.75" x14ac:dyDescent="0.2">
      <c r="A93" s="48" t="s">
        <v>86</v>
      </c>
      <c r="B93" s="29" t="s">
        <v>1562</v>
      </c>
      <c r="C93" s="27" t="s">
        <v>1563</v>
      </c>
      <c r="D93" s="22" t="s">
        <v>117</v>
      </c>
      <c r="E93" s="69" t="s">
        <v>229</v>
      </c>
      <c r="F93" s="27"/>
      <c r="G93" s="27"/>
      <c r="H93" s="27"/>
      <c r="I93" s="27"/>
      <c r="J93" s="14" t="s">
        <v>91</v>
      </c>
      <c r="K93" s="14" t="s">
        <v>59</v>
      </c>
      <c r="L93" s="14" t="s">
        <v>103</v>
      </c>
      <c r="M93" s="14" t="s">
        <v>201</v>
      </c>
      <c r="N93" s="18" t="s">
        <v>24</v>
      </c>
      <c r="O93" s="14" t="s">
        <v>24</v>
      </c>
      <c r="P93" s="19">
        <v>42766.637499999997</v>
      </c>
      <c r="Q93" s="19">
        <v>42811.449305555558</v>
      </c>
      <c r="R93" s="19">
        <v>42767.496527777781</v>
      </c>
      <c r="S93" s="14" t="s">
        <v>139</v>
      </c>
      <c r="T93" s="14" t="s">
        <v>204</v>
      </c>
      <c r="U93" s="14" t="s">
        <v>117</v>
      </c>
      <c r="V93" s="14"/>
      <c r="W93" s="14">
        <v>0</v>
      </c>
      <c r="X93" s="14">
        <v>0</v>
      </c>
      <c r="Y93" s="14"/>
      <c r="Z93" s="14"/>
      <c r="AA93" s="14"/>
      <c r="AB93" s="14"/>
      <c r="AC93" s="14"/>
      <c r="AD93" s="14"/>
      <c r="AE93" s="14"/>
      <c r="AF93" s="14" t="s">
        <v>143</v>
      </c>
      <c r="AG93" s="14" t="s">
        <v>1564</v>
      </c>
      <c r="AH93" s="14"/>
      <c r="AI93" s="14"/>
      <c r="AJ93" s="14"/>
      <c r="AK93" s="14"/>
      <c r="AL93" s="14"/>
      <c r="AM93" s="14"/>
      <c r="AN93" s="14" t="s">
        <v>431</v>
      </c>
      <c r="AO93" s="14"/>
      <c r="AP93" s="14"/>
      <c r="AQ93" s="14"/>
      <c r="AR93" s="22"/>
      <c r="AS93" s="22" t="s">
        <v>117</v>
      </c>
      <c r="AT93" s="69" t="s">
        <v>229</v>
      </c>
      <c r="AU93" s="25" t="str">
        <f>VLOOKUP(O93,[1]Lookup!A:B,2,FALSE)</f>
        <v>Test-SIT</v>
      </c>
      <c r="AV93" s="25" t="str">
        <f>VLOOKUP(test1[[#This Row],[Assignee]],lookup[#All],2,FALSE)</f>
        <v>Test-SIT</v>
      </c>
      <c r="AW93" s="25">
        <f ca="1">IF(test1[[#This Row],[Status]]&lt;&gt;"Closed", TODAY()-INT(test1[[#This Row],[Created]]),INT(test1[[#This Row],[Resolved]])-INT(test1[[#This Row],[Created]]))</f>
        <v>62</v>
      </c>
    </row>
    <row r="94" spans="1:49" ht="342" x14ac:dyDescent="0.2">
      <c r="A94" s="48" t="s">
        <v>86</v>
      </c>
      <c r="B94" s="29" t="s">
        <v>1559</v>
      </c>
      <c r="C94" s="27" t="s">
        <v>1560</v>
      </c>
      <c r="D94" s="22" t="s">
        <v>117</v>
      </c>
      <c r="E94" s="22" t="s">
        <v>229</v>
      </c>
      <c r="F94" s="27"/>
      <c r="G94" s="27" t="s">
        <v>139</v>
      </c>
      <c r="H94" s="27"/>
      <c r="I94" s="27"/>
      <c r="J94" s="14" t="s">
        <v>91</v>
      </c>
      <c r="K94" s="14" t="s">
        <v>59</v>
      </c>
      <c r="L94" s="14" t="s">
        <v>93</v>
      </c>
      <c r="M94" s="14" t="s">
        <v>201</v>
      </c>
      <c r="N94" s="18" t="s">
        <v>24</v>
      </c>
      <c r="O94" s="14" t="s">
        <v>24</v>
      </c>
      <c r="P94" s="19">
        <v>42766.730555555558</v>
      </c>
      <c r="Q94" s="19">
        <v>42800.601388888892</v>
      </c>
      <c r="R94" s="19">
        <v>42768.402083333334</v>
      </c>
      <c r="S94" s="14" t="s">
        <v>139</v>
      </c>
      <c r="T94" s="14" t="s">
        <v>204</v>
      </c>
      <c r="U94" s="14" t="s">
        <v>117</v>
      </c>
      <c r="V94" s="28">
        <v>42737</v>
      </c>
      <c r="W94" s="14">
        <v>0</v>
      </c>
      <c r="X94" s="14">
        <v>0</v>
      </c>
      <c r="Y94" s="14"/>
      <c r="Z94" s="14"/>
      <c r="AA94" s="14"/>
      <c r="AB94" s="14"/>
      <c r="AC94" s="14"/>
      <c r="AD94" s="14"/>
      <c r="AE94" s="14"/>
      <c r="AF94" s="14" t="s">
        <v>143</v>
      </c>
      <c r="AG94" s="14" t="s">
        <v>1561</v>
      </c>
      <c r="AH94" s="14"/>
      <c r="AI94" s="14"/>
      <c r="AJ94" s="14"/>
      <c r="AK94" s="14"/>
      <c r="AL94" s="14"/>
      <c r="AM94" s="14"/>
      <c r="AN94" s="14" t="s">
        <v>229</v>
      </c>
      <c r="AO94" s="14" t="s">
        <v>386</v>
      </c>
      <c r="AP94" s="14"/>
      <c r="AQ94" s="14"/>
      <c r="AR94" s="22"/>
      <c r="AS94" s="22" t="s">
        <v>117</v>
      </c>
      <c r="AT94" s="22" t="s">
        <v>229</v>
      </c>
      <c r="AU94" s="25" t="str">
        <f>VLOOKUP(O94,[1]Lookup!A:B,2,FALSE)</f>
        <v>Test-SIT</v>
      </c>
      <c r="AV94" s="25" t="str">
        <f>VLOOKUP(test1[[#This Row],[Assignee]],lookup[#All],2,FALSE)</f>
        <v>Test-SIT</v>
      </c>
      <c r="AW94" s="25">
        <f ca="1">IF(test1[[#This Row],[Status]]&lt;&gt;"Closed", TODAY()-INT(test1[[#This Row],[Created]]),INT(test1[[#This Row],[Resolved]])-INT(test1[[#This Row],[Created]]))</f>
        <v>62</v>
      </c>
    </row>
    <row r="95" spans="1:49" ht="409.5" x14ac:dyDescent="0.2">
      <c r="A95" s="48" t="s">
        <v>86</v>
      </c>
      <c r="B95" s="29" t="s">
        <v>1554</v>
      </c>
      <c r="C95" s="27" t="s">
        <v>1555</v>
      </c>
      <c r="D95" s="22" t="s">
        <v>89</v>
      </c>
      <c r="E95" s="22" t="s">
        <v>1556</v>
      </c>
      <c r="F95" s="37" t="s">
        <v>608</v>
      </c>
      <c r="G95" s="37" t="s">
        <v>659</v>
      </c>
      <c r="H95" s="37"/>
      <c r="I95" s="37" t="s">
        <v>609</v>
      </c>
      <c r="J95" s="14" t="s">
        <v>91</v>
      </c>
      <c r="K95" s="14" t="s">
        <v>59</v>
      </c>
      <c r="L95" s="14" t="s">
        <v>93</v>
      </c>
      <c r="M95" s="14" t="s">
        <v>132</v>
      </c>
      <c r="N95" s="18" t="s">
        <v>30</v>
      </c>
      <c r="O95" s="14" t="s">
        <v>21</v>
      </c>
      <c r="P95" s="19">
        <v>42766.763194444444</v>
      </c>
      <c r="Q95" s="19">
        <v>42794.731249999997</v>
      </c>
      <c r="R95" s="19">
        <v>42794.731249999997</v>
      </c>
      <c r="S95" s="14" t="s">
        <v>139</v>
      </c>
      <c r="T95" s="14" t="s">
        <v>659</v>
      </c>
      <c r="U95" s="14" t="s">
        <v>89</v>
      </c>
      <c r="V95" s="28">
        <v>42766</v>
      </c>
      <c r="W95" s="14">
        <v>0</v>
      </c>
      <c r="X95" s="14">
        <v>0</v>
      </c>
      <c r="Y95" s="14"/>
      <c r="Z95" s="14"/>
      <c r="AA95" s="14"/>
      <c r="AB95" s="14"/>
      <c r="AC95" s="14"/>
      <c r="AD95" s="14"/>
      <c r="AE95" s="14"/>
      <c r="AF95" s="14"/>
      <c r="AG95" s="14" t="s">
        <v>1557</v>
      </c>
      <c r="AH95" s="14"/>
      <c r="AI95" s="14"/>
      <c r="AJ95" s="14"/>
      <c r="AK95" s="14"/>
      <c r="AL95" s="14"/>
      <c r="AM95" s="14"/>
      <c r="AN95" s="14" t="s">
        <v>1523</v>
      </c>
      <c r="AO95" s="14" t="s">
        <v>1558</v>
      </c>
      <c r="AP95" s="14"/>
      <c r="AQ95" s="14"/>
      <c r="AR95" s="22"/>
      <c r="AS95" s="22" t="s">
        <v>89</v>
      </c>
      <c r="AT95" s="22" t="s">
        <v>1556</v>
      </c>
      <c r="AU95" s="25" t="str">
        <f>VLOOKUP(O95,[1]Lookup!A:B,2,FALSE)</f>
        <v>Test-SIT</v>
      </c>
      <c r="AV95" s="25" t="str">
        <f>VLOOKUP(test1[[#This Row],[Assignee]],lookup[#All],2,FALSE)</f>
        <v>Test-SIT</v>
      </c>
      <c r="AW95" s="25">
        <f ca="1">IF(test1[[#This Row],[Status]]&lt;&gt;"Closed", TODAY()-INT(test1[[#This Row],[Created]]),INT(test1[[#This Row],[Resolved]])-INT(test1[[#This Row],[Created]]))</f>
        <v>62</v>
      </c>
    </row>
    <row r="96" spans="1:49" ht="228" x14ac:dyDescent="0.2">
      <c r="A96" s="48" t="s">
        <v>86</v>
      </c>
      <c r="B96" s="29" t="s">
        <v>1551</v>
      </c>
      <c r="C96" s="27" t="s">
        <v>1552</v>
      </c>
      <c r="D96" s="22" t="s">
        <v>117</v>
      </c>
      <c r="E96" s="22" t="s">
        <v>435</v>
      </c>
      <c r="F96" s="27"/>
      <c r="G96" s="27" t="s">
        <v>660</v>
      </c>
      <c r="H96" s="27"/>
      <c r="I96" s="27"/>
      <c r="J96" s="14" t="s">
        <v>91</v>
      </c>
      <c r="K96" s="14" t="s">
        <v>59</v>
      </c>
      <c r="L96" s="14" t="s">
        <v>124</v>
      </c>
      <c r="M96" s="14" t="s">
        <v>132</v>
      </c>
      <c r="N96" s="18" t="s">
        <v>23</v>
      </c>
      <c r="O96" s="14" t="s">
        <v>24</v>
      </c>
      <c r="P96" s="19">
        <v>42767.556944444441</v>
      </c>
      <c r="Q96" s="19">
        <v>42800.615972222222</v>
      </c>
      <c r="R96" s="19">
        <v>42787.578472222223</v>
      </c>
      <c r="S96" s="14" t="s">
        <v>139</v>
      </c>
      <c r="T96" s="14" t="s">
        <v>139</v>
      </c>
      <c r="U96" s="14" t="s">
        <v>1512</v>
      </c>
      <c r="V96" s="28">
        <v>42769</v>
      </c>
      <c r="W96" s="14">
        <v>0</v>
      </c>
      <c r="X96" s="14">
        <v>0</v>
      </c>
      <c r="Y96" s="14"/>
      <c r="Z96" s="14"/>
      <c r="AA96" s="14"/>
      <c r="AB96" s="14"/>
      <c r="AC96" s="14"/>
      <c r="AD96" s="14"/>
      <c r="AE96" s="14"/>
      <c r="AF96" s="14" t="s">
        <v>156</v>
      </c>
      <c r="AG96" s="14" t="s">
        <v>1553</v>
      </c>
      <c r="AH96" s="14"/>
      <c r="AI96" s="14"/>
      <c r="AJ96" s="14"/>
      <c r="AK96" s="14"/>
      <c r="AL96" s="14"/>
      <c r="AM96" s="14"/>
      <c r="AN96" s="14" t="s">
        <v>431</v>
      </c>
      <c r="AO96" s="14"/>
      <c r="AP96" s="14"/>
      <c r="AQ96" s="14"/>
      <c r="AR96" s="22"/>
      <c r="AS96" s="22" t="s">
        <v>117</v>
      </c>
      <c r="AT96" s="22" t="s">
        <v>435</v>
      </c>
      <c r="AU96" s="25" t="str">
        <f>VLOOKUP(O96,[1]Lookup!A:B,2,FALSE)</f>
        <v>Test-SIT</v>
      </c>
      <c r="AV96" s="25" t="str">
        <f>VLOOKUP(test1[[#This Row],[Assignee]],lookup[#All],2,FALSE)</f>
        <v>Test-SIT</v>
      </c>
      <c r="AW96" s="25">
        <f ca="1">IF(test1[[#This Row],[Status]]&lt;&gt;"Closed", TODAY()-INT(test1[[#This Row],[Created]]),INT(test1[[#This Row],[Resolved]])-INT(test1[[#This Row],[Created]]))</f>
        <v>61</v>
      </c>
    </row>
    <row r="97" spans="1:49" ht="370.5" x14ac:dyDescent="0.2">
      <c r="A97" s="48" t="s">
        <v>86</v>
      </c>
      <c r="B97" s="29" t="s">
        <v>1548</v>
      </c>
      <c r="C97" s="27" t="s">
        <v>1549</v>
      </c>
      <c r="D97" s="22" t="s">
        <v>117</v>
      </c>
      <c r="E97" s="22" t="s">
        <v>229</v>
      </c>
      <c r="F97" s="27"/>
      <c r="G97" s="27"/>
      <c r="H97" s="27"/>
      <c r="I97" s="27"/>
      <c r="J97" s="14" t="s">
        <v>91</v>
      </c>
      <c r="K97" s="14" t="s">
        <v>59</v>
      </c>
      <c r="L97" s="14" t="s">
        <v>103</v>
      </c>
      <c r="M97" s="14" t="s">
        <v>132</v>
      </c>
      <c r="N97" s="18" t="s">
        <v>24</v>
      </c>
      <c r="O97" s="14" t="s">
        <v>24</v>
      </c>
      <c r="P97" s="19">
        <v>42767.584722222222</v>
      </c>
      <c r="Q97" s="19">
        <v>42800.620138888888</v>
      </c>
      <c r="R97" s="19">
        <v>42767.697222222225</v>
      </c>
      <c r="S97" s="14" t="s">
        <v>139</v>
      </c>
      <c r="T97" s="14" t="s">
        <v>204</v>
      </c>
      <c r="U97" s="14" t="s">
        <v>117</v>
      </c>
      <c r="V97" s="28">
        <v>42769</v>
      </c>
      <c r="W97" s="14">
        <v>0</v>
      </c>
      <c r="X97" s="14">
        <v>0</v>
      </c>
      <c r="Y97" s="14"/>
      <c r="Z97" s="14"/>
      <c r="AA97" s="14"/>
      <c r="AB97" s="14"/>
      <c r="AC97" s="14"/>
      <c r="AD97" s="14"/>
      <c r="AE97" s="14"/>
      <c r="AF97" s="14" t="s">
        <v>143</v>
      </c>
      <c r="AG97" s="14" t="s">
        <v>1550</v>
      </c>
      <c r="AH97" s="14"/>
      <c r="AI97" s="14"/>
      <c r="AJ97" s="14"/>
      <c r="AK97" s="14"/>
      <c r="AL97" s="14"/>
      <c r="AM97" s="14"/>
      <c r="AN97" s="14" t="s">
        <v>229</v>
      </c>
      <c r="AO97" s="14" t="s">
        <v>386</v>
      </c>
      <c r="AP97" s="14"/>
      <c r="AQ97" s="14"/>
      <c r="AR97" s="22"/>
      <c r="AS97" s="22" t="s">
        <v>117</v>
      </c>
      <c r="AT97" s="22" t="s">
        <v>229</v>
      </c>
      <c r="AU97" s="25" t="str">
        <f>VLOOKUP(O97,[1]Lookup!A:B,2,FALSE)</f>
        <v>Test-SIT</v>
      </c>
      <c r="AV97" s="25" t="str">
        <f>VLOOKUP(test1[[#This Row],[Assignee]],lookup[#All],2,FALSE)</f>
        <v>Test-SIT</v>
      </c>
      <c r="AW97" s="25">
        <f ca="1">IF(test1[[#This Row],[Status]]&lt;&gt;"Closed", TODAY()-INT(test1[[#This Row],[Created]]),INT(test1[[#This Row],[Resolved]])-INT(test1[[#This Row],[Created]]))</f>
        <v>61</v>
      </c>
    </row>
    <row r="98" spans="1:49" ht="409.5" x14ac:dyDescent="0.2">
      <c r="A98" s="48" t="s">
        <v>86</v>
      </c>
      <c r="B98" s="29" t="s">
        <v>1544</v>
      </c>
      <c r="C98" s="27" t="s">
        <v>1545</v>
      </c>
      <c r="D98" s="22" t="s">
        <v>117</v>
      </c>
      <c r="E98" s="22" t="s">
        <v>229</v>
      </c>
      <c r="F98" s="27"/>
      <c r="G98" s="27"/>
      <c r="H98" s="27"/>
      <c r="I98" s="27"/>
      <c r="J98" s="14" t="s">
        <v>91</v>
      </c>
      <c r="K98" s="14" t="s">
        <v>59</v>
      </c>
      <c r="L98" s="14" t="s">
        <v>103</v>
      </c>
      <c r="M98" s="14" t="s">
        <v>132</v>
      </c>
      <c r="N98" s="18" t="s">
        <v>24</v>
      </c>
      <c r="O98" s="14" t="s">
        <v>24</v>
      </c>
      <c r="P98" s="19">
        <v>42768.6875</v>
      </c>
      <c r="Q98" s="19">
        <v>42811.447916666664</v>
      </c>
      <c r="R98" s="19">
        <v>42779.455555555556</v>
      </c>
      <c r="S98" s="14" t="s">
        <v>139</v>
      </c>
      <c r="T98" s="14" t="s">
        <v>139</v>
      </c>
      <c r="U98" s="14" t="s">
        <v>1512</v>
      </c>
      <c r="V98" s="14"/>
      <c r="W98" s="14">
        <v>0</v>
      </c>
      <c r="X98" s="14">
        <v>0</v>
      </c>
      <c r="Y98" s="14"/>
      <c r="Z98" s="14"/>
      <c r="AA98" s="14"/>
      <c r="AB98" s="14"/>
      <c r="AC98" s="14"/>
      <c r="AD98" s="14"/>
      <c r="AE98" s="14"/>
      <c r="AF98" s="14" t="s">
        <v>143</v>
      </c>
      <c r="AG98" s="14" t="s">
        <v>1546</v>
      </c>
      <c r="AH98" s="14"/>
      <c r="AI98" s="14"/>
      <c r="AJ98" s="14"/>
      <c r="AK98" s="14"/>
      <c r="AL98" s="14"/>
      <c r="AM98" s="14"/>
      <c r="AN98" s="14" t="s">
        <v>362</v>
      </c>
      <c r="AO98" s="14" t="s">
        <v>1547</v>
      </c>
      <c r="AP98" s="14"/>
      <c r="AQ98" s="14"/>
      <c r="AR98" s="22"/>
      <c r="AS98" s="22" t="s">
        <v>117</v>
      </c>
      <c r="AT98" s="22" t="s">
        <v>229</v>
      </c>
      <c r="AU98" s="25" t="str">
        <f>VLOOKUP(O98,[1]Lookup!A:B,2,FALSE)</f>
        <v>Test-SIT</v>
      </c>
      <c r="AV98" s="25" t="str">
        <f>VLOOKUP(test1[[#This Row],[Assignee]],lookup[#All],2,FALSE)</f>
        <v>Test-SIT</v>
      </c>
      <c r="AW98" s="25">
        <f ca="1">IF(test1[[#This Row],[Status]]&lt;&gt;"Closed", TODAY()-INT(test1[[#This Row],[Created]]),INT(test1[[#This Row],[Resolved]])-INT(test1[[#This Row],[Created]]))</f>
        <v>60</v>
      </c>
    </row>
    <row r="99" spans="1:49" ht="399" x14ac:dyDescent="0.2">
      <c r="A99" s="48" t="s">
        <v>86</v>
      </c>
      <c r="B99" s="29" t="s">
        <v>1538</v>
      </c>
      <c r="C99" s="27" t="s">
        <v>1539</v>
      </c>
      <c r="D99" s="22" t="s">
        <v>89</v>
      </c>
      <c r="E99" s="22" t="s">
        <v>1540</v>
      </c>
      <c r="F99" s="27"/>
      <c r="G99" s="27" t="s">
        <v>660</v>
      </c>
      <c r="H99" s="27"/>
      <c r="I99" s="27"/>
      <c r="J99" s="14" t="s">
        <v>91</v>
      </c>
      <c r="K99" s="14" t="s">
        <v>59</v>
      </c>
      <c r="L99" s="14" t="s">
        <v>93</v>
      </c>
      <c r="M99" s="14" t="s">
        <v>132</v>
      </c>
      <c r="N99" s="18" t="s">
        <v>29</v>
      </c>
      <c r="O99" s="14" t="s">
        <v>4</v>
      </c>
      <c r="P99" s="19">
        <v>42769.495138888888</v>
      </c>
      <c r="Q99" s="19">
        <v>42780.810416666667</v>
      </c>
      <c r="R99" s="19">
        <v>42780.810416666667</v>
      </c>
      <c r="S99" s="14" t="s">
        <v>139</v>
      </c>
      <c r="T99" s="14" t="s">
        <v>660</v>
      </c>
      <c r="U99" s="14" t="s">
        <v>412</v>
      </c>
      <c r="V99" s="28">
        <v>42769</v>
      </c>
      <c r="W99" s="14">
        <v>0</v>
      </c>
      <c r="X99" s="14">
        <v>0</v>
      </c>
      <c r="Y99" s="20" t="s">
        <v>1541</v>
      </c>
      <c r="Z99" s="14"/>
      <c r="AA99" s="14"/>
      <c r="AB99" s="14"/>
      <c r="AC99" s="14"/>
      <c r="AD99" s="14"/>
      <c r="AE99" s="14"/>
      <c r="AF99" s="14"/>
      <c r="AG99" s="14" t="s">
        <v>1542</v>
      </c>
      <c r="AH99" s="14"/>
      <c r="AI99" s="14"/>
      <c r="AJ99" s="14"/>
      <c r="AK99" s="14"/>
      <c r="AL99" s="14"/>
      <c r="AM99" s="14"/>
      <c r="AN99" s="14" t="s">
        <v>477</v>
      </c>
      <c r="AO99" s="14" t="s">
        <v>1543</v>
      </c>
      <c r="AP99" s="14"/>
      <c r="AQ99" s="14"/>
      <c r="AR99" s="22"/>
      <c r="AS99" s="22" t="s">
        <v>89</v>
      </c>
      <c r="AT99" s="22" t="s">
        <v>1540</v>
      </c>
      <c r="AU99" s="25" t="str">
        <f>VLOOKUP(O99,[1]Lookup!A:B,2,FALSE)</f>
        <v>BTS-Deploy</v>
      </c>
      <c r="AV99" s="25" t="str">
        <f>VLOOKUP(test1[[#This Row],[Assignee]],lookup[#All],2,FALSE)</f>
        <v>BTS-Platform</v>
      </c>
      <c r="AW99" s="25">
        <f ca="1">IF(test1[[#This Row],[Status]]&lt;&gt;"Closed", TODAY()-INT(test1[[#This Row],[Created]]),INT(test1[[#This Row],[Resolved]])-INT(test1[[#This Row],[Created]]))</f>
        <v>59</v>
      </c>
    </row>
    <row r="100" spans="1:49" ht="409.5" x14ac:dyDescent="0.2">
      <c r="A100" s="48" t="s">
        <v>86</v>
      </c>
      <c r="B100" s="29" t="s">
        <v>1533</v>
      </c>
      <c r="C100" s="27" t="s">
        <v>1534</v>
      </c>
      <c r="D100" s="22" t="s">
        <v>241</v>
      </c>
      <c r="E100" s="22" t="s">
        <v>166</v>
      </c>
      <c r="F100" s="27"/>
      <c r="G100" s="27" t="s">
        <v>660</v>
      </c>
      <c r="H100" s="27"/>
      <c r="I100" s="27"/>
      <c r="J100" s="14" t="s">
        <v>91</v>
      </c>
      <c r="K100" s="14" t="s">
        <v>59</v>
      </c>
      <c r="L100" s="14" t="s">
        <v>93</v>
      </c>
      <c r="M100" s="14" t="s">
        <v>132</v>
      </c>
      <c r="N100" s="18" t="s">
        <v>22</v>
      </c>
      <c r="O100" s="14" t="s">
        <v>21</v>
      </c>
      <c r="P100" s="19">
        <v>42769.570833333331</v>
      </c>
      <c r="Q100" s="19">
        <v>42788.09097222222</v>
      </c>
      <c r="R100" s="19">
        <v>42788.09097222222</v>
      </c>
      <c r="S100" s="14" t="s">
        <v>139</v>
      </c>
      <c r="T100" s="14" t="s">
        <v>660</v>
      </c>
      <c r="U100" s="14" t="s">
        <v>242</v>
      </c>
      <c r="V100" s="28">
        <v>42770</v>
      </c>
      <c r="W100" s="14">
        <v>0</v>
      </c>
      <c r="X100" s="14">
        <v>0</v>
      </c>
      <c r="Y100" s="14"/>
      <c r="Z100" s="14"/>
      <c r="AA100" s="14"/>
      <c r="AB100" s="14"/>
      <c r="AC100" s="14"/>
      <c r="AD100" s="14"/>
      <c r="AE100" s="14"/>
      <c r="AF100" s="14" t="s">
        <v>1535</v>
      </c>
      <c r="AG100" s="14" t="s">
        <v>1536</v>
      </c>
      <c r="AH100" s="14"/>
      <c r="AI100" s="14"/>
      <c r="AJ100" s="14"/>
      <c r="AK100" s="14"/>
      <c r="AL100" s="14"/>
      <c r="AM100" s="14"/>
      <c r="AN100" s="14" t="s">
        <v>564</v>
      </c>
      <c r="AO100" s="14" t="s">
        <v>1537</v>
      </c>
      <c r="AP100" s="14"/>
      <c r="AQ100" s="14"/>
      <c r="AR100" s="22"/>
      <c r="AS100" s="22" t="s">
        <v>241</v>
      </c>
      <c r="AT100" s="22" t="s">
        <v>166</v>
      </c>
      <c r="AU100" s="25" t="str">
        <f>VLOOKUP(O100,[1]Lookup!A:B,2,FALSE)</f>
        <v>Test-SIT</v>
      </c>
      <c r="AV100" s="25" t="str">
        <f>VLOOKUP(test1[[#This Row],[Assignee]],lookup[#All],2,FALSE)</f>
        <v>Test-SIT</v>
      </c>
      <c r="AW100" s="25">
        <f ca="1">IF(test1[[#This Row],[Status]]&lt;&gt;"Closed", TODAY()-INT(test1[[#This Row],[Created]]),INT(test1[[#This Row],[Resolved]])-INT(test1[[#This Row],[Created]]))</f>
        <v>59</v>
      </c>
    </row>
    <row r="101" spans="1:49" ht="128.25" x14ac:dyDescent="0.2">
      <c r="A101" s="48" t="s">
        <v>86</v>
      </c>
      <c r="B101" s="29" t="s">
        <v>1529</v>
      </c>
      <c r="C101" s="27" t="s">
        <v>1530</v>
      </c>
      <c r="D101" s="22" t="s">
        <v>241</v>
      </c>
      <c r="E101" s="22" t="s">
        <v>166</v>
      </c>
      <c r="F101" s="27"/>
      <c r="G101" s="27" t="s">
        <v>660</v>
      </c>
      <c r="H101" s="27"/>
      <c r="I101" s="27"/>
      <c r="J101" s="14" t="s">
        <v>91</v>
      </c>
      <c r="K101" s="14" t="s">
        <v>59</v>
      </c>
      <c r="L101" s="14" t="s">
        <v>93</v>
      </c>
      <c r="M101" s="14" t="s">
        <v>132</v>
      </c>
      <c r="N101" s="18" t="s">
        <v>22</v>
      </c>
      <c r="O101" s="14" t="s">
        <v>21</v>
      </c>
      <c r="P101" s="19">
        <v>42769.573611111111</v>
      </c>
      <c r="Q101" s="19">
        <v>42778.587500000001</v>
      </c>
      <c r="R101" s="19">
        <v>42778.587500000001</v>
      </c>
      <c r="S101" s="14" t="s">
        <v>139</v>
      </c>
      <c r="T101" s="14" t="s">
        <v>660</v>
      </c>
      <c r="U101" s="14" t="s">
        <v>242</v>
      </c>
      <c r="V101" s="28">
        <v>42770</v>
      </c>
      <c r="W101" s="14">
        <v>0</v>
      </c>
      <c r="X101" s="14">
        <v>0</v>
      </c>
      <c r="Y101" s="14"/>
      <c r="Z101" s="14"/>
      <c r="AA101" s="14"/>
      <c r="AB101" s="14"/>
      <c r="AC101" s="14"/>
      <c r="AD101" s="14"/>
      <c r="AE101" s="14"/>
      <c r="AF101" s="14" t="s">
        <v>1384</v>
      </c>
      <c r="AG101" s="14" t="s">
        <v>1531</v>
      </c>
      <c r="AH101" s="14"/>
      <c r="AI101" s="14"/>
      <c r="AJ101" s="14"/>
      <c r="AK101" s="14"/>
      <c r="AL101" s="14"/>
      <c r="AM101" s="14"/>
      <c r="AN101" s="14" t="s">
        <v>564</v>
      </c>
      <c r="AO101" s="14" t="s">
        <v>1532</v>
      </c>
      <c r="AP101" s="14"/>
      <c r="AQ101" s="14"/>
      <c r="AR101" s="22"/>
      <c r="AS101" s="22" t="s">
        <v>241</v>
      </c>
      <c r="AT101" s="22" t="s">
        <v>166</v>
      </c>
      <c r="AU101" s="25" t="str">
        <f>VLOOKUP(O101,[1]Lookup!A:B,2,FALSE)</f>
        <v>Test-SIT</v>
      </c>
      <c r="AV101" s="25" t="str">
        <f>VLOOKUP(test1[[#This Row],[Assignee]],lookup[#All],2,FALSE)</f>
        <v>Test-SIT</v>
      </c>
      <c r="AW101" s="25">
        <f ca="1">IF(test1[[#This Row],[Status]]&lt;&gt;"Closed", TODAY()-INT(test1[[#This Row],[Created]]),INT(test1[[#This Row],[Resolved]])-INT(test1[[#This Row],[Created]]))</f>
        <v>59</v>
      </c>
    </row>
    <row r="102" spans="1:49" ht="199.5" x14ac:dyDescent="0.2">
      <c r="A102" s="48" t="s">
        <v>86</v>
      </c>
      <c r="B102" s="29" t="s">
        <v>1524</v>
      </c>
      <c r="C102" s="27" t="s">
        <v>1525</v>
      </c>
      <c r="D102" s="22" t="s">
        <v>229</v>
      </c>
      <c r="E102" s="22" t="s">
        <v>229</v>
      </c>
      <c r="F102" s="37" t="s">
        <v>1464</v>
      </c>
      <c r="G102" s="37" t="s">
        <v>174</v>
      </c>
      <c r="H102" s="37" t="s">
        <v>1464</v>
      </c>
      <c r="I102" s="45" t="s">
        <v>1465</v>
      </c>
      <c r="J102" s="14" t="s">
        <v>91</v>
      </c>
      <c r="K102" s="14" t="s">
        <v>59</v>
      </c>
      <c r="L102" s="14" t="s">
        <v>93</v>
      </c>
      <c r="M102" s="14" t="s">
        <v>132</v>
      </c>
      <c r="N102" s="18" t="s">
        <v>202</v>
      </c>
      <c r="O102" s="14" t="s">
        <v>12</v>
      </c>
      <c r="P102" s="19">
        <v>42769.709027777775</v>
      </c>
      <c r="Q102" s="19">
        <v>42808.615972222222</v>
      </c>
      <c r="R102" s="19">
        <v>42808.615972222222</v>
      </c>
      <c r="S102" s="14" t="s">
        <v>203</v>
      </c>
      <c r="T102" s="14" t="s">
        <v>204</v>
      </c>
      <c r="U102" s="14" t="s">
        <v>89</v>
      </c>
      <c r="V102" s="14"/>
      <c r="W102" s="14">
        <v>0</v>
      </c>
      <c r="X102" s="14">
        <v>0</v>
      </c>
      <c r="Y102" s="14"/>
      <c r="Z102" s="14"/>
      <c r="AA102" s="14"/>
      <c r="AB102" s="14"/>
      <c r="AC102" s="14"/>
      <c r="AD102" s="14"/>
      <c r="AE102" s="14"/>
      <c r="AF102" s="14"/>
      <c r="AG102" s="14" t="s">
        <v>1526</v>
      </c>
      <c r="AH102" s="14"/>
      <c r="AI102" s="14"/>
      <c r="AJ102" s="14"/>
      <c r="AK102" s="14"/>
      <c r="AL102" s="14"/>
      <c r="AM102" s="14"/>
      <c r="AN102" s="14" t="s">
        <v>1527</v>
      </c>
      <c r="AO102" s="14" t="s">
        <v>1528</v>
      </c>
      <c r="AP102" s="14" t="s">
        <v>146</v>
      </c>
      <c r="AQ102" s="14"/>
      <c r="AR102" s="22"/>
      <c r="AS102" s="22" t="s">
        <v>89</v>
      </c>
      <c r="AT102" s="22" t="s">
        <v>1468</v>
      </c>
      <c r="AU102" s="25" t="str">
        <f>VLOOKUP(O102,[1]Lookup!A:B,2,FALSE)</f>
        <v>DMO</v>
      </c>
      <c r="AV102" s="25" t="e">
        <f>VLOOKUP(test1[[#This Row],[Assignee]],lookup[#All],2,FALSE)</f>
        <v>#N/A</v>
      </c>
      <c r="AW102" s="25">
        <f ca="1">IF(test1[[#This Row],[Status]]&lt;&gt;"Closed", TODAY()-INT(test1[[#This Row],[Created]]),INT(test1[[#This Row],[Resolved]])-INT(test1[[#This Row],[Created]]))</f>
        <v>59</v>
      </c>
    </row>
    <row r="103" spans="1:49" ht="409.5" x14ac:dyDescent="0.2">
      <c r="A103" s="48" t="s">
        <v>86</v>
      </c>
      <c r="B103" s="29" t="s">
        <v>1519</v>
      </c>
      <c r="C103" s="27" t="s">
        <v>1520</v>
      </c>
      <c r="D103" s="22" t="s">
        <v>89</v>
      </c>
      <c r="E103" s="22" t="s">
        <v>692</v>
      </c>
      <c r="F103" s="37" t="s">
        <v>608</v>
      </c>
      <c r="G103" s="37" t="s">
        <v>659</v>
      </c>
      <c r="H103" s="37"/>
      <c r="I103" s="37" t="s">
        <v>609</v>
      </c>
      <c r="J103" s="14" t="s">
        <v>91</v>
      </c>
      <c r="K103" s="14" t="s">
        <v>59</v>
      </c>
      <c r="L103" s="14" t="s">
        <v>93</v>
      </c>
      <c r="M103" s="14" t="s">
        <v>132</v>
      </c>
      <c r="N103" s="18" t="s">
        <v>30</v>
      </c>
      <c r="O103" s="14" t="s">
        <v>21</v>
      </c>
      <c r="P103" s="19">
        <v>42769.72152777778</v>
      </c>
      <c r="Q103" s="19">
        <v>42794.54791666667</v>
      </c>
      <c r="R103" s="19">
        <v>42794.54791666667</v>
      </c>
      <c r="S103" s="14" t="s">
        <v>139</v>
      </c>
      <c r="T103" s="14" t="s">
        <v>659</v>
      </c>
      <c r="U103" s="14" t="s">
        <v>89</v>
      </c>
      <c r="V103" s="28">
        <v>42769</v>
      </c>
      <c r="W103" s="14">
        <v>0</v>
      </c>
      <c r="X103" s="14">
        <v>0</v>
      </c>
      <c r="Y103" s="14"/>
      <c r="Z103" s="14"/>
      <c r="AA103" s="14"/>
      <c r="AB103" s="14"/>
      <c r="AC103" s="14"/>
      <c r="AD103" s="14"/>
      <c r="AE103" s="14"/>
      <c r="AF103" s="14" t="s">
        <v>1521</v>
      </c>
      <c r="AG103" s="14" t="s">
        <v>1522</v>
      </c>
      <c r="AH103" s="14"/>
      <c r="AI103" s="14"/>
      <c r="AJ103" s="14"/>
      <c r="AK103" s="14"/>
      <c r="AL103" s="14"/>
      <c r="AM103" s="14"/>
      <c r="AN103" s="14" t="s">
        <v>1523</v>
      </c>
      <c r="AO103" s="14" t="s">
        <v>605</v>
      </c>
      <c r="AP103" s="14"/>
      <c r="AQ103" s="14"/>
      <c r="AR103" s="22"/>
      <c r="AS103" s="22" t="s">
        <v>89</v>
      </c>
      <c r="AT103" s="22" t="s">
        <v>692</v>
      </c>
      <c r="AU103" s="25" t="str">
        <f>VLOOKUP(O103,[1]Lookup!A:B,2,FALSE)</f>
        <v>Test-SIT</v>
      </c>
      <c r="AV103" s="25" t="str">
        <f>VLOOKUP(test1[[#This Row],[Assignee]],lookup[#All],2,FALSE)</f>
        <v>Test-SIT</v>
      </c>
      <c r="AW103" s="25">
        <f ca="1">IF(test1[[#This Row],[Status]]&lt;&gt;"Closed", TODAY()-INT(test1[[#This Row],[Created]]),INT(test1[[#This Row],[Resolved]])-INT(test1[[#This Row],[Created]]))</f>
        <v>59</v>
      </c>
    </row>
    <row r="104" spans="1:49" ht="285" x14ac:dyDescent="0.2">
      <c r="A104" s="48" t="s">
        <v>86</v>
      </c>
      <c r="B104" s="29" t="s">
        <v>1515</v>
      </c>
      <c r="C104" s="27" t="s">
        <v>1516</v>
      </c>
      <c r="D104" s="22" t="s">
        <v>89</v>
      </c>
      <c r="E104" s="22" t="s">
        <v>193</v>
      </c>
      <c r="F104" s="27"/>
      <c r="G104" s="27" t="s">
        <v>660</v>
      </c>
      <c r="H104" s="27"/>
      <c r="I104" s="27"/>
      <c r="J104" s="14" t="s">
        <v>91</v>
      </c>
      <c r="K104" s="14" t="s">
        <v>59</v>
      </c>
      <c r="L104" s="14" t="s">
        <v>103</v>
      </c>
      <c r="M104" s="14" t="s">
        <v>132</v>
      </c>
      <c r="N104" s="18" t="s">
        <v>22</v>
      </c>
      <c r="O104" s="14" t="s">
        <v>19</v>
      </c>
      <c r="P104" s="19">
        <v>42769.75</v>
      </c>
      <c r="Q104" s="19">
        <v>42778.588888888888</v>
      </c>
      <c r="R104" s="19">
        <v>42778.588888888888</v>
      </c>
      <c r="S104" s="14" t="s">
        <v>139</v>
      </c>
      <c r="T104" s="14" t="s">
        <v>660</v>
      </c>
      <c r="U104" s="14" t="s">
        <v>412</v>
      </c>
      <c r="V104" s="14"/>
      <c r="W104" s="14">
        <v>0</v>
      </c>
      <c r="X104" s="14">
        <v>0</v>
      </c>
      <c r="Y104" s="14"/>
      <c r="Z104" s="14"/>
      <c r="AA104" s="14"/>
      <c r="AB104" s="14"/>
      <c r="AC104" s="14"/>
      <c r="AD104" s="14"/>
      <c r="AE104" s="14"/>
      <c r="AF104" s="14" t="s">
        <v>193</v>
      </c>
      <c r="AG104" s="14" t="s">
        <v>1517</v>
      </c>
      <c r="AH104" s="14"/>
      <c r="AI104" s="14"/>
      <c r="AJ104" s="14"/>
      <c r="AK104" s="14"/>
      <c r="AL104" s="14"/>
      <c r="AM104" s="14"/>
      <c r="AN104" s="14" t="s">
        <v>193</v>
      </c>
      <c r="AO104" s="14" t="s">
        <v>1518</v>
      </c>
      <c r="AP104" s="14"/>
      <c r="AQ104" s="14"/>
      <c r="AR104" s="22"/>
      <c r="AS104" s="22" t="s">
        <v>89</v>
      </c>
      <c r="AT104" s="22" t="s">
        <v>193</v>
      </c>
      <c r="AU104" s="25" t="str">
        <f>VLOOKUP(O104,[1]Lookup!A:B,2,FALSE)</f>
        <v>Test-SIT</v>
      </c>
      <c r="AV104" s="25" t="str">
        <f>VLOOKUP(test1[[#This Row],[Assignee]],lookup[#All],2,FALSE)</f>
        <v>Test-SIT</v>
      </c>
      <c r="AW104" s="25">
        <f ca="1">IF(test1[[#This Row],[Status]]&lt;&gt;"Closed", TODAY()-INT(test1[[#This Row],[Created]]),INT(test1[[#This Row],[Resolved]])-INT(test1[[#This Row],[Created]]))</f>
        <v>59</v>
      </c>
    </row>
    <row r="105" spans="1:49" ht="370.5" x14ac:dyDescent="0.2">
      <c r="A105" s="48" t="s">
        <v>86</v>
      </c>
      <c r="B105" s="29" t="s">
        <v>1510</v>
      </c>
      <c r="C105" s="27" t="s">
        <v>1511</v>
      </c>
      <c r="D105" s="22" t="s">
        <v>117</v>
      </c>
      <c r="E105" s="22" t="s">
        <v>381</v>
      </c>
      <c r="F105" s="27"/>
      <c r="G105" s="27" t="s">
        <v>139</v>
      </c>
      <c r="H105" s="27"/>
      <c r="I105" s="27"/>
      <c r="J105" s="14" t="s">
        <v>91</v>
      </c>
      <c r="K105" s="14" t="s">
        <v>59</v>
      </c>
      <c r="L105" s="14" t="s">
        <v>167</v>
      </c>
      <c r="M105" s="14" t="s">
        <v>132</v>
      </c>
      <c r="N105" s="18" t="s">
        <v>23</v>
      </c>
      <c r="O105" s="14" t="s">
        <v>23</v>
      </c>
      <c r="P105" s="19">
        <v>42769.843055555553</v>
      </c>
      <c r="Q105" s="19">
        <v>42773.807638888888</v>
      </c>
      <c r="R105" s="19">
        <v>42773.807638888888</v>
      </c>
      <c r="S105" s="14" t="s">
        <v>139</v>
      </c>
      <c r="T105" s="14" t="s">
        <v>139</v>
      </c>
      <c r="U105" s="14" t="s">
        <v>1512</v>
      </c>
      <c r="V105" s="14"/>
      <c r="W105" s="14">
        <v>0</v>
      </c>
      <c r="X105" s="14">
        <v>0</v>
      </c>
      <c r="Y105" s="14"/>
      <c r="Z105" s="14"/>
      <c r="AA105" s="14"/>
      <c r="AB105" s="14"/>
      <c r="AC105" s="14"/>
      <c r="AD105" s="14"/>
      <c r="AE105" s="14"/>
      <c r="AF105" s="14"/>
      <c r="AG105" s="14" t="s">
        <v>1513</v>
      </c>
      <c r="AH105" s="14"/>
      <c r="AI105" s="14"/>
      <c r="AJ105" s="14"/>
      <c r="AK105" s="14"/>
      <c r="AL105" s="14"/>
      <c r="AM105" s="14"/>
      <c r="AN105" s="14" t="s">
        <v>362</v>
      </c>
      <c r="AO105" s="14" t="s">
        <v>1514</v>
      </c>
      <c r="AP105" s="14"/>
      <c r="AQ105" s="14"/>
      <c r="AR105" s="22"/>
      <c r="AS105" s="22" t="s">
        <v>117</v>
      </c>
      <c r="AT105" s="22" t="s">
        <v>381</v>
      </c>
      <c r="AU105" s="25" t="str">
        <f>VLOOKUP(O105,[1]Lookup!A:B,2,FALSE)</f>
        <v>Test-SIT</v>
      </c>
      <c r="AV105" s="25" t="str">
        <f>VLOOKUP(test1[[#This Row],[Assignee]],lookup[#All],2,FALSE)</f>
        <v>Test-SIT</v>
      </c>
      <c r="AW105" s="25">
        <f ca="1">IF(test1[[#This Row],[Status]]&lt;&gt;"Closed", TODAY()-INT(test1[[#This Row],[Created]]),INT(test1[[#This Row],[Resolved]])-INT(test1[[#This Row],[Created]]))</f>
        <v>59</v>
      </c>
    </row>
    <row r="106" spans="1:49" ht="270.75" x14ac:dyDescent="0.2">
      <c r="A106" s="48" t="s">
        <v>86</v>
      </c>
      <c r="B106" s="29" t="s">
        <v>1506</v>
      </c>
      <c r="C106" s="27" t="s">
        <v>1507</v>
      </c>
      <c r="D106" s="22" t="s">
        <v>89</v>
      </c>
      <c r="E106" s="22" t="s">
        <v>193</v>
      </c>
      <c r="F106" s="27"/>
      <c r="G106" s="27" t="s">
        <v>660</v>
      </c>
      <c r="H106" s="27"/>
      <c r="I106" s="27"/>
      <c r="J106" s="14" t="s">
        <v>91</v>
      </c>
      <c r="K106" s="14" t="s">
        <v>59</v>
      </c>
      <c r="L106" s="14" t="s">
        <v>103</v>
      </c>
      <c r="M106" s="14" t="s">
        <v>132</v>
      </c>
      <c r="N106" s="18" t="s">
        <v>21</v>
      </c>
      <c r="O106" s="14" t="s">
        <v>23</v>
      </c>
      <c r="P106" s="19">
        <v>42770.718055555553</v>
      </c>
      <c r="Q106" s="19">
        <v>42778.589583333334</v>
      </c>
      <c r="R106" s="19">
        <v>42777.678472222222</v>
      </c>
      <c r="S106" s="14" t="s">
        <v>139</v>
      </c>
      <c r="T106" s="14" t="s">
        <v>660</v>
      </c>
      <c r="U106" s="14" t="s">
        <v>412</v>
      </c>
      <c r="V106" s="14"/>
      <c r="W106" s="14">
        <v>0</v>
      </c>
      <c r="X106" s="14">
        <v>0</v>
      </c>
      <c r="Y106" s="14"/>
      <c r="Z106" s="14"/>
      <c r="AA106" s="14"/>
      <c r="AB106" s="14"/>
      <c r="AC106" s="14"/>
      <c r="AD106" s="14"/>
      <c r="AE106" s="14"/>
      <c r="AF106" s="14" t="s">
        <v>193</v>
      </c>
      <c r="AG106" s="14" t="s">
        <v>1508</v>
      </c>
      <c r="AH106" s="14"/>
      <c r="AI106" s="14"/>
      <c r="AJ106" s="14"/>
      <c r="AK106" s="14"/>
      <c r="AL106" s="14"/>
      <c r="AM106" s="14"/>
      <c r="AN106" s="14" t="s">
        <v>193</v>
      </c>
      <c r="AO106" s="14" t="s">
        <v>1509</v>
      </c>
      <c r="AP106" s="14"/>
      <c r="AQ106" s="14"/>
      <c r="AR106" s="22"/>
      <c r="AS106" s="22" t="s">
        <v>89</v>
      </c>
      <c r="AT106" s="22" t="s">
        <v>193</v>
      </c>
      <c r="AU106" s="25" t="str">
        <f>VLOOKUP(O106,[1]Lookup!A:B,2,FALSE)</f>
        <v>Test-SIT</v>
      </c>
      <c r="AV106" s="25" t="str">
        <f>VLOOKUP(test1[[#This Row],[Assignee]],lookup[#All],2,FALSE)</f>
        <v>Test-SIT</v>
      </c>
      <c r="AW106" s="25">
        <f ca="1">IF(test1[[#This Row],[Status]]&lt;&gt;"Closed", TODAY()-INT(test1[[#This Row],[Created]]),INT(test1[[#This Row],[Resolved]])-INT(test1[[#This Row],[Created]]))</f>
        <v>58</v>
      </c>
    </row>
    <row r="107" spans="1:49" ht="185.25" x14ac:dyDescent="0.2">
      <c r="A107" s="48" t="s">
        <v>86</v>
      </c>
      <c r="B107" s="29" t="s">
        <v>1501</v>
      </c>
      <c r="C107" s="27" t="s">
        <v>1502</v>
      </c>
      <c r="D107" s="22" t="s">
        <v>89</v>
      </c>
      <c r="E107" s="22" t="s">
        <v>193</v>
      </c>
      <c r="F107" s="27"/>
      <c r="G107" s="27" t="s">
        <v>660</v>
      </c>
      <c r="H107" s="27"/>
      <c r="I107" s="27"/>
      <c r="J107" s="14" t="s">
        <v>91</v>
      </c>
      <c r="K107" s="14" t="s">
        <v>59</v>
      </c>
      <c r="L107" s="14" t="s">
        <v>93</v>
      </c>
      <c r="M107" s="14" t="s">
        <v>132</v>
      </c>
      <c r="N107" s="18" t="s">
        <v>22</v>
      </c>
      <c r="O107" s="14" t="s">
        <v>19</v>
      </c>
      <c r="P107" s="19">
        <v>42771.616666666669</v>
      </c>
      <c r="Q107" s="19">
        <v>42778.593055555553</v>
      </c>
      <c r="R107" s="19">
        <v>42778.593055555553</v>
      </c>
      <c r="S107" s="14" t="s">
        <v>139</v>
      </c>
      <c r="T107" s="14" t="s">
        <v>660</v>
      </c>
      <c r="U107" s="14" t="s">
        <v>412</v>
      </c>
      <c r="V107" s="14"/>
      <c r="W107" s="14">
        <v>0</v>
      </c>
      <c r="X107" s="14">
        <v>0</v>
      </c>
      <c r="Y107" s="14"/>
      <c r="Z107" s="14"/>
      <c r="AA107" s="14"/>
      <c r="AB107" s="14"/>
      <c r="AC107" s="14"/>
      <c r="AD107" s="14"/>
      <c r="AE107" s="14"/>
      <c r="AF107" s="14" t="s">
        <v>1503</v>
      </c>
      <c r="AG107" s="14" t="s">
        <v>1504</v>
      </c>
      <c r="AH107" s="14"/>
      <c r="AI107" s="14"/>
      <c r="AJ107" s="14"/>
      <c r="AK107" s="14"/>
      <c r="AL107" s="14"/>
      <c r="AM107" s="14"/>
      <c r="AN107" s="14" t="s">
        <v>193</v>
      </c>
      <c r="AO107" s="14" t="s">
        <v>1505</v>
      </c>
      <c r="AP107" s="14"/>
      <c r="AQ107" s="14"/>
      <c r="AR107" s="22"/>
      <c r="AS107" s="22" t="s">
        <v>89</v>
      </c>
      <c r="AT107" s="22" t="s">
        <v>193</v>
      </c>
      <c r="AU107" s="25" t="str">
        <f>VLOOKUP(O107,[1]Lookup!A:B,2,FALSE)</f>
        <v>Test-SIT</v>
      </c>
      <c r="AV107" s="25" t="str">
        <f>VLOOKUP(test1[[#This Row],[Assignee]],lookup[#All],2,FALSE)</f>
        <v>Test-SIT</v>
      </c>
      <c r="AW107" s="25">
        <f ca="1">IF(test1[[#This Row],[Status]]&lt;&gt;"Closed", TODAY()-INT(test1[[#This Row],[Created]]),INT(test1[[#This Row],[Resolved]])-INT(test1[[#This Row],[Created]]))</f>
        <v>57</v>
      </c>
    </row>
    <row r="108" spans="1:49" ht="228" x14ac:dyDescent="0.2">
      <c r="A108" s="48" t="s">
        <v>86</v>
      </c>
      <c r="B108" s="29" t="s">
        <v>1496</v>
      </c>
      <c r="C108" s="27" t="s">
        <v>1497</v>
      </c>
      <c r="D108" s="22" t="s">
        <v>89</v>
      </c>
      <c r="E108" s="22" t="s">
        <v>507</v>
      </c>
      <c r="F108" s="37" t="s">
        <v>1201</v>
      </c>
      <c r="G108" s="37" t="s">
        <v>510</v>
      </c>
      <c r="H108" s="37"/>
      <c r="I108" s="37" t="s">
        <v>609</v>
      </c>
      <c r="J108" s="14" t="s">
        <v>91</v>
      </c>
      <c r="K108" s="14" t="s">
        <v>59</v>
      </c>
      <c r="L108" s="14" t="s">
        <v>93</v>
      </c>
      <c r="M108" s="14" t="s">
        <v>132</v>
      </c>
      <c r="N108" s="18" t="s">
        <v>30</v>
      </c>
      <c r="O108" s="14" t="s">
        <v>21</v>
      </c>
      <c r="P108" s="19">
        <v>42771.670138888891</v>
      </c>
      <c r="Q108" s="19">
        <v>42794.54791666667</v>
      </c>
      <c r="R108" s="19">
        <v>42794.54791666667</v>
      </c>
      <c r="S108" s="14" t="s">
        <v>139</v>
      </c>
      <c r="T108" s="14" t="s">
        <v>510</v>
      </c>
      <c r="U108" s="14" t="s">
        <v>96</v>
      </c>
      <c r="V108" s="14"/>
      <c r="W108" s="14">
        <v>0</v>
      </c>
      <c r="X108" s="14">
        <v>0</v>
      </c>
      <c r="Y108" s="14" t="s">
        <v>1498</v>
      </c>
      <c r="Z108" s="14"/>
      <c r="AA108" s="14"/>
      <c r="AB108" s="14"/>
      <c r="AC108" s="14"/>
      <c r="AD108" s="14"/>
      <c r="AE108" s="14"/>
      <c r="AF108" s="14" t="s">
        <v>1499</v>
      </c>
      <c r="AG108" s="14" t="s">
        <v>1500</v>
      </c>
      <c r="AH108" s="14"/>
      <c r="AI108" s="14"/>
      <c r="AJ108" s="14"/>
      <c r="AK108" s="14"/>
      <c r="AL108" s="14"/>
      <c r="AM108" s="14"/>
      <c r="AN108" s="14" t="s">
        <v>149</v>
      </c>
      <c r="AO108" s="14" t="s">
        <v>605</v>
      </c>
      <c r="AP108" s="14" t="s">
        <v>146</v>
      </c>
      <c r="AQ108" s="14"/>
      <c r="AR108" s="22"/>
      <c r="AS108" s="22" t="s">
        <v>89</v>
      </c>
      <c r="AT108" s="22" t="s">
        <v>507</v>
      </c>
      <c r="AU108" s="25" t="str">
        <f>VLOOKUP(O108,[1]Lookup!A:B,2,FALSE)</f>
        <v>Test-SIT</v>
      </c>
      <c r="AV108" s="25" t="str">
        <f>VLOOKUP(test1[[#This Row],[Assignee]],lookup[#All],2,FALSE)</f>
        <v>Test-SIT</v>
      </c>
      <c r="AW108" s="25">
        <f ca="1">IF(test1[[#This Row],[Status]]&lt;&gt;"Closed", TODAY()-INT(test1[[#This Row],[Created]]),INT(test1[[#This Row],[Resolved]])-INT(test1[[#This Row],[Created]]))</f>
        <v>57</v>
      </c>
    </row>
    <row r="109" spans="1:49" ht="399" x14ac:dyDescent="0.2">
      <c r="A109" s="48" t="s">
        <v>86</v>
      </c>
      <c r="B109" s="29" t="s">
        <v>1489</v>
      </c>
      <c r="C109" s="27" t="s">
        <v>1490</v>
      </c>
      <c r="D109" s="22" t="s">
        <v>89</v>
      </c>
      <c r="E109" s="22" t="s">
        <v>193</v>
      </c>
      <c r="F109" s="27"/>
      <c r="G109" s="27" t="s">
        <v>510</v>
      </c>
      <c r="H109" s="27"/>
      <c r="I109" s="27"/>
      <c r="J109" s="14" t="s">
        <v>91</v>
      </c>
      <c r="K109" s="14" t="s">
        <v>59</v>
      </c>
      <c r="L109" s="14" t="s">
        <v>93</v>
      </c>
      <c r="M109" s="14" t="s">
        <v>132</v>
      </c>
      <c r="N109" s="18" t="s">
        <v>30</v>
      </c>
      <c r="O109" s="14" t="s">
        <v>21</v>
      </c>
      <c r="P109" s="19">
        <v>42771.712500000001</v>
      </c>
      <c r="Q109" s="19">
        <v>42788.732638888891</v>
      </c>
      <c r="R109" s="19">
        <v>42788.732638888891</v>
      </c>
      <c r="S109" s="14" t="s">
        <v>139</v>
      </c>
      <c r="T109" s="14" t="s">
        <v>510</v>
      </c>
      <c r="U109" s="14" t="s">
        <v>96</v>
      </c>
      <c r="V109" s="14"/>
      <c r="W109" s="14">
        <v>0</v>
      </c>
      <c r="X109" s="14">
        <v>0</v>
      </c>
      <c r="Y109" s="20" t="s">
        <v>1491</v>
      </c>
      <c r="Z109" s="14"/>
      <c r="AA109" s="14"/>
      <c r="AB109" s="14"/>
      <c r="AC109" s="14"/>
      <c r="AD109" s="14"/>
      <c r="AE109" s="14"/>
      <c r="AF109" s="14" t="s">
        <v>1492</v>
      </c>
      <c r="AG109" s="14" t="s">
        <v>1493</v>
      </c>
      <c r="AH109" s="14"/>
      <c r="AI109" s="14"/>
      <c r="AJ109" s="14"/>
      <c r="AK109" s="14"/>
      <c r="AL109" s="14"/>
      <c r="AM109" s="14"/>
      <c r="AN109" s="14" t="s">
        <v>564</v>
      </c>
      <c r="AO109" s="14" t="s">
        <v>1494</v>
      </c>
      <c r="AP109" s="14" t="s">
        <v>1495</v>
      </c>
      <c r="AQ109" s="14"/>
      <c r="AR109" s="22"/>
      <c r="AS109" s="22" t="s">
        <v>89</v>
      </c>
      <c r="AT109" s="22" t="s">
        <v>193</v>
      </c>
      <c r="AU109" s="25" t="str">
        <f>VLOOKUP(O109,[1]Lookup!A:B,2,FALSE)</f>
        <v>Test-SIT</v>
      </c>
      <c r="AV109" s="25" t="str">
        <f>VLOOKUP(test1[[#This Row],[Assignee]],lookup[#All],2,FALSE)</f>
        <v>Test-SIT</v>
      </c>
      <c r="AW109" s="25">
        <f ca="1">IF(test1[[#This Row],[Status]]&lt;&gt;"Closed", TODAY()-INT(test1[[#This Row],[Created]]),INT(test1[[#This Row],[Resolved]])-INT(test1[[#This Row],[Created]]))</f>
        <v>57</v>
      </c>
    </row>
    <row r="110" spans="1:49" ht="342" x14ac:dyDescent="0.2">
      <c r="A110" s="48" t="s">
        <v>86</v>
      </c>
      <c r="B110" s="29" t="s">
        <v>931</v>
      </c>
      <c r="C110" s="27" t="s">
        <v>614</v>
      </c>
      <c r="D110" s="22" t="s">
        <v>89</v>
      </c>
      <c r="E110" s="22" t="s">
        <v>729</v>
      </c>
      <c r="F110" s="27"/>
      <c r="G110" s="27" t="s">
        <v>510</v>
      </c>
      <c r="H110" s="27"/>
      <c r="I110" s="27"/>
      <c r="J110" s="14" t="s">
        <v>91</v>
      </c>
      <c r="K110" s="14" t="s">
        <v>59</v>
      </c>
      <c r="L110" s="14" t="s">
        <v>93</v>
      </c>
      <c r="M110" s="14" t="s">
        <v>132</v>
      </c>
      <c r="N110" s="18" t="s">
        <v>30</v>
      </c>
      <c r="O110" s="14" t="s">
        <v>21</v>
      </c>
      <c r="P110" s="19">
        <v>42771.719444444447</v>
      </c>
      <c r="Q110" s="19">
        <v>42788.79791666667</v>
      </c>
      <c r="R110" s="19">
        <v>42788.79791666667</v>
      </c>
      <c r="S110" s="14" t="s">
        <v>139</v>
      </c>
      <c r="T110" s="14" t="s">
        <v>510</v>
      </c>
      <c r="U110" s="14" t="s">
        <v>96</v>
      </c>
      <c r="V110" s="14"/>
      <c r="W110" s="14">
        <v>0</v>
      </c>
      <c r="X110" s="14">
        <v>0</v>
      </c>
      <c r="Y110" s="14"/>
      <c r="Z110" s="14"/>
      <c r="AA110" s="14"/>
      <c r="AB110" s="14"/>
      <c r="AC110" s="14"/>
      <c r="AD110" s="14"/>
      <c r="AE110" s="14" t="s">
        <v>1486</v>
      </c>
      <c r="AF110" s="14" t="s">
        <v>1374</v>
      </c>
      <c r="AG110" s="14" t="s">
        <v>1487</v>
      </c>
      <c r="AH110" s="14"/>
      <c r="AI110" s="14"/>
      <c r="AJ110" s="14"/>
      <c r="AK110" s="14"/>
      <c r="AL110" s="14"/>
      <c r="AM110" s="14"/>
      <c r="AN110" s="14" t="s">
        <v>564</v>
      </c>
      <c r="AO110" s="14" t="s">
        <v>1488</v>
      </c>
      <c r="AP110" s="14"/>
      <c r="AQ110" s="14"/>
      <c r="AR110" s="22"/>
      <c r="AS110" s="22" t="s">
        <v>89</v>
      </c>
      <c r="AT110" s="22" t="s">
        <v>729</v>
      </c>
      <c r="AU110" s="25" t="str">
        <f>VLOOKUP(O110,[1]Lookup!A:B,2,FALSE)</f>
        <v>Test-SIT</v>
      </c>
      <c r="AV110" s="25" t="str">
        <f>VLOOKUP(test1[[#This Row],[Assignee]],lookup[#All],2,FALSE)</f>
        <v>Test-SIT</v>
      </c>
      <c r="AW110" s="25">
        <f ca="1">IF(test1[[#This Row],[Status]]&lt;&gt;"Closed", TODAY()-INT(test1[[#This Row],[Created]]),INT(test1[[#This Row],[Resolved]])-INT(test1[[#This Row],[Created]]))</f>
        <v>57</v>
      </c>
    </row>
    <row r="111" spans="1:49" ht="156.75" x14ac:dyDescent="0.2">
      <c r="A111" s="48" t="s">
        <v>86</v>
      </c>
      <c r="B111" s="29" t="s">
        <v>1203</v>
      </c>
      <c r="C111" s="27" t="s">
        <v>1483</v>
      </c>
      <c r="D111" s="22" t="s">
        <v>241</v>
      </c>
      <c r="E111" s="22" t="s">
        <v>890</v>
      </c>
      <c r="F111" s="37" t="s">
        <v>1201</v>
      </c>
      <c r="G111" s="37" t="s">
        <v>510</v>
      </c>
      <c r="H111" s="37"/>
      <c r="I111" s="37" t="s">
        <v>609</v>
      </c>
      <c r="J111" s="14" t="s">
        <v>91</v>
      </c>
      <c r="K111" s="14" t="s">
        <v>59</v>
      </c>
      <c r="L111" s="14" t="s">
        <v>93</v>
      </c>
      <c r="M111" s="14" t="s">
        <v>132</v>
      </c>
      <c r="N111" s="18" t="s">
        <v>30</v>
      </c>
      <c r="O111" s="14" t="s">
        <v>21</v>
      </c>
      <c r="P111" s="19">
        <v>42771.724999999999</v>
      </c>
      <c r="Q111" s="19">
        <v>42794.543055555558</v>
      </c>
      <c r="R111" s="19">
        <v>42794.543055555558</v>
      </c>
      <c r="S111" s="14" t="s">
        <v>139</v>
      </c>
      <c r="T111" s="14" t="s">
        <v>510</v>
      </c>
      <c r="U111" s="14" t="s">
        <v>242</v>
      </c>
      <c r="V111" s="14"/>
      <c r="W111" s="14">
        <v>0</v>
      </c>
      <c r="X111" s="14">
        <v>0</v>
      </c>
      <c r="Y111" s="14"/>
      <c r="Z111" s="14"/>
      <c r="AA111" s="14"/>
      <c r="AB111" s="14"/>
      <c r="AC111" s="14"/>
      <c r="AD111" s="14"/>
      <c r="AE111" s="14" t="s">
        <v>1199</v>
      </c>
      <c r="AF111" s="14"/>
      <c r="AG111" s="14" t="s">
        <v>1484</v>
      </c>
      <c r="AH111" s="14"/>
      <c r="AI111" s="14"/>
      <c r="AJ111" s="14"/>
      <c r="AK111" s="14"/>
      <c r="AL111" s="14"/>
      <c r="AM111" s="14"/>
      <c r="AN111" s="14" t="s">
        <v>662</v>
      </c>
      <c r="AO111" s="14" t="s">
        <v>1485</v>
      </c>
      <c r="AP111" s="14"/>
      <c r="AQ111" s="14"/>
      <c r="AR111" s="22"/>
      <c r="AS111" s="22" t="s">
        <v>241</v>
      </c>
      <c r="AT111" s="22" t="s">
        <v>890</v>
      </c>
      <c r="AU111" s="25" t="str">
        <f>VLOOKUP(O111,[1]Lookup!A:B,2,FALSE)</f>
        <v>Test-SIT</v>
      </c>
      <c r="AV111" s="25" t="str">
        <f>VLOOKUP(test1[[#This Row],[Assignee]],lookup[#All],2,FALSE)</f>
        <v>Test-SIT</v>
      </c>
      <c r="AW111" s="25">
        <f ca="1">IF(test1[[#This Row],[Status]]&lt;&gt;"Closed", TODAY()-INT(test1[[#This Row],[Created]]),INT(test1[[#This Row],[Resolved]])-INT(test1[[#This Row],[Created]]))</f>
        <v>57</v>
      </c>
    </row>
    <row r="112" spans="1:49" ht="171" x14ac:dyDescent="0.2">
      <c r="A112" s="48" t="s">
        <v>86</v>
      </c>
      <c r="B112" s="29" t="s">
        <v>1477</v>
      </c>
      <c r="C112" s="27" t="s">
        <v>1478</v>
      </c>
      <c r="D112" s="22" t="s">
        <v>89</v>
      </c>
      <c r="E112" s="22" t="s">
        <v>1479</v>
      </c>
      <c r="F112" s="37" t="s">
        <v>104</v>
      </c>
      <c r="G112" s="37" t="s">
        <v>174</v>
      </c>
      <c r="H112" s="37" t="s">
        <v>104</v>
      </c>
      <c r="I112" s="37" t="s">
        <v>553</v>
      </c>
      <c r="J112" s="14" t="s">
        <v>91</v>
      </c>
      <c r="K112" s="14" t="s">
        <v>59</v>
      </c>
      <c r="L112" s="14" t="s">
        <v>124</v>
      </c>
      <c r="M112" s="14" t="s">
        <v>132</v>
      </c>
      <c r="N112" s="18" t="s">
        <v>202</v>
      </c>
      <c r="O112" s="14" t="s">
        <v>36</v>
      </c>
      <c r="P112" s="19">
        <v>42772.4375</v>
      </c>
      <c r="Q112" s="19">
        <v>42803.731249999997</v>
      </c>
      <c r="R112" s="19">
        <v>42803.731249999997</v>
      </c>
      <c r="S112" s="14" t="s">
        <v>203</v>
      </c>
      <c r="T112" s="14" t="s">
        <v>924</v>
      </c>
      <c r="U112" s="14" t="s">
        <v>96</v>
      </c>
      <c r="V112" s="14"/>
      <c r="W112" s="14">
        <v>0</v>
      </c>
      <c r="X112" s="14">
        <v>0</v>
      </c>
      <c r="Y112" s="14" t="s">
        <v>1480</v>
      </c>
      <c r="Z112" s="14"/>
      <c r="AA112" s="14"/>
      <c r="AB112" s="14"/>
      <c r="AC112" s="14"/>
      <c r="AD112" s="14"/>
      <c r="AE112" s="14"/>
      <c r="AF112" s="14" t="s">
        <v>126</v>
      </c>
      <c r="AG112" s="14"/>
      <c r="AH112" s="14"/>
      <c r="AI112" s="14"/>
      <c r="AJ112" s="14"/>
      <c r="AK112" s="14"/>
      <c r="AL112" s="14"/>
      <c r="AM112" s="14"/>
      <c r="AN112" s="14" t="s">
        <v>1481</v>
      </c>
      <c r="AO112" s="14" t="s">
        <v>1482</v>
      </c>
      <c r="AP112" s="14" t="s">
        <v>146</v>
      </c>
      <c r="AQ112" s="14"/>
      <c r="AR112" s="22"/>
      <c r="AS112" s="22" t="s">
        <v>89</v>
      </c>
      <c r="AT112" s="22" t="s">
        <v>1479</v>
      </c>
      <c r="AU112" s="25" t="str">
        <f>VLOOKUP(O112,[1]Lookup!A:B,2,FALSE)</f>
        <v>DMO</v>
      </c>
      <c r="AV112" s="25" t="e">
        <f>VLOOKUP(test1[[#This Row],[Assignee]],lookup[#All],2,FALSE)</f>
        <v>#N/A</v>
      </c>
      <c r="AW112" s="25">
        <f ca="1">IF(test1[[#This Row],[Status]]&lt;&gt;"Closed", TODAY()-INT(test1[[#This Row],[Created]]),INT(test1[[#This Row],[Resolved]])-INT(test1[[#This Row],[Created]]))</f>
        <v>56</v>
      </c>
    </row>
    <row r="113" spans="1:49" ht="384.75" x14ac:dyDescent="0.2">
      <c r="A113" s="48" t="s">
        <v>86</v>
      </c>
      <c r="B113" s="29" t="s">
        <v>1473</v>
      </c>
      <c r="C113" s="27" t="s">
        <v>1474</v>
      </c>
      <c r="D113" s="22" t="s">
        <v>229</v>
      </c>
      <c r="E113" s="22" t="s">
        <v>229</v>
      </c>
      <c r="F113" s="27"/>
      <c r="G113" s="27"/>
      <c r="H113" s="27"/>
      <c r="I113" s="27"/>
      <c r="J113" s="14" t="s">
        <v>91</v>
      </c>
      <c r="K113" s="14" t="s">
        <v>59</v>
      </c>
      <c r="L113" s="14" t="s">
        <v>93</v>
      </c>
      <c r="M113" s="14" t="s">
        <v>132</v>
      </c>
      <c r="N113" s="18" t="s">
        <v>202</v>
      </c>
      <c r="O113" s="14" t="s">
        <v>39</v>
      </c>
      <c r="P113" s="19">
        <v>42772.57916666667</v>
      </c>
      <c r="Q113" s="19">
        <v>42774.580555555556</v>
      </c>
      <c r="R113" s="19">
        <v>42774.42083333333</v>
      </c>
      <c r="S113" s="14" t="s">
        <v>203</v>
      </c>
      <c r="T113" s="14"/>
      <c r="U113" s="14" t="s">
        <v>96</v>
      </c>
      <c r="V113" s="14"/>
      <c r="W113" s="14">
        <v>0</v>
      </c>
      <c r="X113" s="14">
        <v>0</v>
      </c>
      <c r="Y113" s="14" t="s">
        <v>1475</v>
      </c>
      <c r="Z113" s="14"/>
      <c r="AA113" s="14"/>
      <c r="AB113" s="14"/>
      <c r="AC113" s="14"/>
      <c r="AD113" s="14"/>
      <c r="AE113" s="14"/>
      <c r="AF113" s="14" t="s">
        <v>851</v>
      </c>
      <c r="AG113" s="14" t="s">
        <v>1476</v>
      </c>
      <c r="AH113" s="14"/>
      <c r="AI113" s="14"/>
      <c r="AJ113" s="14"/>
      <c r="AK113" s="14"/>
      <c r="AL113" s="14"/>
      <c r="AM113" s="14"/>
      <c r="AN113" s="14" t="s">
        <v>229</v>
      </c>
      <c r="AO113" s="14" t="s">
        <v>1416</v>
      </c>
      <c r="AP113" s="14" t="s">
        <v>146</v>
      </c>
      <c r="AQ113" s="14"/>
      <c r="AR113" s="22"/>
      <c r="AS113" s="22" t="s">
        <v>96</v>
      </c>
      <c r="AT113" s="22" t="s">
        <v>381</v>
      </c>
      <c r="AU113" s="25" t="str">
        <f>VLOOKUP(O113,[1]Lookup!A:B,2,FALSE)</f>
        <v>DMO</v>
      </c>
      <c r="AV113" s="25" t="e">
        <f>VLOOKUP(test1[[#This Row],[Assignee]],lookup[#All],2,FALSE)</f>
        <v>#N/A</v>
      </c>
      <c r="AW113" s="25">
        <f ca="1">IF(test1[[#This Row],[Status]]&lt;&gt;"Closed", TODAY()-INT(test1[[#This Row],[Created]]),INT(test1[[#This Row],[Resolved]])-INT(test1[[#This Row],[Created]]))</f>
        <v>56</v>
      </c>
    </row>
    <row r="114" spans="1:49" ht="256.5" x14ac:dyDescent="0.2">
      <c r="A114" s="48" t="s">
        <v>86</v>
      </c>
      <c r="B114" s="29" t="s">
        <v>1469</v>
      </c>
      <c r="C114" s="27" t="s">
        <v>1470</v>
      </c>
      <c r="D114" s="22" t="s">
        <v>117</v>
      </c>
      <c r="E114" s="22" t="s">
        <v>261</v>
      </c>
      <c r="F114" s="27"/>
      <c r="G114" s="27"/>
      <c r="H114" s="27"/>
      <c r="I114" s="27"/>
      <c r="J114" s="14" t="s">
        <v>91</v>
      </c>
      <c r="K114" s="14" t="s">
        <v>59</v>
      </c>
      <c r="L114" s="14" t="s">
        <v>167</v>
      </c>
      <c r="M114" s="14" t="s">
        <v>132</v>
      </c>
      <c r="N114" s="18" t="s">
        <v>23</v>
      </c>
      <c r="O114" s="14" t="s">
        <v>23</v>
      </c>
      <c r="P114" s="19">
        <v>42772.592361111114</v>
      </c>
      <c r="Q114" s="19">
        <v>42811.436111111114</v>
      </c>
      <c r="R114" s="19">
        <v>42794.775000000001</v>
      </c>
      <c r="S114" s="14" t="s">
        <v>518</v>
      </c>
      <c r="T114" s="14" t="s">
        <v>518</v>
      </c>
      <c r="U114" s="14" t="s">
        <v>117</v>
      </c>
      <c r="V114" s="14"/>
      <c r="W114" s="14">
        <v>0</v>
      </c>
      <c r="X114" s="14">
        <v>0</v>
      </c>
      <c r="Y114" s="14"/>
      <c r="Z114" s="14"/>
      <c r="AA114" s="14"/>
      <c r="AB114" s="14"/>
      <c r="AC114" s="14"/>
      <c r="AD114" s="14"/>
      <c r="AE114" s="14"/>
      <c r="AF114" s="14" t="s">
        <v>117</v>
      </c>
      <c r="AG114" s="14" t="s">
        <v>1471</v>
      </c>
      <c r="AH114" s="14"/>
      <c r="AI114" s="14"/>
      <c r="AJ114" s="14"/>
      <c r="AK114" s="14"/>
      <c r="AL114" s="14"/>
      <c r="AM114" s="14"/>
      <c r="AN114" s="14" t="s">
        <v>261</v>
      </c>
      <c r="AO114" s="14" t="s">
        <v>1472</v>
      </c>
      <c r="AP114" s="14"/>
      <c r="AQ114" s="14"/>
      <c r="AR114" s="22"/>
      <c r="AS114" s="22" t="s">
        <v>117</v>
      </c>
      <c r="AT114" s="22" t="s">
        <v>261</v>
      </c>
      <c r="AU114" s="25" t="str">
        <f>VLOOKUP(O114,[1]Lookup!A:B,2,FALSE)</f>
        <v>Test-SIT</v>
      </c>
      <c r="AV114" s="25" t="str">
        <f>VLOOKUP(test1[[#This Row],[Assignee]],lookup[#All],2,FALSE)</f>
        <v>Test-SIT</v>
      </c>
      <c r="AW114" s="25">
        <f ca="1">IF(test1[[#This Row],[Status]]&lt;&gt;"Closed", TODAY()-INT(test1[[#This Row],[Created]]),INT(test1[[#This Row],[Resolved]])-INT(test1[[#This Row],[Created]]))</f>
        <v>56</v>
      </c>
    </row>
    <row r="115" spans="1:49" ht="285" x14ac:dyDescent="0.2">
      <c r="A115" s="48" t="s">
        <v>86</v>
      </c>
      <c r="B115" s="29" t="s">
        <v>1462</v>
      </c>
      <c r="C115" s="27" t="s">
        <v>1463</v>
      </c>
      <c r="D115" s="22" t="s">
        <v>89</v>
      </c>
      <c r="E115" s="22" t="s">
        <v>261</v>
      </c>
      <c r="F115" s="37" t="s">
        <v>1464</v>
      </c>
      <c r="G115" s="37" t="s">
        <v>174</v>
      </c>
      <c r="H115" s="44" t="s">
        <v>1464</v>
      </c>
      <c r="I115" s="45" t="s">
        <v>1465</v>
      </c>
      <c r="J115" s="14" t="s">
        <v>91</v>
      </c>
      <c r="K115" s="14" t="s">
        <v>59</v>
      </c>
      <c r="L115" s="14" t="s">
        <v>167</v>
      </c>
      <c r="M115" s="14" t="s">
        <v>132</v>
      </c>
      <c r="N115" s="18" t="s">
        <v>39</v>
      </c>
      <c r="O115" s="14" t="s">
        <v>39</v>
      </c>
      <c r="P115" s="19">
        <v>42772.604166666664</v>
      </c>
      <c r="Q115" s="19">
        <v>42807.628472222219</v>
      </c>
      <c r="R115" s="19">
        <v>42807.628472222219</v>
      </c>
      <c r="S115" s="14" t="s">
        <v>203</v>
      </c>
      <c r="T115" s="14" t="s">
        <v>104</v>
      </c>
      <c r="U115" s="14" t="s">
        <v>412</v>
      </c>
      <c r="V115" s="28">
        <v>42796</v>
      </c>
      <c r="W115" s="14">
        <v>0</v>
      </c>
      <c r="X115" s="14">
        <v>0</v>
      </c>
      <c r="Y115" s="14" t="s">
        <v>1466</v>
      </c>
      <c r="Z115" s="14"/>
      <c r="AA115" s="14"/>
      <c r="AB115" s="14"/>
      <c r="AC115" s="14"/>
      <c r="AD115" s="14"/>
      <c r="AE115" s="14"/>
      <c r="AF115" s="14" t="s">
        <v>851</v>
      </c>
      <c r="AG115" s="14" t="s">
        <v>1467</v>
      </c>
      <c r="AH115" s="14"/>
      <c r="AI115" s="14"/>
      <c r="AJ115" s="14"/>
      <c r="AK115" s="14"/>
      <c r="AL115" s="14"/>
      <c r="AM115" s="14"/>
      <c r="AN115" s="14" t="s">
        <v>235</v>
      </c>
      <c r="AO115" s="14" t="s">
        <v>370</v>
      </c>
      <c r="AP115" s="14" t="s">
        <v>146</v>
      </c>
      <c r="AQ115" s="14"/>
      <c r="AR115" s="22"/>
      <c r="AS115" s="22" t="s">
        <v>89</v>
      </c>
      <c r="AT115" s="22" t="s">
        <v>1468</v>
      </c>
      <c r="AU115" s="25" t="str">
        <f>VLOOKUP(O115,[1]Lookup!A:B,2,FALSE)</f>
        <v>DMO</v>
      </c>
      <c r="AV115" s="25" t="str">
        <f>VLOOKUP(test1[[#This Row],[Assignee]],lookup[#All],2,FALSE)</f>
        <v>DMO</v>
      </c>
      <c r="AW115" s="25">
        <f ca="1">IF(test1[[#This Row],[Status]]&lt;&gt;"Closed", TODAY()-INT(test1[[#This Row],[Created]]),INT(test1[[#This Row],[Resolved]])-INT(test1[[#This Row],[Created]]))</f>
        <v>56</v>
      </c>
    </row>
    <row r="116" spans="1:49" ht="185.25" x14ac:dyDescent="0.2">
      <c r="A116" s="48" t="s">
        <v>86</v>
      </c>
      <c r="B116" s="29" t="s">
        <v>1458</v>
      </c>
      <c r="C116" s="27" t="s">
        <v>1459</v>
      </c>
      <c r="D116" s="22" t="s">
        <v>117</v>
      </c>
      <c r="E116" s="22" t="s">
        <v>261</v>
      </c>
      <c r="F116" s="27"/>
      <c r="G116" s="27" t="s">
        <v>139</v>
      </c>
      <c r="H116" s="27"/>
      <c r="I116" s="27"/>
      <c r="J116" s="14" t="s">
        <v>91</v>
      </c>
      <c r="K116" s="14" t="s">
        <v>59</v>
      </c>
      <c r="L116" s="14" t="s">
        <v>167</v>
      </c>
      <c r="M116" s="14" t="s">
        <v>132</v>
      </c>
      <c r="N116" s="18" t="s">
        <v>23</v>
      </c>
      <c r="O116" s="14" t="s">
        <v>23</v>
      </c>
      <c r="P116" s="19">
        <v>42772.613888888889</v>
      </c>
      <c r="Q116" s="19">
        <v>42811.476388888892</v>
      </c>
      <c r="R116" s="19">
        <v>42775.631944444445</v>
      </c>
      <c r="S116" s="14" t="s">
        <v>518</v>
      </c>
      <c r="T116" s="14" t="s">
        <v>139</v>
      </c>
      <c r="U116" s="14" t="s">
        <v>117</v>
      </c>
      <c r="V116" s="14"/>
      <c r="W116" s="14">
        <v>0</v>
      </c>
      <c r="X116" s="14">
        <v>0</v>
      </c>
      <c r="Y116" s="14"/>
      <c r="Z116" s="14"/>
      <c r="AA116" s="14"/>
      <c r="AB116" s="14"/>
      <c r="AC116" s="14"/>
      <c r="AD116" s="14"/>
      <c r="AE116" s="14"/>
      <c r="AF116" s="14" t="s">
        <v>117</v>
      </c>
      <c r="AG116" s="14" t="s">
        <v>1460</v>
      </c>
      <c r="AH116" s="14"/>
      <c r="AI116" s="14"/>
      <c r="AJ116" s="14"/>
      <c r="AK116" s="14"/>
      <c r="AL116" s="14"/>
      <c r="AM116" s="14"/>
      <c r="AN116" s="14" t="s">
        <v>362</v>
      </c>
      <c r="AO116" s="14" t="s">
        <v>1461</v>
      </c>
      <c r="AP116" s="14"/>
      <c r="AQ116" s="14"/>
      <c r="AR116" s="22"/>
      <c r="AS116" s="22" t="s">
        <v>117</v>
      </c>
      <c r="AT116" s="22" t="s">
        <v>261</v>
      </c>
      <c r="AU116" s="25" t="str">
        <f>VLOOKUP(O116,[1]Lookup!A:B,2,FALSE)</f>
        <v>Test-SIT</v>
      </c>
      <c r="AV116" s="25" t="str">
        <f>VLOOKUP(test1[[#This Row],[Assignee]],lookup[#All],2,FALSE)</f>
        <v>Test-SIT</v>
      </c>
      <c r="AW116" s="25">
        <f ca="1">IF(test1[[#This Row],[Status]]&lt;&gt;"Closed", TODAY()-INT(test1[[#This Row],[Created]]),INT(test1[[#This Row],[Resolved]])-INT(test1[[#This Row],[Created]]))</f>
        <v>56</v>
      </c>
    </row>
    <row r="117" spans="1:49" ht="199.5" x14ac:dyDescent="0.2">
      <c r="A117" s="48" t="s">
        <v>86</v>
      </c>
      <c r="B117" s="29" t="s">
        <v>1285</v>
      </c>
      <c r="C117" s="27" t="s">
        <v>1455</v>
      </c>
      <c r="D117" s="22" t="s">
        <v>96</v>
      </c>
      <c r="E117" s="22" t="s">
        <v>166</v>
      </c>
      <c r="F117" s="37" t="s">
        <v>104</v>
      </c>
      <c r="G117" s="37" t="s">
        <v>174</v>
      </c>
      <c r="H117" s="37" t="s">
        <v>104</v>
      </c>
      <c r="I117" s="37" t="s">
        <v>553</v>
      </c>
      <c r="J117" s="14" t="s">
        <v>91</v>
      </c>
      <c r="K117" s="14" t="s">
        <v>59</v>
      </c>
      <c r="L117" s="14" t="s">
        <v>93</v>
      </c>
      <c r="M117" s="14" t="s">
        <v>132</v>
      </c>
      <c r="N117" s="18" t="s">
        <v>39</v>
      </c>
      <c r="O117" s="14" t="s">
        <v>39</v>
      </c>
      <c r="P117" s="19">
        <v>42772.622916666667</v>
      </c>
      <c r="Q117" s="19">
        <v>42808.565972222219</v>
      </c>
      <c r="R117" s="19">
        <v>42808.565972222219</v>
      </c>
      <c r="S117" s="14" t="s">
        <v>203</v>
      </c>
      <c r="T117" s="14" t="s">
        <v>204</v>
      </c>
      <c r="U117" s="14" t="s">
        <v>89</v>
      </c>
      <c r="V117" s="14"/>
      <c r="W117" s="14">
        <v>0</v>
      </c>
      <c r="X117" s="14">
        <v>0</v>
      </c>
      <c r="Y117" s="20" t="s">
        <v>1456</v>
      </c>
      <c r="Z117" s="14"/>
      <c r="AA117" s="14"/>
      <c r="AB117" s="14"/>
      <c r="AC117" s="14"/>
      <c r="AD117" s="14"/>
      <c r="AE117" s="14" t="s">
        <v>1282</v>
      </c>
      <c r="AF117" s="14" t="s">
        <v>851</v>
      </c>
      <c r="AG117" s="14" t="s">
        <v>1457</v>
      </c>
      <c r="AH117" s="14"/>
      <c r="AI117" s="14"/>
      <c r="AJ117" s="14"/>
      <c r="AK117" s="14"/>
      <c r="AL117" s="14"/>
      <c r="AM117" s="14"/>
      <c r="AN117" s="14" t="s">
        <v>229</v>
      </c>
      <c r="AO117" s="14" t="s">
        <v>229</v>
      </c>
      <c r="AP117" s="14" t="s">
        <v>146</v>
      </c>
      <c r="AQ117" s="14"/>
      <c r="AR117" s="22"/>
      <c r="AS117" s="22" t="s">
        <v>89</v>
      </c>
      <c r="AT117" s="22" t="s">
        <v>166</v>
      </c>
      <c r="AU117" s="25" t="str">
        <f>VLOOKUP(O117,[1]Lookup!A:B,2,FALSE)</f>
        <v>DMO</v>
      </c>
      <c r="AV117" s="25" t="str">
        <f>VLOOKUP(test1[[#This Row],[Assignee]],lookup[#All],2,FALSE)</f>
        <v>DMO</v>
      </c>
      <c r="AW117" s="25">
        <f ca="1">IF(test1[[#This Row],[Status]]&lt;&gt;"Closed", TODAY()-INT(test1[[#This Row],[Created]]),INT(test1[[#This Row],[Resolved]])-INT(test1[[#This Row],[Created]]))</f>
        <v>56</v>
      </c>
    </row>
    <row r="118" spans="1:49" ht="370.5" x14ac:dyDescent="0.2">
      <c r="A118" s="48" t="s">
        <v>86</v>
      </c>
      <c r="B118" s="29" t="s">
        <v>1424</v>
      </c>
      <c r="C118" s="27" t="s">
        <v>1447</v>
      </c>
      <c r="D118" s="22" t="s">
        <v>229</v>
      </c>
      <c r="E118" s="22" t="s">
        <v>229</v>
      </c>
      <c r="F118" s="27"/>
      <c r="G118" s="27"/>
      <c r="H118" s="27"/>
      <c r="I118" s="27"/>
      <c r="J118" s="14" t="s">
        <v>91</v>
      </c>
      <c r="K118" s="14" t="s">
        <v>59</v>
      </c>
      <c r="L118" s="14" t="s">
        <v>93</v>
      </c>
      <c r="M118" s="14" t="s">
        <v>132</v>
      </c>
      <c r="N118" s="18" t="s">
        <v>202</v>
      </c>
      <c r="O118" s="14" t="s">
        <v>35</v>
      </c>
      <c r="P118" s="19">
        <v>42772.629166666666</v>
      </c>
      <c r="Q118" s="19">
        <v>42786.396527777775</v>
      </c>
      <c r="R118" s="19">
        <v>42786.396527777775</v>
      </c>
      <c r="S118" s="14" t="s">
        <v>203</v>
      </c>
      <c r="T118" s="14"/>
      <c r="U118" s="14"/>
      <c r="V118" s="14"/>
      <c r="W118" s="14">
        <v>0</v>
      </c>
      <c r="X118" s="14">
        <v>0</v>
      </c>
      <c r="Y118" s="20" t="s">
        <v>1448</v>
      </c>
      <c r="Z118" s="14"/>
      <c r="AA118" s="14"/>
      <c r="AB118" s="14"/>
      <c r="AC118" s="14"/>
      <c r="AD118" s="14"/>
      <c r="AE118" s="14" t="s">
        <v>1421</v>
      </c>
      <c r="AF118" s="14" t="s">
        <v>851</v>
      </c>
      <c r="AG118" s="14" t="s">
        <v>1449</v>
      </c>
      <c r="AH118" s="14"/>
      <c r="AI118" s="14"/>
      <c r="AJ118" s="14"/>
      <c r="AK118" s="14"/>
      <c r="AL118" s="14"/>
      <c r="AM118" s="14"/>
      <c r="AN118" s="14" t="s">
        <v>229</v>
      </c>
      <c r="AO118" s="14" t="s">
        <v>1416</v>
      </c>
      <c r="AP118" s="14" t="s">
        <v>146</v>
      </c>
      <c r="AQ118" s="14"/>
      <c r="AR118" s="22"/>
      <c r="AS118" s="22" t="s">
        <v>96</v>
      </c>
      <c r="AT118" s="22" t="s">
        <v>381</v>
      </c>
      <c r="AU118" s="25" t="str">
        <f>VLOOKUP(O118,[1]Lookup!A:B,2,FALSE)</f>
        <v>DMO</v>
      </c>
      <c r="AV118" s="25" t="e">
        <f>VLOOKUP(test1[[#This Row],[Assignee]],lookup[#All],2,FALSE)</f>
        <v>#N/A</v>
      </c>
      <c r="AW118" s="25">
        <f ca="1">IF(test1[[#This Row],[Status]]&lt;&gt;"Closed", TODAY()-INT(test1[[#This Row],[Created]]),INT(test1[[#This Row],[Resolved]])-INT(test1[[#This Row],[Created]]))</f>
        <v>56</v>
      </c>
    </row>
    <row r="119" spans="1:49" ht="99.75" x14ac:dyDescent="0.2">
      <c r="A119" s="48" t="s">
        <v>86</v>
      </c>
      <c r="B119" s="29" t="s">
        <v>1450</v>
      </c>
      <c r="C119" s="27" t="s">
        <v>1451</v>
      </c>
      <c r="D119" s="22" t="s">
        <v>130</v>
      </c>
      <c r="E119" s="22" t="s">
        <v>658</v>
      </c>
      <c r="F119" s="27"/>
      <c r="G119" s="27" t="s">
        <v>203</v>
      </c>
      <c r="H119" s="27"/>
      <c r="I119" s="27"/>
      <c r="J119" s="14" t="s">
        <v>91</v>
      </c>
      <c r="K119" s="14" t="s">
        <v>59</v>
      </c>
      <c r="L119" s="14" t="s">
        <v>167</v>
      </c>
      <c r="M119" s="14" t="s">
        <v>132</v>
      </c>
      <c r="N119" s="18" t="s">
        <v>21</v>
      </c>
      <c r="O119" s="14" t="s">
        <v>39</v>
      </c>
      <c r="P119" s="19">
        <v>42772.629166666666</v>
      </c>
      <c r="Q119" s="19">
        <v>42799.830555555556</v>
      </c>
      <c r="R119" s="19">
        <v>42778.571527777778</v>
      </c>
      <c r="S119" s="14" t="s">
        <v>203</v>
      </c>
      <c r="T119" s="14" t="s">
        <v>203</v>
      </c>
      <c r="U119" s="14" t="s">
        <v>130</v>
      </c>
      <c r="V119" s="14"/>
      <c r="W119" s="14">
        <v>0</v>
      </c>
      <c r="X119" s="14">
        <v>0</v>
      </c>
      <c r="Y119" s="14" t="s">
        <v>1452</v>
      </c>
      <c r="Z119" s="14"/>
      <c r="AA119" s="14"/>
      <c r="AB119" s="14"/>
      <c r="AC119" s="14"/>
      <c r="AD119" s="14"/>
      <c r="AE119" s="14"/>
      <c r="AF119" s="14" t="s">
        <v>851</v>
      </c>
      <c r="AG119" s="14" t="s">
        <v>1453</v>
      </c>
      <c r="AH119" s="14"/>
      <c r="AI119" s="14"/>
      <c r="AJ119" s="14"/>
      <c r="AK119" s="14"/>
      <c r="AL119" s="14"/>
      <c r="AM119" s="14"/>
      <c r="AN119" s="14" t="s">
        <v>1454</v>
      </c>
      <c r="AO119" s="14"/>
      <c r="AP119" s="14" t="s">
        <v>146</v>
      </c>
      <c r="AQ119" s="14"/>
      <c r="AR119" s="22"/>
      <c r="AS119" s="22" t="s">
        <v>96</v>
      </c>
      <c r="AT119" s="22" t="s">
        <v>416</v>
      </c>
      <c r="AU119" s="25" t="str">
        <f>VLOOKUP(O119,[1]Lookup!A:B,2,FALSE)</f>
        <v>DMO</v>
      </c>
      <c r="AV119" s="25" t="str">
        <f>VLOOKUP(test1[[#This Row],[Assignee]],lookup[#All],2,FALSE)</f>
        <v>Test-SIT</v>
      </c>
      <c r="AW119" s="25">
        <f ca="1">IF(test1[[#This Row],[Status]]&lt;&gt;"Closed", TODAY()-INT(test1[[#This Row],[Created]]),INT(test1[[#This Row],[Resolved]])-INT(test1[[#This Row],[Created]]))</f>
        <v>56</v>
      </c>
    </row>
    <row r="120" spans="1:49" ht="409.5" x14ac:dyDescent="0.2">
      <c r="A120" s="48" t="s">
        <v>86</v>
      </c>
      <c r="B120" s="29" t="s">
        <v>1443</v>
      </c>
      <c r="C120" s="27" t="s">
        <v>1444</v>
      </c>
      <c r="D120" s="22" t="s">
        <v>117</v>
      </c>
      <c r="E120" s="22" t="s">
        <v>381</v>
      </c>
      <c r="F120" s="27"/>
      <c r="G120" s="27" t="s">
        <v>139</v>
      </c>
      <c r="H120" s="27"/>
      <c r="I120" s="27"/>
      <c r="J120" s="14" t="s">
        <v>91</v>
      </c>
      <c r="K120" s="14" t="s">
        <v>59</v>
      </c>
      <c r="L120" s="14" t="s">
        <v>167</v>
      </c>
      <c r="M120" s="14" t="s">
        <v>132</v>
      </c>
      <c r="N120" s="18" t="s">
        <v>23</v>
      </c>
      <c r="O120" s="14" t="s">
        <v>23</v>
      </c>
      <c r="P120" s="19">
        <v>42772.65902777778</v>
      </c>
      <c r="Q120" s="19">
        <v>42811.484722222223</v>
      </c>
      <c r="R120" s="19">
        <v>42773.813194444447</v>
      </c>
      <c r="S120" s="14" t="s">
        <v>518</v>
      </c>
      <c r="T120" s="14" t="s">
        <v>139</v>
      </c>
      <c r="U120" s="14" t="s">
        <v>117</v>
      </c>
      <c r="V120" s="28">
        <v>42773</v>
      </c>
      <c r="W120" s="14">
        <v>0</v>
      </c>
      <c r="X120" s="14">
        <v>0</v>
      </c>
      <c r="Y120" s="14"/>
      <c r="Z120" s="14"/>
      <c r="AA120" s="14"/>
      <c r="AB120" s="14"/>
      <c r="AC120" s="14"/>
      <c r="AD120" s="14"/>
      <c r="AE120" s="14"/>
      <c r="AF120" s="14" t="s">
        <v>117</v>
      </c>
      <c r="AG120" s="14" t="s">
        <v>1445</v>
      </c>
      <c r="AH120" s="14"/>
      <c r="AI120" s="14"/>
      <c r="AJ120" s="14"/>
      <c r="AK120" s="14"/>
      <c r="AL120" s="14"/>
      <c r="AM120" s="14"/>
      <c r="AN120" s="14" t="s">
        <v>1390</v>
      </c>
      <c r="AO120" s="14" t="s">
        <v>1446</v>
      </c>
      <c r="AP120" s="14"/>
      <c r="AQ120" s="14"/>
      <c r="AR120" s="22"/>
      <c r="AS120" s="22" t="s">
        <v>117</v>
      </c>
      <c r="AT120" s="22" t="s">
        <v>381</v>
      </c>
      <c r="AU120" s="25" t="str">
        <f>VLOOKUP(O120,[1]Lookup!A:B,2,FALSE)</f>
        <v>Test-SIT</v>
      </c>
      <c r="AV120" s="25" t="str">
        <f>VLOOKUP(test1[[#This Row],[Assignee]],lookup[#All],2,FALSE)</f>
        <v>Test-SIT</v>
      </c>
      <c r="AW120" s="25">
        <f ca="1">IF(test1[[#This Row],[Status]]&lt;&gt;"Closed", TODAY()-INT(test1[[#This Row],[Created]]),INT(test1[[#This Row],[Resolved]])-INT(test1[[#This Row],[Created]]))</f>
        <v>56</v>
      </c>
    </row>
    <row r="121" spans="1:49" ht="409.5" x14ac:dyDescent="0.2">
      <c r="A121" s="48" t="s">
        <v>86</v>
      </c>
      <c r="B121" s="29" t="s">
        <v>1439</v>
      </c>
      <c r="C121" s="27" t="s">
        <v>1440</v>
      </c>
      <c r="D121" s="22" t="s">
        <v>117</v>
      </c>
      <c r="E121" s="22" t="s">
        <v>792</v>
      </c>
      <c r="F121" s="27"/>
      <c r="G121" s="27"/>
      <c r="H121" s="27"/>
      <c r="I121" s="27"/>
      <c r="J121" s="14" t="s">
        <v>91</v>
      </c>
      <c r="K121" s="14" t="s">
        <v>59</v>
      </c>
      <c r="L121" s="14" t="s">
        <v>93</v>
      </c>
      <c r="M121" s="14" t="s">
        <v>132</v>
      </c>
      <c r="N121" s="18" t="s">
        <v>24</v>
      </c>
      <c r="O121" s="14" t="s">
        <v>24</v>
      </c>
      <c r="P121" s="19">
        <v>42772.660416666666</v>
      </c>
      <c r="Q121" s="19">
        <v>42811.438194444447</v>
      </c>
      <c r="R121" s="19">
        <v>42780.411805555559</v>
      </c>
      <c r="S121" s="14" t="s">
        <v>139</v>
      </c>
      <c r="T121" s="14" t="s">
        <v>139</v>
      </c>
      <c r="U121" s="14" t="s">
        <v>117</v>
      </c>
      <c r="V121" s="28">
        <v>42773</v>
      </c>
      <c r="W121" s="14">
        <v>0</v>
      </c>
      <c r="X121" s="14">
        <v>0</v>
      </c>
      <c r="Y121" s="14"/>
      <c r="Z121" s="14"/>
      <c r="AA121" s="14"/>
      <c r="AB121" s="14"/>
      <c r="AC121" s="14"/>
      <c r="AD121" s="14"/>
      <c r="AE121" s="14"/>
      <c r="AF121" s="14" t="s">
        <v>156</v>
      </c>
      <c r="AG121" s="14" t="s">
        <v>1441</v>
      </c>
      <c r="AH121" s="14"/>
      <c r="AI121" s="14"/>
      <c r="AJ121" s="14"/>
      <c r="AK121" s="14"/>
      <c r="AL121" s="14"/>
      <c r="AM121" s="14"/>
      <c r="AN121" s="14" t="s">
        <v>145</v>
      </c>
      <c r="AO121" s="14" t="s">
        <v>1442</v>
      </c>
      <c r="AP121" s="14"/>
      <c r="AQ121" s="14"/>
      <c r="AR121" s="22"/>
      <c r="AS121" s="22" t="s">
        <v>117</v>
      </c>
      <c r="AT121" s="22" t="s">
        <v>792</v>
      </c>
      <c r="AU121" s="25" t="str">
        <f>VLOOKUP(O121,[1]Lookup!A:B,2,FALSE)</f>
        <v>Test-SIT</v>
      </c>
      <c r="AV121" s="25" t="str">
        <f>VLOOKUP(test1[[#This Row],[Assignee]],lookup[#All],2,FALSE)</f>
        <v>Test-SIT</v>
      </c>
      <c r="AW121" s="25">
        <f ca="1">IF(test1[[#This Row],[Status]]&lt;&gt;"Closed", TODAY()-INT(test1[[#This Row],[Created]]),INT(test1[[#This Row],[Resolved]])-INT(test1[[#This Row],[Created]]))</f>
        <v>56</v>
      </c>
    </row>
    <row r="122" spans="1:49" ht="185.25" x14ac:dyDescent="0.2">
      <c r="A122" s="48" t="s">
        <v>86</v>
      </c>
      <c r="B122" s="29" t="s">
        <v>1431</v>
      </c>
      <c r="C122" s="26" t="s">
        <v>1432</v>
      </c>
      <c r="D122" s="22" t="s">
        <v>89</v>
      </c>
      <c r="E122" s="22" t="s">
        <v>1433</v>
      </c>
      <c r="F122" s="26" t="s">
        <v>1434</v>
      </c>
      <c r="G122" s="26" t="s">
        <v>312</v>
      </c>
      <c r="H122" s="26" t="s">
        <v>526</v>
      </c>
      <c r="I122" s="26" t="s">
        <v>527</v>
      </c>
      <c r="J122" s="14" t="s">
        <v>91</v>
      </c>
      <c r="K122" s="14" t="s">
        <v>59</v>
      </c>
      <c r="L122" s="14" t="s">
        <v>93</v>
      </c>
      <c r="M122" s="14" t="s">
        <v>132</v>
      </c>
      <c r="N122" s="18" t="s">
        <v>36</v>
      </c>
      <c r="O122" s="14" t="s">
        <v>36</v>
      </c>
      <c r="P122" s="19">
        <v>42772.678472222222</v>
      </c>
      <c r="Q122" s="19">
        <v>42808.668749999997</v>
      </c>
      <c r="R122" s="19">
        <v>42808.668749999997</v>
      </c>
      <c r="S122" s="14" t="s">
        <v>203</v>
      </c>
      <c r="T122" s="14" t="s">
        <v>312</v>
      </c>
      <c r="U122" s="14" t="s">
        <v>89</v>
      </c>
      <c r="V122" s="14"/>
      <c r="W122" s="14">
        <v>0</v>
      </c>
      <c r="X122" s="14">
        <v>0</v>
      </c>
      <c r="Y122" s="14" t="s">
        <v>1435</v>
      </c>
      <c r="Z122" s="14"/>
      <c r="AA122" s="14"/>
      <c r="AB122" s="14"/>
      <c r="AC122" s="14"/>
      <c r="AD122" s="14"/>
      <c r="AE122" s="14"/>
      <c r="AF122" s="14" t="s">
        <v>126</v>
      </c>
      <c r="AG122" s="14" t="s">
        <v>1436</v>
      </c>
      <c r="AH122" s="14"/>
      <c r="AI122" s="14"/>
      <c r="AJ122" s="14"/>
      <c r="AK122" s="14"/>
      <c r="AL122" s="14"/>
      <c r="AM122" s="14"/>
      <c r="AN122" s="14" t="s">
        <v>1437</v>
      </c>
      <c r="AO122" s="14" t="s">
        <v>1438</v>
      </c>
      <c r="AP122" s="14" t="s">
        <v>146</v>
      </c>
      <c r="AQ122" s="14"/>
      <c r="AR122" s="22"/>
      <c r="AS122" s="22" t="s">
        <v>89</v>
      </c>
      <c r="AT122" s="22" t="s">
        <v>1433</v>
      </c>
      <c r="AU122" s="25" t="str">
        <f>VLOOKUP(O122,[1]Lookup!A:B,2,FALSE)</f>
        <v>DMO</v>
      </c>
      <c r="AV122" s="25" t="str">
        <f>VLOOKUP(test1[[#This Row],[Assignee]],lookup[#All],2,FALSE)</f>
        <v>DMO</v>
      </c>
      <c r="AW122" s="25">
        <f ca="1">IF(test1[[#This Row],[Status]]&lt;&gt;"Closed", TODAY()-INT(test1[[#This Row],[Created]]),INT(test1[[#This Row],[Resolved]])-INT(test1[[#This Row],[Created]]))</f>
        <v>56</v>
      </c>
    </row>
    <row r="123" spans="1:49" ht="409.5" x14ac:dyDescent="0.2">
      <c r="A123" s="48" t="s">
        <v>86</v>
      </c>
      <c r="B123" s="29" t="s">
        <v>1427</v>
      </c>
      <c r="C123" s="27" t="s">
        <v>1428</v>
      </c>
      <c r="D123" s="22" t="s">
        <v>229</v>
      </c>
      <c r="E123" s="22" t="s">
        <v>229</v>
      </c>
      <c r="F123" s="27"/>
      <c r="G123" s="27" t="s">
        <v>203</v>
      </c>
      <c r="H123" s="27"/>
      <c r="I123" s="27"/>
      <c r="J123" s="14" t="s">
        <v>91</v>
      </c>
      <c r="K123" s="14" t="s">
        <v>59</v>
      </c>
      <c r="L123" s="14" t="s">
        <v>93</v>
      </c>
      <c r="M123" s="14" t="s">
        <v>132</v>
      </c>
      <c r="N123" s="18" t="s">
        <v>202</v>
      </c>
      <c r="O123" s="14" t="s">
        <v>37</v>
      </c>
      <c r="P123" s="19">
        <v>42772.683333333334</v>
      </c>
      <c r="Q123" s="19">
        <v>42774.59652777778</v>
      </c>
      <c r="R123" s="19">
        <v>42774.411805555559</v>
      </c>
      <c r="S123" s="14" t="s">
        <v>203</v>
      </c>
      <c r="T123" s="14" t="s">
        <v>203</v>
      </c>
      <c r="U123" s="14" t="s">
        <v>96</v>
      </c>
      <c r="V123" s="14"/>
      <c r="W123" s="14">
        <v>0</v>
      </c>
      <c r="X123" s="14">
        <v>0</v>
      </c>
      <c r="Y123" s="14" t="s">
        <v>1429</v>
      </c>
      <c r="Z123" s="14"/>
      <c r="AA123" s="14"/>
      <c r="AB123" s="14"/>
      <c r="AC123" s="14"/>
      <c r="AD123" s="14"/>
      <c r="AE123" s="14"/>
      <c r="AF123" s="14" t="s">
        <v>851</v>
      </c>
      <c r="AG123" s="14" t="s">
        <v>1430</v>
      </c>
      <c r="AH123" s="14"/>
      <c r="AI123" s="14"/>
      <c r="AJ123" s="14"/>
      <c r="AK123" s="14"/>
      <c r="AL123" s="14"/>
      <c r="AM123" s="14"/>
      <c r="AN123" s="14" t="s">
        <v>229</v>
      </c>
      <c r="AO123" s="14" t="s">
        <v>1416</v>
      </c>
      <c r="AP123" s="14" t="s">
        <v>146</v>
      </c>
      <c r="AQ123" s="14">
        <v>142</v>
      </c>
      <c r="AR123" s="22"/>
      <c r="AS123" s="22" t="s">
        <v>96</v>
      </c>
      <c r="AT123" s="39" t="s">
        <v>1416</v>
      </c>
      <c r="AU123" s="25" t="str">
        <f>VLOOKUP(O123,[1]Lookup!A:B,2,FALSE)</f>
        <v>DMO</v>
      </c>
      <c r="AV123" s="25" t="e">
        <f>VLOOKUP(test1[[#This Row],[Assignee]],lookup[#All],2,FALSE)</f>
        <v>#N/A</v>
      </c>
      <c r="AW123" s="25">
        <f ca="1">IF(test1[[#This Row],[Status]]&lt;&gt;"Closed", TODAY()-INT(test1[[#This Row],[Created]]),INT(test1[[#This Row],[Resolved]])-INT(test1[[#This Row],[Created]]))</f>
        <v>56</v>
      </c>
    </row>
    <row r="124" spans="1:49" ht="409.5" x14ac:dyDescent="0.2">
      <c r="A124" s="48" t="s">
        <v>86</v>
      </c>
      <c r="B124" s="29" t="s">
        <v>1421</v>
      </c>
      <c r="C124" s="27" t="s">
        <v>1422</v>
      </c>
      <c r="D124" s="22" t="s">
        <v>229</v>
      </c>
      <c r="E124" s="22" t="s">
        <v>229</v>
      </c>
      <c r="F124" s="27"/>
      <c r="G124" s="27" t="s">
        <v>203</v>
      </c>
      <c r="H124" s="27"/>
      <c r="I124" s="27"/>
      <c r="J124" s="14" t="s">
        <v>91</v>
      </c>
      <c r="K124" s="14" t="s">
        <v>59</v>
      </c>
      <c r="L124" s="14" t="s">
        <v>93</v>
      </c>
      <c r="M124" s="14" t="s">
        <v>132</v>
      </c>
      <c r="N124" s="18" t="s">
        <v>202</v>
      </c>
      <c r="O124" s="14" t="s">
        <v>37</v>
      </c>
      <c r="P124" s="19">
        <v>42772.685416666667</v>
      </c>
      <c r="Q124" s="19">
        <v>42782.504861111112</v>
      </c>
      <c r="R124" s="19">
        <v>42774.412499999999</v>
      </c>
      <c r="S124" s="14" t="s">
        <v>203</v>
      </c>
      <c r="T124" s="14" t="s">
        <v>203</v>
      </c>
      <c r="U124" s="14" t="s">
        <v>96</v>
      </c>
      <c r="V124" s="14"/>
      <c r="W124" s="14">
        <v>0</v>
      </c>
      <c r="X124" s="14">
        <v>0</v>
      </c>
      <c r="Y124" s="20" t="s">
        <v>1423</v>
      </c>
      <c r="Z124" s="14"/>
      <c r="AA124" s="14"/>
      <c r="AB124" s="14"/>
      <c r="AC124" s="14"/>
      <c r="AD124" s="14"/>
      <c r="AE124" s="14" t="s">
        <v>1424</v>
      </c>
      <c r="AF124" s="14" t="s">
        <v>851</v>
      </c>
      <c r="AG124" s="14" t="s">
        <v>1425</v>
      </c>
      <c r="AH124" s="14"/>
      <c r="AI124" s="14"/>
      <c r="AJ124" s="14"/>
      <c r="AK124" s="14"/>
      <c r="AL124" s="14"/>
      <c r="AM124" s="14"/>
      <c r="AN124" s="14" t="s">
        <v>229</v>
      </c>
      <c r="AO124" s="14" t="s">
        <v>386</v>
      </c>
      <c r="AP124" s="14" t="s">
        <v>146</v>
      </c>
      <c r="AQ124" s="14" t="s">
        <v>1426</v>
      </c>
      <c r="AR124" s="22"/>
      <c r="AS124" s="22" t="s">
        <v>96</v>
      </c>
      <c r="AT124" s="39" t="s">
        <v>386</v>
      </c>
      <c r="AU124" s="25" t="str">
        <f>VLOOKUP(O124,[1]Lookup!A:B,2,FALSE)</f>
        <v>DMO</v>
      </c>
      <c r="AV124" s="25" t="e">
        <f>VLOOKUP(test1[[#This Row],[Assignee]],lookup[#All],2,FALSE)</f>
        <v>#N/A</v>
      </c>
      <c r="AW124" s="25">
        <f ca="1">IF(test1[[#This Row],[Status]]&lt;&gt;"Closed", TODAY()-INT(test1[[#This Row],[Created]]),INT(test1[[#This Row],[Resolved]])-INT(test1[[#This Row],[Created]]))</f>
        <v>56</v>
      </c>
    </row>
    <row r="125" spans="1:49" ht="242.25" x14ac:dyDescent="0.2">
      <c r="A125" s="48" t="s">
        <v>86</v>
      </c>
      <c r="B125" s="29" t="s">
        <v>1417</v>
      </c>
      <c r="C125" s="27" t="s">
        <v>1418</v>
      </c>
      <c r="D125" s="22" t="s">
        <v>117</v>
      </c>
      <c r="E125" s="22" t="s">
        <v>381</v>
      </c>
      <c r="F125" s="27"/>
      <c r="G125" s="27" t="s">
        <v>139</v>
      </c>
      <c r="H125" s="27"/>
      <c r="I125" s="27"/>
      <c r="J125" s="14" t="s">
        <v>91</v>
      </c>
      <c r="K125" s="14" t="s">
        <v>59</v>
      </c>
      <c r="L125" s="14" t="s">
        <v>167</v>
      </c>
      <c r="M125" s="14" t="s">
        <v>132</v>
      </c>
      <c r="N125" s="18" t="s">
        <v>23</v>
      </c>
      <c r="O125" s="14" t="s">
        <v>23</v>
      </c>
      <c r="P125" s="19">
        <v>42772.719444444447</v>
      </c>
      <c r="Q125" s="19">
        <v>42811.486111111109</v>
      </c>
      <c r="R125" s="19">
        <v>42773.81527777778</v>
      </c>
      <c r="S125" s="14" t="s">
        <v>518</v>
      </c>
      <c r="T125" s="14" t="s">
        <v>139</v>
      </c>
      <c r="U125" s="14" t="s">
        <v>117</v>
      </c>
      <c r="V125" s="14"/>
      <c r="W125" s="14">
        <v>0</v>
      </c>
      <c r="X125" s="14">
        <v>0</v>
      </c>
      <c r="Y125" s="14"/>
      <c r="Z125" s="14"/>
      <c r="AA125" s="14"/>
      <c r="AB125" s="14"/>
      <c r="AC125" s="14"/>
      <c r="AD125" s="14"/>
      <c r="AE125" s="14"/>
      <c r="AF125" s="14" t="s">
        <v>117</v>
      </c>
      <c r="AG125" s="14" t="s">
        <v>1419</v>
      </c>
      <c r="AH125" s="14"/>
      <c r="AI125" s="14"/>
      <c r="AJ125" s="14"/>
      <c r="AK125" s="14"/>
      <c r="AL125" s="14"/>
      <c r="AM125" s="14"/>
      <c r="AN125" s="14" t="s">
        <v>1390</v>
      </c>
      <c r="AO125" s="14" t="s">
        <v>1420</v>
      </c>
      <c r="AP125" s="14"/>
      <c r="AQ125" s="14"/>
      <c r="AR125" s="22"/>
      <c r="AS125" s="22" t="s">
        <v>117</v>
      </c>
      <c r="AT125" s="22" t="s">
        <v>381</v>
      </c>
      <c r="AU125" s="25" t="str">
        <f>VLOOKUP(O125,[1]Lookup!A:B,2,FALSE)</f>
        <v>Test-SIT</v>
      </c>
      <c r="AV125" s="25" t="str">
        <f>VLOOKUP(test1[[#This Row],[Assignee]],lookup[#All],2,FALSE)</f>
        <v>Test-SIT</v>
      </c>
      <c r="AW125" s="25">
        <f ca="1">IF(test1[[#This Row],[Status]]&lt;&gt;"Closed", TODAY()-INT(test1[[#This Row],[Created]]),INT(test1[[#This Row],[Resolved]])-INT(test1[[#This Row],[Created]]))</f>
        <v>56</v>
      </c>
    </row>
    <row r="126" spans="1:49" ht="409.5" x14ac:dyDescent="0.2">
      <c r="A126" s="48" t="s">
        <v>86</v>
      </c>
      <c r="B126" s="29" t="s">
        <v>1412</v>
      </c>
      <c r="C126" s="27" t="s">
        <v>1413</v>
      </c>
      <c r="D126" s="22" t="s">
        <v>117</v>
      </c>
      <c r="E126" s="22" t="s">
        <v>381</v>
      </c>
      <c r="F126" s="27"/>
      <c r="G126" s="27" t="s">
        <v>139</v>
      </c>
      <c r="H126" s="27"/>
      <c r="I126" s="27"/>
      <c r="J126" s="14" t="s">
        <v>91</v>
      </c>
      <c r="K126" s="14" t="s">
        <v>59</v>
      </c>
      <c r="L126" s="14" t="s">
        <v>167</v>
      </c>
      <c r="M126" s="14" t="s">
        <v>132</v>
      </c>
      <c r="N126" s="18" t="s">
        <v>23</v>
      </c>
      <c r="O126" s="14" t="s">
        <v>23</v>
      </c>
      <c r="P126" s="19">
        <v>42772.747916666667</v>
      </c>
      <c r="Q126" s="19">
        <v>42811.484722222223</v>
      </c>
      <c r="R126" s="19">
        <v>42773.814583333333</v>
      </c>
      <c r="S126" s="14" t="s">
        <v>518</v>
      </c>
      <c r="T126" s="14" t="s">
        <v>139</v>
      </c>
      <c r="U126" s="14" t="s">
        <v>117</v>
      </c>
      <c r="V126" s="28">
        <v>42773</v>
      </c>
      <c r="W126" s="14">
        <v>0</v>
      </c>
      <c r="X126" s="14">
        <v>0</v>
      </c>
      <c r="Y126" s="14"/>
      <c r="Z126" s="14"/>
      <c r="AA126" s="14"/>
      <c r="AB126" s="14"/>
      <c r="AC126" s="14"/>
      <c r="AD126" s="14"/>
      <c r="AE126" s="14"/>
      <c r="AF126" s="14" t="s">
        <v>117</v>
      </c>
      <c r="AG126" s="14" t="s">
        <v>1414</v>
      </c>
      <c r="AH126" s="14"/>
      <c r="AI126" s="14"/>
      <c r="AJ126" s="14"/>
      <c r="AK126" s="14"/>
      <c r="AL126" s="14"/>
      <c r="AM126" s="14"/>
      <c r="AN126" s="14" t="s">
        <v>1390</v>
      </c>
      <c r="AO126" s="14" t="s">
        <v>1415</v>
      </c>
      <c r="AP126" s="14"/>
      <c r="AQ126" s="14"/>
      <c r="AR126" s="22"/>
      <c r="AS126" s="22" t="s">
        <v>117</v>
      </c>
      <c r="AT126" s="22" t="s">
        <v>1416</v>
      </c>
      <c r="AU126" s="25" t="str">
        <f>VLOOKUP(O126,[1]Lookup!A:B,2,FALSE)</f>
        <v>Test-SIT</v>
      </c>
      <c r="AV126" s="25" t="str">
        <f>VLOOKUP(test1[[#This Row],[Assignee]],lookup[#All],2,FALSE)</f>
        <v>Test-SIT</v>
      </c>
      <c r="AW126" s="25">
        <f ca="1">IF(test1[[#This Row],[Status]]&lt;&gt;"Closed", TODAY()-INT(test1[[#This Row],[Created]]),INT(test1[[#This Row],[Resolved]])-INT(test1[[#This Row],[Created]]))</f>
        <v>56</v>
      </c>
    </row>
    <row r="127" spans="1:49" ht="409.5" x14ac:dyDescent="0.2">
      <c r="A127" s="48" t="s">
        <v>86</v>
      </c>
      <c r="B127" s="29" t="s">
        <v>1407</v>
      </c>
      <c r="C127" s="27" t="s">
        <v>1408</v>
      </c>
      <c r="D127" s="22" t="s">
        <v>96</v>
      </c>
      <c r="E127" s="22" t="s">
        <v>166</v>
      </c>
      <c r="F127" s="27"/>
      <c r="G127" s="27" t="s">
        <v>660</v>
      </c>
      <c r="H127" s="27"/>
      <c r="I127" s="27"/>
      <c r="J127" s="14" t="s">
        <v>91</v>
      </c>
      <c r="K127" s="14" t="s">
        <v>59</v>
      </c>
      <c r="L127" s="14" t="s">
        <v>167</v>
      </c>
      <c r="M127" s="14" t="s">
        <v>132</v>
      </c>
      <c r="N127" s="18" t="s">
        <v>38</v>
      </c>
      <c r="O127" s="14" t="s">
        <v>37</v>
      </c>
      <c r="P127" s="19">
        <v>42772.756249999999</v>
      </c>
      <c r="Q127" s="19">
        <v>42779.381944444445</v>
      </c>
      <c r="R127" s="19">
        <v>42779.381944444445</v>
      </c>
      <c r="S127" s="14" t="s">
        <v>203</v>
      </c>
      <c r="T127" s="14" t="s">
        <v>660</v>
      </c>
      <c r="U127" s="14" t="s">
        <v>96</v>
      </c>
      <c r="V127" s="14"/>
      <c r="W127" s="14">
        <v>0</v>
      </c>
      <c r="X127" s="14">
        <v>0</v>
      </c>
      <c r="Y127" s="14" t="s">
        <v>1409</v>
      </c>
      <c r="Z127" s="14"/>
      <c r="AA127" s="14"/>
      <c r="AB127" s="14"/>
      <c r="AC127" s="14"/>
      <c r="AD127" s="14"/>
      <c r="AE127" s="14"/>
      <c r="AF127" s="14"/>
      <c r="AG127" s="14" t="s">
        <v>1410</v>
      </c>
      <c r="AH127" s="14"/>
      <c r="AI127" s="14"/>
      <c r="AJ127" s="14"/>
      <c r="AK127" s="14"/>
      <c r="AL127" s="14"/>
      <c r="AM127" s="14"/>
      <c r="AN127" s="14" t="s">
        <v>261</v>
      </c>
      <c r="AO127" s="14" t="s">
        <v>1411</v>
      </c>
      <c r="AP127" s="14" t="s">
        <v>146</v>
      </c>
      <c r="AQ127" s="14"/>
      <c r="AR127" s="22"/>
      <c r="AS127" s="22" t="s">
        <v>96</v>
      </c>
      <c r="AT127" s="22" t="s">
        <v>166</v>
      </c>
      <c r="AU127" s="25" t="str">
        <f>VLOOKUP(O127,[1]Lookup!A:B,2,FALSE)</f>
        <v>DMO</v>
      </c>
      <c r="AV127" s="25" t="str">
        <f>VLOOKUP(test1[[#This Row],[Assignee]],lookup[#All],2,FALSE)</f>
        <v>DMO</v>
      </c>
      <c r="AW127" s="25">
        <f ca="1">IF(test1[[#This Row],[Status]]&lt;&gt;"Closed", TODAY()-INT(test1[[#This Row],[Created]]),INT(test1[[#This Row],[Resolved]])-INT(test1[[#This Row],[Created]]))</f>
        <v>56</v>
      </c>
    </row>
    <row r="128" spans="1:49" ht="409.5" x14ac:dyDescent="0.2">
      <c r="A128" s="48" t="s">
        <v>86</v>
      </c>
      <c r="B128" s="29" t="s">
        <v>1403</v>
      </c>
      <c r="C128" s="27" t="s">
        <v>1404</v>
      </c>
      <c r="D128" s="22" t="s">
        <v>117</v>
      </c>
      <c r="E128" s="22" t="s">
        <v>381</v>
      </c>
      <c r="F128" s="27"/>
      <c r="G128" s="27" t="s">
        <v>139</v>
      </c>
      <c r="H128" s="27"/>
      <c r="I128" s="27"/>
      <c r="J128" s="14" t="s">
        <v>91</v>
      </c>
      <c r="K128" s="14" t="s">
        <v>59</v>
      </c>
      <c r="L128" s="14" t="s">
        <v>167</v>
      </c>
      <c r="M128" s="14" t="s">
        <v>132</v>
      </c>
      <c r="N128" s="18" t="s">
        <v>23</v>
      </c>
      <c r="O128" s="14" t="s">
        <v>23</v>
      </c>
      <c r="P128" s="19">
        <v>42772.757638888892</v>
      </c>
      <c r="Q128" s="19">
        <v>42811.48541666667</v>
      </c>
      <c r="R128" s="19">
        <v>42773.81527777778</v>
      </c>
      <c r="S128" s="14" t="s">
        <v>518</v>
      </c>
      <c r="T128" s="14" t="s">
        <v>139</v>
      </c>
      <c r="U128" s="14" t="s">
        <v>117</v>
      </c>
      <c r="V128" s="14"/>
      <c r="W128" s="14">
        <v>0</v>
      </c>
      <c r="X128" s="14">
        <v>0</v>
      </c>
      <c r="Y128" s="14"/>
      <c r="Z128" s="14"/>
      <c r="AA128" s="14"/>
      <c r="AB128" s="14"/>
      <c r="AC128" s="14"/>
      <c r="AD128" s="14"/>
      <c r="AE128" s="14"/>
      <c r="AF128" s="14"/>
      <c r="AG128" s="14" t="s">
        <v>1405</v>
      </c>
      <c r="AH128" s="14"/>
      <c r="AI128" s="14"/>
      <c r="AJ128" s="14"/>
      <c r="AK128" s="14"/>
      <c r="AL128" s="14"/>
      <c r="AM128" s="14"/>
      <c r="AN128" s="14" t="s">
        <v>1390</v>
      </c>
      <c r="AO128" s="14" t="s">
        <v>1406</v>
      </c>
      <c r="AP128" s="14"/>
      <c r="AQ128" s="14"/>
      <c r="AR128" s="22"/>
      <c r="AS128" s="22" t="s">
        <v>117</v>
      </c>
      <c r="AT128" s="22" t="s">
        <v>381</v>
      </c>
      <c r="AU128" s="25" t="str">
        <f>VLOOKUP(O128,[1]Lookup!A:B,2,FALSE)</f>
        <v>Test-SIT</v>
      </c>
      <c r="AV128" s="25" t="str">
        <f>VLOOKUP(test1[[#This Row],[Assignee]],lookup[#All],2,FALSE)</f>
        <v>Test-SIT</v>
      </c>
      <c r="AW128" s="25">
        <f ca="1">IF(test1[[#This Row],[Status]]&lt;&gt;"Closed", TODAY()-INT(test1[[#This Row],[Created]]),INT(test1[[#This Row],[Resolved]])-INT(test1[[#This Row],[Created]]))</f>
        <v>56</v>
      </c>
    </row>
    <row r="129" spans="1:49" ht="42.75" x14ac:dyDescent="0.2">
      <c r="A129" s="48" t="s">
        <v>86</v>
      </c>
      <c r="B129" s="29" t="s">
        <v>1398</v>
      </c>
      <c r="C129" s="27" t="s">
        <v>1399</v>
      </c>
      <c r="D129" s="22" t="s">
        <v>241</v>
      </c>
      <c r="E129" s="22" t="s">
        <v>890</v>
      </c>
      <c r="F129" s="27"/>
      <c r="G129" s="27"/>
      <c r="H129" s="27"/>
      <c r="I129" s="27"/>
      <c r="J129" s="14" t="s">
        <v>91</v>
      </c>
      <c r="K129" s="14" t="s">
        <v>59</v>
      </c>
      <c r="L129" s="14" t="s">
        <v>103</v>
      </c>
      <c r="M129" s="14" t="s">
        <v>132</v>
      </c>
      <c r="N129" s="18" t="s">
        <v>202</v>
      </c>
      <c r="O129" s="14" t="s">
        <v>39</v>
      </c>
      <c r="P129" s="19">
        <v>42772.762499999997</v>
      </c>
      <c r="Q129" s="19">
        <v>42781.947916666664</v>
      </c>
      <c r="R129" s="19">
        <v>42779.564583333333</v>
      </c>
      <c r="S129" s="14" t="s">
        <v>203</v>
      </c>
      <c r="T129" s="14"/>
      <c r="U129" s="14" t="s">
        <v>96</v>
      </c>
      <c r="V129" s="14"/>
      <c r="W129" s="14">
        <v>0</v>
      </c>
      <c r="X129" s="14">
        <v>0</v>
      </c>
      <c r="Y129" s="20" t="s">
        <v>1400</v>
      </c>
      <c r="Z129" s="14"/>
      <c r="AA129" s="14"/>
      <c r="AB129" s="14"/>
      <c r="AC129" s="14"/>
      <c r="AD129" s="14"/>
      <c r="AE129" s="14"/>
      <c r="AF129" s="14" t="s">
        <v>851</v>
      </c>
      <c r="AG129" s="14" t="s">
        <v>1401</v>
      </c>
      <c r="AH129" s="14"/>
      <c r="AI129" s="14"/>
      <c r="AJ129" s="14"/>
      <c r="AK129" s="14"/>
      <c r="AL129" s="14"/>
      <c r="AM129" s="14"/>
      <c r="AN129" s="14" t="s">
        <v>1092</v>
      </c>
      <c r="AO129" s="14" t="s">
        <v>1402</v>
      </c>
      <c r="AP129" s="14" t="s">
        <v>146</v>
      </c>
      <c r="AQ129" s="14"/>
      <c r="AR129" s="22"/>
      <c r="AS129" s="22" t="s">
        <v>241</v>
      </c>
      <c r="AT129" s="22" t="s">
        <v>890</v>
      </c>
      <c r="AU129" s="25" t="str">
        <f>VLOOKUP(O129,[1]Lookup!A:B,2,FALSE)</f>
        <v>DMO</v>
      </c>
      <c r="AV129" s="25" t="e">
        <f>VLOOKUP(test1[[#This Row],[Assignee]],lookup[#All],2,FALSE)</f>
        <v>#N/A</v>
      </c>
      <c r="AW129" s="25">
        <f ca="1">IF(test1[[#This Row],[Status]]&lt;&gt;"Closed", TODAY()-INT(test1[[#This Row],[Created]]),INT(test1[[#This Row],[Resolved]])-INT(test1[[#This Row],[Created]]))</f>
        <v>56</v>
      </c>
    </row>
    <row r="130" spans="1:49" ht="409.5" x14ac:dyDescent="0.2">
      <c r="A130" s="48" t="s">
        <v>86</v>
      </c>
      <c r="B130" s="29" t="s">
        <v>1392</v>
      </c>
      <c r="C130" s="27" t="s">
        <v>1393</v>
      </c>
      <c r="D130" s="22" t="s">
        <v>96</v>
      </c>
      <c r="E130" s="22" t="s">
        <v>166</v>
      </c>
      <c r="F130" s="37" t="s">
        <v>104</v>
      </c>
      <c r="G130" s="37" t="s">
        <v>174</v>
      </c>
      <c r="H130" s="44" t="s">
        <v>104</v>
      </c>
      <c r="I130" s="37" t="s">
        <v>553</v>
      </c>
      <c r="J130" s="14" t="s">
        <v>91</v>
      </c>
      <c r="K130" s="14" t="s">
        <v>59</v>
      </c>
      <c r="L130" s="14" t="s">
        <v>93</v>
      </c>
      <c r="M130" s="14" t="s">
        <v>132</v>
      </c>
      <c r="N130" s="18" t="s">
        <v>202</v>
      </c>
      <c r="O130" s="14" t="s">
        <v>37</v>
      </c>
      <c r="P130" s="19">
        <v>42772.763888888891</v>
      </c>
      <c r="Q130" s="19">
        <v>42807.38958333333</v>
      </c>
      <c r="R130" s="19">
        <v>42807.388888888891</v>
      </c>
      <c r="S130" s="14" t="s">
        <v>203</v>
      </c>
      <c r="T130" s="14" t="s">
        <v>104</v>
      </c>
      <c r="U130" s="14" t="s">
        <v>96</v>
      </c>
      <c r="V130" s="14"/>
      <c r="W130" s="14">
        <v>0</v>
      </c>
      <c r="X130" s="14">
        <v>0</v>
      </c>
      <c r="Y130" s="20" t="s">
        <v>1394</v>
      </c>
      <c r="Z130" s="14"/>
      <c r="AA130" s="14"/>
      <c r="AB130" s="14"/>
      <c r="AC130" s="14"/>
      <c r="AD130" s="14"/>
      <c r="AE130" s="14"/>
      <c r="AF130" s="14" t="s">
        <v>1395</v>
      </c>
      <c r="AG130" s="14" t="s">
        <v>1396</v>
      </c>
      <c r="AH130" s="14"/>
      <c r="AI130" s="14"/>
      <c r="AJ130" s="14"/>
      <c r="AK130" s="14"/>
      <c r="AL130" s="14"/>
      <c r="AM130" s="14"/>
      <c r="AN130" s="14" t="s">
        <v>235</v>
      </c>
      <c r="AO130" s="14" t="s">
        <v>1397</v>
      </c>
      <c r="AP130" s="14" t="s">
        <v>146</v>
      </c>
      <c r="AQ130" s="14"/>
      <c r="AR130" s="22"/>
      <c r="AS130" s="22" t="s">
        <v>96</v>
      </c>
      <c r="AT130" s="22" t="s">
        <v>959</v>
      </c>
      <c r="AU130" s="25" t="str">
        <f>VLOOKUP(O130,[1]Lookup!A:B,2,FALSE)</f>
        <v>DMO</v>
      </c>
      <c r="AV130" s="25" t="e">
        <f>VLOOKUP(test1[[#This Row],[Assignee]],lookup[#All],2,FALSE)</f>
        <v>#N/A</v>
      </c>
      <c r="AW130" s="25">
        <f ca="1">IF(test1[[#This Row],[Status]]&lt;&gt;"Closed", TODAY()-INT(test1[[#This Row],[Created]]),INT(test1[[#This Row],[Resolved]])-INT(test1[[#This Row],[Created]]))</f>
        <v>56</v>
      </c>
    </row>
    <row r="131" spans="1:49" ht="409.5" x14ac:dyDescent="0.2">
      <c r="A131" s="48" t="s">
        <v>86</v>
      </c>
      <c r="B131" s="29" t="s">
        <v>1387</v>
      </c>
      <c r="C131" s="27" t="s">
        <v>1388</v>
      </c>
      <c r="D131" s="22" t="s">
        <v>117</v>
      </c>
      <c r="E131" s="22" t="s">
        <v>381</v>
      </c>
      <c r="F131" s="27"/>
      <c r="G131" s="27" t="s">
        <v>104</v>
      </c>
      <c r="H131" s="27"/>
      <c r="I131" s="27"/>
      <c r="J131" s="14" t="s">
        <v>91</v>
      </c>
      <c r="K131" s="14" t="s">
        <v>59</v>
      </c>
      <c r="L131" s="14" t="s">
        <v>167</v>
      </c>
      <c r="M131" s="14" t="s">
        <v>132</v>
      </c>
      <c r="N131" s="18" t="s">
        <v>23</v>
      </c>
      <c r="O131" s="14" t="s">
        <v>23</v>
      </c>
      <c r="P131" s="19">
        <v>42772.775694444441</v>
      </c>
      <c r="Q131" s="19">
        <v>42811.48541666667</v>
      </c>
      <c r="R131" s="19">
        <v>42773.814583333333</v>
      </c>
      <c r="S131" s="14" t="s">
        <v>518</v>
      </c>
      <c r="T131" s="14" t="s">
        <v>104</v>
      </c>
      <c r="U131" s="14" t="s">
        <v>117</v>
      </c>
      <c r="V131" s="14"/>
      <c r="W131" s="14">
        <v>0</v>
      </c>
      <c r="X131" s="14">
        <v>0</v>
      </c>
      <c r="Y131" s="14"/>
      <c r="Z131" s="14"/>
      <c r="AA131" s="14"/>
      <c r="AB131" s="14"/>
      <c r="AC131" s="14"/>
      <c r="AD131" s="14"/>
      <c r="AE131" s="14"/>
      <c r="AF131" s="14"/>
      <c r="AG131" s="14" t="s">
        <v>1389</v>
      </c>
      <c r="AH131" s="14"/>
      <c r="AI131" s="14"/>
      <c r="AJ131" s="14"/>
      <c r="AK131" s="14"/>
      <c r="AL131" s="14"/>
      <c r="AM131" s="14"/>
      <c r="AN131" s="14" t="s">
        <v>1390</v>
      </c>
      <c r="AO131" s="14" t="s">
        <v>1391</v>
      </c>
      <c r="AP131" s="14"/>
      <c r="AQ131" s="14"/>
      <c r="AR131" s="22"/>
      <c r="AS131" s="22" t="s">
        <v>117</v>
      </c>
      <c r="AT131" s="22" t="s">
        <v>381</v>
      </c>
      <c r="AU131" s="25" t="str">
        <f>VLOOKUP(O131,[1]Lookup!A:B,2,FALSE)</f>
        <v>Test-SIT</v>
      </c>
      <c r="AV131" s="25" t="str">
        <f>VLOOKUP(test1[[#This Row],[Assignee]],lookup[#All],2,FALSE)</f>
        <v>Test-SIT</v>
      </c>
      <c r="AW131" s="25">
        <f ca="1">IF(test1[[#This Row],[Status]]&lt;&gt;"Closed", TODAY()-INT(test1[[#This Row],[Created]]),INT(test1[[#This Row],[Resolved]])-INT(test1[[#This Row],[Created]]))</f>
        <v>56</v>
      </c>
    </row>
    <row r="132" spans="1:49" ht="71.25" x14ac:dyDescent="0.2">
      <c r="A132" s="48" t="s">
        <v>86</v>
      </c>
      <c r="B132" s="29" t="s">
        <v>1382</v>
      </c>
      <c r="C132" s="27" t="s">
        <v>1383</v>
      </c>
      <c r="D132" s="22" t="s">
        <v>241</v>
      </c>
      <c r="E132" s="22" t="s">
        <v>792</v>
      </c>
      <c r="F132" s="27"/>
      <c r="G132" s="27" t="s">
        <v>660</v>
      </c>
      <c r="H132" s="27"/>
      <c r="I132" s="27"/>
      <c r="J132" s="14" t="s">
        <v>91</v>
      </c>
      <c r="K132" s="14" t="s">
        <v>59</v>
      </c>
      <c r="L132" s="14" t="s">
        <v>103</v>
      </c>
      <c r="M132" s="14" t="s">
        <v>132</v>
      </c>
      <c r="N132" s="18" t="s">
        <v>22</v>
      </c>
      <c r="O132" s="14" t="s">
        <v>27</v>
      </c>
      <c r="P132" s="19">
        <v>42772.861805555556</v>
      </c>
      <c r="Q132" s="19">
        <v>42778.617361111108</v>
      </c>
      <c r="R132" s="19">
        <v>42778.617361111108</v>
      </c>
      <c r="S132" s="14" t="s">
        <v>139</v>
      </c>
      <c r="T132" s="14" t="s">
        <v>660</v>
      </c>
      <c r="U132" s="14" t="s">
        <v>241</v>
      </c>
      <c r="V132" s="14"/>
      <c r="W132" s="14">
        <v>0</v>
      </c>
      <c r="X132" s="14">
        <v>0</v>
      </c>
      <c r="Y132" s="14"/>
      <c r="Z132" s="14"/>
      <c r="AA132" s="14"/>
      <c r="AB132" s="14"/>
      <c r="AC132" s="14"/>
      <c r="AD132" s="14"/>
      <c r="AE132" s="14"/>
      <c r="AF132" s="14" t="s">
        <v>1384</v>
      </c>
      <c r="AG132" s="14" t="s">
        <v>1385</v>
      </c>
      <c r="AH132" s="14"/>
      <c r="AI132" s="14"/>
      <c r="AJ132" s="14"/>
      <c r="AK132" s="14"/>
      <c r="AL132" s="14"/>
      <c r="AM132" s="14"/>
      <c r="AN132" s="14"/>
      <c r="AO132" s="14" t="s">
        <v>1386</v>
      </c>
      <c r="AP132" s="14" t="s">
        <v>146</v>
      </c>
      <c r="AQ132" s="14"/>
      <c r="AR132" s="22"/>
      <c r="AS132" s="22" t="s">
        <v>241</v>
      </c>
      <c r="AT132" s="22" t="s">
        <v>792</v>
      </c>
      <c r="AU132" s="25" t="str">
        <f>VLOOKUP(O132,[1]Lookup!A:B,2,FALSE)</f>
        <v>BTS-Dev</v>
      </c>
      <c r="AV132" s="25" t="str">
        <f>VLOOKUP(test1[[#This Row],[Assignee]],lookup[#All],2,FALSE)</f>
        <v>Test-SIT</v>
      </c>
      <c r="AW132" s="25">
        <f ca="1">IF(test1[[#This Row],[Status]]&lt;&gt;"Closed", TODAY()-INT(test1[[#This Row],[Created]]),INT(test1[[#This Row],[Resolved]])-INT(test1[[#This Row],[Created]]))</f>
        <v>56</v>
      </c>
    </row>
    <row r="133" spans="1:49" ht="409.5" x14ac:dyDescent="0.2">
      <c r="A133" s="48" t="s">
        <v>86</v>
      </c>
      <c r="B133" s="29" t="s">
        <v>1377</v>
      </c>
      <c r="C133" s="27" t="s">
        <v>1378</v>
      </c>
      <c r="D133" s="22" t="s">
        <v>89</v>
      </c>
      <c r="E133" s="22" t="s">
        <v>477</v>
      </c>
      <c r="F133" s="26" t="s">
        <v>1379</v>
      </c>
      <c r="G133" s="26" t="s">
        <v>312</v>
      </c>
      <c r="H133" s="26"/>
      <c r="I133" s="26" t="s">
        <v>527</v>
      </c>
      <c r="J133" s="14" t="s">
        <v>91</v>
      </c>
      <c r="K133" s="14" t="s">
        <v>110</v>
      </c>
      <c r="L133" s="14" t="s">
        <v>103</v>
      </c>
      <c r="M133" s="17" t="s">
        <v>94</v>
      </c>
      <c r="N133" s="18" t="s">
        <v>29</v>
      </c>
      <c r="O133" s="14" t="s">
        <v>29</v>
      </c>
      <c r="P133" s="19">
        <v>42773.418749999997</v>
      </c>
      <c r="Q133" s="19">
        <v>42812.844444444447</v>
      </c>
      <c r="R133" s="14"/>
      <c r="S133" s="14" t="s">
        <v>1346</v>
      </c>
      <c r="T133" s="14" t="s">
        <v>312</v>
      </c>
      <c r="U133" s="14" t="s">
        <v>89</v>
      </c>
      <c r="V133" s="14"/>
      <c r="W133" s="14">
        <v>0</v>
      </c>
      <c r="X133" s="14">
        <v>0</v>
      </c>
      <c r="Y133" s="14"/>
      <c r="Z133" s="14"/>
      <c r="AA133" s="14"/>
      <c r="AB133" s="14"/>
      <c r="AC133" s="14"/>
      <c r="AD133" s="14"/>
      <c r="AE133" s="14" t="s">
        <v>1380</v>
      </c>
      <c r="AF133" s="14" t="s">
        <v>480</v>
      </c>
      <c r="AG133" s="14" t="s">
        <v>1381</v>
      </c>
      <c r="AH133" s="14"/>
      <c r="AI133" s="14"/>
      <c r="AJ133" s="14"/>
      <c r="AK133" s="14"/>
      <c r="AL133" s="14"/>
      <c r="AM133" s="14"/>
      <c r="AN133" s="14" t="s">
        <v>408</v>
      </c>
      <c r="AO133" s="14"/>
      <c r="AP133" s="14" t="s">
        <v>146</v>
      </c>
      <c r="AQ133" s="14"/>
      <c r="AR133" s="22"/>
      <c r="AS133" s="22" t="s">
        <v>89</v>
      </c>
      <c r="AT133" s="22" t="s">
        <v>477</v>
      </c>
      <c r="AU133" s="25" t="str">
        <f>VLOOKUP(O133,[1]Lookup!A:B,2,FALSE)</f>
        <v>BTS-Platform</v>
      </c>
      <c r="AV133" s="25" t="str">
        <f>VLOOKUP(test1[[#This Row],[Assignee]],lookup[#All],2,FALSE)</f>
        <v>BTS-Platform</v>
      </c>
      <c r="AW133" s="25">
        <f ca="1">IF(test1[[#This Row],[Status]]&lt;&gt;"Closed", TODAY()-INT(test1[[#This Row],[Created]]),INT(test1[[#This Row],[Resolved]])-INT(test1[[#This Row],[Created]]))</f>
        <v>55</v>
      </c>
    </row>
    <row r="134" spans="1:49" ht="156.75" x14ac:dyDescent="0.2">
      <c r="A134" s="48" t="s">
        <v>86</v>
      </c>
      <c r="B134" s="29" t="s">
        <v>1372</v>
      </c>
      <c r="C134" s="27" t="s">
        <v>1373</v>
      </c>
      <c r="D134" s="22" t="s">
        <v>89</v>
      </c>
      <c r="E134" s="22" t="s">
        <v>611</v>
      </c>
      <c r="F134" s="27"/>
      <c r="G134" s="27" t="s">
        <v>660</v>
      </c>
      <c r="H134" s="27"/>
      <c r="I134" s="27"/>
      <c r="J134" s="14" t="s">
        <v>91</v>
      </c>
      <c r="K134" s="14" t="s">
        <v>59</v>
      </c>
      <c r="L134" s="14" t="s">
        <v>93</v>
      </c>
      <c r="M134" s="14" t="s">
        <v>132</v>
      </c>
      <c r="N134" s="18" t="s">
        <v>22</v>
      </c>
      <c r="O134" s="14" t="s">
        <v>21</v>
      </c>
      <c r="P134" s="19">
        <v>42773.45208333333</v>
      </c>
      <c r="Q134" s="19">
        <v>42779.382638888892</v>
      </c>
      <c r="R134" s="19">
        <v>42779.382638888892</v>
      </c>
      <c r="S134" s="14" t="s">
        <v>139</v>
      </c>
      <c r="T134" s="14" t="s">
        <v>660</v>
      </c>
      <c r="U134" s="14" t="s">
        <v>96</v>
      </c>
      <c r="V134" s="14"/>
      <c r="W134" s="14">
        <v>0</v>
      </c>
      <c r="X134" s="14">
        <v>0</v>
      </c>
      <c r="Y134" s="14"/>
      <c r="Z134" s="14"/>
      <c r="AA134" s="14"/>
      <c r="AB134" s="14"/>
      <c r="AC134" s="14"/>
      <c r="AD134" s="14"/>
      <c r="AE134" s="14" t="s">
        <v>931</v>
      </c>
      <c r="AF134" s="14" t="s">
        <v>1374</v>
      </c>
      <c r="AG134" s="14" t="s">
        <v>1375</v>
      </c>
      <c r="AH134" s="14"/>
      <c r="AI134" s="14"/>
      <c r="AJ134" s="14"/>
      <c r="AK134" s="14"/>
      <c r="AL134" s="14"/>
      <c r="AM134" s="14"/>
      <c r="AN134" s="14"/>
      <c r="AO134" s="14" t="s">
        <v>1376</v>
      </c>
      <c r="AP134" s="14"/>
      <c r="AQ134" s="14"/>
      <c r="AR134" s="22"/>
      <c r="AS134" s="22" t="s">
        <v>89</v>
      </c>
      <c r="AT134" s="22" t="s">
        <v>611</v>
      </c>
      <c r="AU134" s="25" t="str">
        <f>VLOOKUP(O134,[1]Lookup!A:B,2,FALSE)</f>
        <v>Test-SIT</v>
      </c>
      <c r="AV134" s="25" t="str">
        <f>VLOOKUP(test1[[#This Row],[Assignee]],lookup[#All],2,FALSE)</f>
        <v>Test-SIT</v>
      </c>
      <c r="AW134" s="25">
        <f ca="1">IF(test1[[#This Row],[Status]]&lt;&gt;"Closed", TODAY()-INT(test1[[#This Row],[Created]]),INT(test1[[#This Row],[Resolved]])-INT(test1[[#This Row],[Created]]))</f>
        <v>55</v>
      </c>
    </row>
    <row r="135" spans="1:49" ht="85.5" x14ac:dyDescent="0.2">
      <c r="A135" s="48" t="s">
        <v>86</v>
      </c>
      <c r="B135" s="29" t="s">
        <v>1365</v>
      </c>
      <c r="C135" s="27" t="s">
        <v>1366</v>
      </c>
      <c r="D135" s="22" t="s">
        <v>89</v>
      </c>
      <c r="E135" s="22" t="s">
        <v>1367</v>
      </c>
      <c r="F135" s="37" t="s">
        <v>104</v>
      </c>
      <c r="G135" s="26" t="s">
        <v>312</v>
      </c>
      <c r="H135" s="37" t="s">
        <v>104</v>
      </c>
      <c r="I135" s="37" t="s">
        <v>553</v>
      </c>
      <c r="J135" s="14" t="s">
        <v>91</v>
      </c>
      <c r="K135" s="14" t="s">
        <v>59</v>
      </c>
      <c r="L135" s="14" t="s">
        <v>93</v>
      </c>
      <c r="M135" s="14" t="s">
        <v>132</v>
      </c>
      <c r="N135" s="18" t="s">
        <v>36</v>
      </c>
      <c r="O135" s="14" t="s">
        <v>36</v>
      </c>
      <c r="P135" s="19">
        <v>42773.477777777778</v>
      </c>
      <c r="Q135" s="19">
        <v>42804.772916666669</v>
      </c>
      <c r="R135" s="19">
        <v>42804.772916666669</v>
      </c>
      <c r="S135" s="14" t="s">
        <v>203</v>
      </c>
      <c r="T135" s="14" t="s">
        <v>528</v>
      </c>
      <c r="U135" s="14" t="s">
        <v>96</v>
      </c>
      <c r="V135" s="14"/>
      <c r="W135" s="14">
        <v>0</v>
      </c>
      <c r="X135" s="14">
        <v>0</v>
      </c>
      <c r="Y135" s="14" t="s">
        <v>1368</v>
      </c>
      <c r="Z135" s="14"/>
      <c r="AA135" s="14"/>
      <c r="AB135" s="14"/>
      <c r="AC135" s="14"/>
      <c r="AD135" s="14"/>
      <c r="AE135" s="14"/>
      <c r="AF135" s="14" t="s">
        <v>126</v>
      </c>
      <c r="AG135" s="14" t="s">
        <v>1369</v>
      </c>
      <c r="AH135" s="14"/>
      <c r="AI135" s="14"/>
      <c r="AJ135" s="14"/>
      <c r="AK135" s="14"/>
      <c r="AL135" s="14"/>
      <c r="AM135" s="14"/>
      <c r="AN135" s="14" t="s">
        <v>1370</v>
      </c>
      <c r="AO135" s="14" t="s">
        <v>381</v>
      </c>
      <c r="AP135" s="14" t="s">
        <v>146</v>
      </c>
      <c r="AQ135" s="14"/>
      <c r="AR135" s="22"/>
      <c r="AS135" s="22" t="s">
        <v>89</v>
      </c>
      <c r="AT135" s="22" t="s">
        <v>1371</v>
      </c>
      <c r="AU135" s="25" t="str">
        <f>VLOOKUP(O135,[1]Lookup!A:B,2,FALSE)</f>
        <v>DMO</v>
      </c>
      <c r="AV135" s="25" t="str">
        <f>VLOOKUP(test1[[#This Row],[Assignee]],lookup[#All],2,FALSE)</f>
        <v>DMO</v>
      </c>
      <c r="AW135" s="25">
        <f ca="1">IF(test1[[#This Row],[Status]]&lt;&gt;"Closed", TODAY()-INT(test1[[#This Row],[Created]]),INT(test1[[#This Row],[Resolved]])-INT(test1[[#This Row],[Created]]))</f>
        <v>55</v>
      </c>
    </row>
    <row r="136" spans="1:49" ht="384.75" x14ac:dyDescent="0.2">
      <c r="A136" s="48" t="s">
        <v>86</v>
      </c>
      <c r="B136" s="29" t="s">
        <v>1361</v>
      </c>
      <c r="C136" s="27" t="s">
        <v>1362</v>
      </c>
      <c r="D136" s="22" t="s">
        <v>117</v>
      </c>
      <c r="E136" s="22" t="s">
        <v>261</v>
      </c>
      <c r="F136" s="27"/>
      <c r="G136" s="27" t="s">
        <v>518</v>
      </c>
      <c r="H136" s="27"/>
      <c r="I136" s="27"/>
      <c r="J136" s="14" t="s">
        <v>91</v>
      </c>
      <c r="K136" s="14" t="s">
        <v>59</v>
      </c>
      <c r="L136" s="14" t="s">
        <v>167</v>
      </c>
      <c r="M136" s="14" t="s">
        <v>132</v>
      </c>
      <c r="N136" s="18" t="s">
        <v>23</v>
      </c>
      <c r="O136" s="14" t="s">
        <v>24</v>
      </c>
      <c r="P136" s="19">
        <v>42773.482638888891</v>
      </c>
      <c r="Q136" s="19">
        <v>42800.61041666667</v>
      </c>
      <c r="R136" s="19">
        <v>42780.40347222222</v>
      </c>
      <c r="S136" s="14" t="s">
        <v>139</v>
      </c>
      <c r="T136" s="14" t="s">
        <v>660</v>
      </c>
      <c r="U136" s="14" t="s">
        <v>117</v>
      </c>
      <c r="V136" s="14"/>
      <c r="W136" s="14">
        <v>0</v>
      </c>
      <c r="X136" s="14">
        <v>0</v>
      </c>
      <c r="Y136" s="14"/>
      <c r="Z136" s="14"/>
      <c r="AA136" s="14"/>
      <c r="AB136" s="14"/>
      <c r="AC136" s="14"/>
      <c r="AD136" s="14"/>
      <c r="AE136" s="14"/>
      <c r="AF136" s="14" t="s">
        <v>156</v>
      </c>
      <c r="AG136" s="14" t="s">
        <v>1363</v>
      </c>
      <c r="AH136" s="14"/>
      <c r="AI136" s="14"/>
      <c r="AJ136" s="14"/>
      <c r="AK136" s="14"/>
      <c r="AL136" s="14"/>
      <c r="AM136" s="14"/>
      <c r="AN136" s="14" t="s">
        <v>261</v>
      </c>
      <c r="AO136" s="14" t="s">
        <v>1364</v>
      </c>
      <c r="AP136" s="14"/>
      <c r="AQ136" s="14"/>
      <c r="AR136" s="22"/>
      <c r="AS136" s="22" t="s">
        <v>117</v>
      </c>
      <c r="AT136" s="22" t="s">
        <v>261</v>
      </c>
      <c r="AU136" s="25" t="str">
        <f>VLOOKUP(O136,[1]Lookup!A:B,2,FALSE)</f>
        <v>Test-SIT</v>
      </c>
      <c r="AV136" s="25" t="str">
        <f>VLOOKUP(test1[[#This Row],[Assignee]],lookup[#All],2,FALSE)</f>
        <v>Test-SIT</v>
      </c>
      <c r="AW136" s="25">
        <f ca="1">IF(test1[[#This Row],[Status]]&lt;&gt;"Closed", TODAY()-INT(test1[[#This Row],[Created]]),INT(test1[[#This Row],[Resolved]])-INT(test1[[#This Row],[Created]]))</f>
        <v>55</v>
      </c>
    </row>
    <row r="137" spans="1:49" ht="409.5" x14ac:dyDescent="0.2">
      <c r="A137" s="48" t="s">
        <v>86</v>
      </c>
      <c r="B137" s="29" t="s">
        <v>1356</v>
      </c>
      <c r="C137" s="27" t="s">
        <v>1357</v>
      </c>
      <c r="D137" s="22" t="s">
        <v>89</v>
      </c>
      <c r="E137" s="22" t="s">
        <v>1055</v>
      </c>
      <c r="F137" s="37" t="s">
        <v>104</v>
      </c>
      <c r="G137" s="37" t="s">
        <v>528</v>
      </c>
      <c r="H137" s="37" t="s">
        <v>104</v>
      </c>
      <c r="I137" s="37" t="s">
        <v>553</v>
      </c>
      <c r="J137" s="14" t="s">
        <v>91</v>
      </c>
      <c r="K137" s="14" t="s">
        <v>59</v>
      </c>
      <c r="L137" s="14" t="s">
        <v>93</v>
      </c>
      <c r="M137" s="14" t="s">
        <v>132</v>
      </c>
      <c r="N137" s="18" t="s">
        <v>202</v>
      </c>
      <c r="O137" s="14" t="s">
        <v>37</v>
      </c>
      <c r="P137" s="19">
        <v>42773.57708333333</v>
      </c>
      <c r="Q137" s="19">
        <v>42796.478472222225</v>
      </c>
      <c r="R137" s="19">
        <v>42796.478472222225</v>
      </c>
      <c r="S137" s="14" t="s">
        <v>203</v>
      </c>
      <c r="T137" s="14" t="s">
        <v>528</v>
      </c>
      <c r="U137" s="14" t="s">
        <v>96</v>
      </c>
      <c r="V137" s="14"/>
      <c r="W137" s="14">
        <v>0</v>
      </c>
      <c r="X137" s="14">
        <v>0</v>
      </c>
      <c r="Y137" s="14" t="s">
        <v>1358</v>
      </c>
      <c r="Z137" s="14"/>
      <c r="AA137" s="14"/>
      <c r="AB137" s="14"/>
      <c r="AC137" s="14"/>
      <c r="AD137" s="14"/>
      <c r="AE137" s="14"/>
      <c r="AF137" s="14" t="s">
        <v>851</v>
      </c>
      <c r="AG137" s="14" t="s">
        <v>1359</v>
      </c>
      <c r="AH137" s="14"/>
      <c r="AI137" s="14"/>
      <c r="AJ137" s="14"/>
      <c r="AK137" s="14"/>
      <c r="AL137" s="14"/>
      <c r="AM137" s="14"/>
      <c r="AN137" s="14" t="s">
        <v>594</v>
      </c>
      <c r="AO137" s="14" t="s">
        <v>1360</v>
      </c>
      <c r="AP137" s="14" t="s">
        <v>146</v>
      </c>
      <c r="AQ137" s="14"/>
      <c r="AR137" s="22"/>
      <c r="AS137" s="22" t="s">
        <v>89</v>
      </c>
      <c r="AT137" s="22" t="s">
        <v>1055</v>
      </c>
      <c r="AU137" s="25" t="str">
        <f>VLOOKUP(O137,[1]Lookup!A:B,2,FALSE)</f>
        <v>DMO</v>
      </c>
      <c r="AV137" s="25" t="e">
        <f>VLOOKUP(test1[[#This Row],[Assignee]],lookup[#All],2,FALSE)</f>
        <v>#N/A</v>
      </c>
      <c r="AW137" s="25">
        <f ca="1">IF(test1[[#This Row],[Status]]&lt;&gt;"Closed", TODAY()-INT(test1[[#This Row],[Created]]),INT(test1[[#This Row],[Resolved]])-INT(test1[[#This Row],[Created]]))</f>
        <v>55</v>
      </c>
    </row>
    <row r="138" spans="1:49" ht="228" x14ac:dyDescent="0.2">
      <c r="A138" s="48" t="s">
        <v>86</v>
      </c>
      <c r="B138" s="29" t="s">
        <v>1353</v>
      </c>
      <c r="C138" s="27" t="s">
        <v>1354</v>
      </c>
      <c r="D138" s="22" t="s">
        <v>117</v>
      </c>
      <c r="E138" s="22" t="s">
        <v>398</v>
      </c>
      <c r="F138" s="27"/>
      <c r="G138" s="27" t="s">
        <v>139</v>
      </c>
      <c r="H138" s="27"/>
      <c r="I138" s="27"/>
      <c r="J138" s="14" t="s">
        <v>91</v>
      </c>
      <c r="K138" s="14" t="s">
        <v>59</v>
      </c>
      <c r="L138" s="14" t="s">
        <v>93</v>
      </c>
      <c r="M138" s="14" t="s">
        <v>132</v>
      </c>
      <c r="N138" s="18" t="s">
        <v>23</v>
      </c>
      <c r="O138" s="14" t="s">
        <v>24</v>
      </c>
      <c r="P138" s="19">
        <v>42773.581250000003</v>
      </c>
      <c r="Q138" s="19">
        <v>42775.688888888886</v>
      </c>
      <c r="R138" s="19">
        <v>42775.688888888886</v>
      </c>
      <c r="S138" s="14" t="s">
        <v>139</v>
      </c>
      <c r="T138" s="14" t="s">
        <v>139</v>
      </c>
      <c r="U138" s="14" t="s">
        <v>117</v>
      </c>
      <c r="V138" s="14"/>
      <c r="W138" s="14">
        <v>0</v>
      </c>
      <c r="X138" s="14">
        <v>0</v>
      </c>
      <c r="Y138" s="14"/>
      <c r="Z138" s="14"/>
      <c r="AA138" s="14"/>
      <c r="AB138" s="14"/>
      <c r="AC138" s="14"/>
      <c r="AD138" s="14"/>
      <c r="AE138" s="14"/>
      <c r="AF138" s="14" t="s">
        <v>143</v>
      </c>
      <c r="AG138" s="14" t="s">
        <v>1355</v>
      </c>
      <c r="AH138" s="14"/>
      <c r="AI138" s="14"/>
      <c r="AJ138" s="14"/>
      <c r="AK138" s="14"/>
      <c r="AL138" s="14"/>
      <c r="AM138" s="14"/>
      <c r="AN138" s="14" t="s">
        <v>362</v>
      </c>
      <c r="AO138" s="14"/>
      <c r="AP138" s="14"/>
      <c r="AQ138" s="14"/>
      <c r="AR138" s="22"/>
      <c r="AS138" s="22" t="s">
        <v>117</v>
      </c>
      <c r="AT138" s="22" t="s">
        <v>398</v>
      </c>
      <c r="AU138" s="25" t="str">
        <f>VLOOKUP(O138,[1]Lookup!A:B,2,FALSE)</f>
        <v>Test-SIT</v>
      </c>
      <c r="AV138" s="25" t="str">
        <f>VLOOKUP(test1[[#This Row],[Assignee]],lookup[#All],2,FALSE)</f>
        <v>Test-SIT</v>
      </c>
      <c r="AW138" s="25">
        <f ca="1">IF(test1[[#This Row],[Status]]&lt;&gt;"Closed", TODAY()-INT(test1[[#This Row],[Created]]),INT(test1[[#This Row],[Resolved]])-INT(test1[[#This Row],[Created]]))</f>
        <v>55</v>
      </c>
    </row>
    <row r="139" spans="1:49" ht="342" x14ac:dyDescent="0.2">
      <c r="A139" s="48" t="s">
        <v>86</v>
      </c>
      <c r="B139" s="29" t="s">
        <v>1349</v>
      </c>
      <c r="C139" s="27" t="s">
        <v>1350</v>
      </c>
      <c r="D139" s="22" t="s">
        <v>130</v>
      </c>
      <c r="E139" s="22" t="s">
        <v>692</v>
      </c>
      <c r="F139" s="27"/>
      <c r="G139" s="27" t="s">
        <v>660</v>
      </c>
      <c r="H139" s="27"/>
      <c r="I139" s="27"/>
      <c r="J139" s="14" t="s">
        <v>91</v>
      </c>
      <c r="K139" s="14" t="s">
        <v>59</v>
      </c>
      <c r="L139" s="14" t="s">
        <v>93</v>
      </c>
      <c r="M139" s="14" t="s">
        <v>132</v>
      </c>
      <c r="N139" s="18" t="s">
        <v>21</v>
      </c>
      <c r="O139" s="14" t="s">
        <v>21</v>
      </c>
      <c r="P139" s="19">
        <v>42773.581944444442</v>
      </c>
      <c r="Q139" s="19">
        <v>42778.783333333333</v>
      </c>
      <c r="R139" s="19">
        <v>42778.783333333333</v>
      </c>
      <c r="S139" s="14" t="s">
        <v>139</v>
      </c>
      <c r="T139" s="14" t="s">
        <v>660</v>
      </c>
      <c r="U139" s="14" t="s">
        <v>130</v>
      </c>
      <c r="V139" s="28">
        <v>42773</v>
      </c>
      <c r="W139" s="14">
        <v>0</v>
      </c>
      <c r="X139" s="14">
        <v>0</v>
      </c>
      <c r="Y139" s="14"/>
      <c r="Z139" s="14"/>
      <c r="AA139" s="14"/>
      <c r="AB139" s="14"/>
      <c r="AC139" s="14"/>
      <c r="AD139" s="14"/>
      <c r="AE139" s="14"/>
      <c r="AF139" s="14" t="s">
        <v>258</v>
      </c>
      <c r="AG139" s="14" t="s">
        <v>1351</v>
      </c>
      <c r="AH139" s="14"/>
      <c r="AI139" s="14"/>
      <c r="AJ139" s="14"/>
      <c r="AK139" s="14"/>
      <c r="AL139" s="14"/>
      <c r="AM139" s="14"/>
      <c r="AN139" s="14"/>
      <c r="AO139" s="14" t="s">
        <v>1352</v>
      </c>
      <c r="AP139" s="14"/>
      <c r="AQ139" s="14"/>
      <c r="AR139" s="22"/>
      <c r="AS139" s="22" t="s">
        <v>130</v>
      </c>
      <c r="AT139" s="22" t="s">
        <v>692</v>
      </c>
      <c r="AU139" s="25" t="str">
        <f>VLOOKUP(O139,[1]Lookup!A:B,2,FALSE)</f>
        <v>Test-SIT</v>
      </c>
      <c r="AV139" s="25" t="str">
        <f>VLOOKUP(test1[[#This Row],[Assignee]],lookup[#All],2,FALSE)</f>
        <v>Test-SIT</v>
      </c>
      <c r="AW139" s="25">
        <f ca="1">IF(test1[[#This Row],[Status]]&lt;&gt;"Closed", TODAY()-INT(test1[[#This Row],[Created]]),INT(test1[[#This Row],[Resolved]])-INT(test1[[#This Row],[Created]]))</f>
        <v>55</v>
      </c>
    </row>
    <row r="140" spans="1:49" ht="409.5" x14ac:dyDescent="0.2">
      <c r="A140" s="48" t="s">
        <v>86</v>
      </c>
      <c r="B140" s="29" t="s">
        <v>1344</v>
      </c>
      <c r="C140" s="26" t="s">
        <v>1345</v>
      </c>
      <c r="D140" s="22" t="s">
        <v>89</v>
      </c>
      <c r="E140" s="22" t="s">
        <v>261</v>
      </c>
      <c r="F140" s="26" t="s">
        <v>678</v>
      </c>
      <c r="G140" s="27" t="s">
        <v>261</v>
      </c>
      <c r="H140" s="26" t="s">
        <v>679</v>
      </c>
      <c r="I140" s="26" t="s">
        <v>527</v>
      </c>
      <c r="J140" s="14" t="s">
        <v>91</v>
      </c>
      <c r="K140" s="14" t="s">
        <v>110</v>
      </c>
      <c r="L140" s="14" t="s">
        <v>103</v>
      </c>
      <c r="M140" s="17" t="s">
        <v>94</v>
      </c>
      <c r="N140" s="18" t="s">
        <v>29</v>
      </c>
      <c r="O140" s="14" t="s">
        <v>29</v>
      </c>
      <c r="P140" s="19">
        <v>42773.586111111108</v>
      </c>
      <c r="Q140" s="19">
        <v>42809.495833333334</v>
      </c>
      <c r="R140" s="14"/>
      <c r="S140" s="14" t="s">
        <v>1346</v>
      </c>
      <c r="T140" s="14" t="s">
        <v>155</v>
      </c>
      <c r="U140" s="14" t="s">
        <v>89</v>
      </c>
      <c r="V140" s="14"/>
      <c r="W140" s="14">
        <v>0</v>
      </c>
      <c r="X140" s="14">
        <v>0</v>
      </c>
      <c r="Y140" s="14"/>
      <c r="Z140" s="14"/>
      <c r="AA140" s="14"/>
      <c r="AB140" s="14"/>
      <c r="AC140" s="14"/>
      <c r="AD140" s="14"/>
      <c r="AE140" s="14"/>
      <c r="AF140" s="14" t="s">
        <v>1347</v>
      </c>
      <c r="AG140" s="14" t="s">
        <v>1348</v>
      </c>
      <c r="AH140" s="14"/>
      <c r="AI140" s="14"/>
      <c r="AJ140" s="14"/>
      <c r="AK140" s="14"/>
      <c r="AL140" s="14"/>
      <c r="AM140" s="14"/>
      <c r="AN140" s="14" t="s">
        <v>261</v>
      </c>
      <c r="AO140" s="14"/>
      <c r="AP140" s="14" t="s">
        <v>146</v>
      </c>
      <c r="AQ140" s="14"/>
      <c r="AR140" s="22"/>
      <c r="AS140" s="22" t="s">
        <v>89</v>
      </c>
      <c r="AT140" s="22" t="s">
        <v>677</v>
      </c>
      <c r="AU140" s="25" t="str">
        <f>VLOOKUP(O140,[1]Lookup!A:B,2,FALSE)</f>
        <v>BTS-Platform</v>
      </c>
      <c r="AV140" s="25" t="str">
        <f>VLOOKUP(test1[[#This Row],[Assignee]],lookup[#All],2,FALSE)</f>
        <v>BTS-Platform</v>
      </c>
      <c r="AW140" s="25">
        <f ca="1">IF(test1[[#This Row],[Status]]&lt;&gt;"Closed", TODAY()-INT(test1[[#This Row],[Created]]),INT(test1[[#This Row],[Resolved]])-INT(test1[[#This Row],[Created]]))</f>
        <v>55</v>
      </c>
    </row>
    <row r="141" spans="1:49" ht="409.5" x14ac:dyDescent="0.2">
      <c r="A141" s="48" t="s">
        <v>86</v>
      </c>
      <c r="B141" s="29" t="s">
        <v>1339</v>
      </c>
      <c r="C141" s="27" t="s">
        <v>1340</v>
      </c>
      <c r="D141" s="22" t="s">
        <v>89</v>
      </c>
      <c r="E141" s="22" t="s">
        <v>193</v>
      </c>
      <c r="F141" s="30" t="s">
        <v>516</v>
      </c>
      <c r="G141" s="26" t="s">
        <v>373</v>
      </c>
      <c r="H141" s="30" t="s">
        <v>104</v>
      </c>
      <c r="I141" s="30" t="s">
        <v>836</v>
      </c>
      <c r="J141" s="14" t="s">
        <v>91</v>
      </c>
      <c r="K141" s="14" t="s">
        <v>59</v>
      </c>
      <c r="L141" s="14" t="s">
        <v>167</v>
      </c>
      <c r="M141" s="14" t="s">
        <v>132</v>
      </c>
      <c r="N141" s="18" t="s">
        <v>36</v>
      </c>
      <c r="O141" s="14" t="s">
        <v>36</v>
      </c>
      <c r="P141" s="19">
        <v>42773.62777777778</v>
      </c>
      <c r="Q141" s="19">
        <v>42808.632638888892</v>
      </c>
      <c r="R141" s="19">
        <v>42808.632638888892</v>
      </c>
      <c r="S141" s="14" t="s">
        <v>203</v>
      </c>
      <c r="T141" s="14" t="s">
        <v>438</v>
      </c>
      <c r="U141" s="14" t="s">
        <v>96</v>
      </c>
      <c r="V141" s="14"/>
      <c r="W141" s="14">
        <v>0</v>
      </c>
      <c r="X141" s="14">
        <v>0</v>
      </c>
      <c r="Y141" s="20" t="s">
        <v>1341</v>
      </c>
      <c r="Z141" s="14"/>
      <c r="AA141" s="14"/>
      <c r="AB141" s="14"/>
      <c r="AC141" s="14"/>
      <c r="AD141" s="14"/>
      <c r="AE141" s="14"/>
      <c r="AF141" s="14" t="s">
        <v>126</v>
      </c>
      <c r="AG141" s="14" t="s">
        <v>1342</v>
      </c>
      <c r="AH141" s="14"/>
      <c r="AI141" s="14"/>
      <c r="AJ141" s="14"/>
      <c r="AK141" s="14"/>
      <c r="AL141" s="14"/>
      <c r="AM141" s="14"/>
      <c r="AN141" s="14" t="s">
        <v>1343</v>
      </c>
      <c r="AO141" s="14" t="s">
        <v>1046</v>
      </c>
      <c r="AP141" s="14" t="s">
        <v>146</v>
      </c>
      <c r="AQ141" s="14"/>
      <c r="AR141" s="22"/>
      <c r="AS141" s="22" t="s">
        <v>89</v>
      </c>
      <c r="AT141" s="22" t="s">
        <v>193</v>
      </c>
      <c r="AU141" s="25" t="str">
        <f>VLOOKUP(O141,[1]Lookup!A:B,2,FALSE)</f>
        <v>DMO</v>
      </c>
      <c r="AV141" s="25" t="str">
        <f>VLOOKUP(test1[[#This Row],[Assignee]],lookup[#All],2,FALSE)</f>
        <v>DMO</v>
      </c>
      <c r="AW141" s="25">
        <f ca="1">IF(test1[[#This Row],[Status]]&lt;&gt;"Closed", TODAY()-INT(test1[[#This Row],[Created]]),INT(test1[[#This Row],[Resolved]])-INT(test1[[#This Row],[Created]]))</f>
        <v>55</v>
      </c>
    </row>
    <row r="142" spans="1:49" ht="409.5" x14ac:dyDescent="0.2">
      <c r="A142" s="48" t="s">
        <v>86</v>
      </c>
      <c r="B142" s="29" t="s">
        <v>1335</v>
      </c>
      <c r="C142" s="27" t="s">
        <v>1336</v>
      </c>
      <c r="D142" s="22" t="s">
        <v>229</v>
      </c>
      <c r="E142" s="22" t="s">
        <v>229</v>
      </c>
      <c r="F142" s="27"/>
      <c r="G142" s="27" t="s">
        <v>204</v>
      </c>
      <c r="H142" s="27"/>
      <c r="I142" s="27"/>
      <c r="J142" s="14" t="s">
        <v>91</v>
      </c>
      <c r="K142" s="14" t="s">
        <v>59</v>
      </c>
      <c r="L142" s="14" t="s">
        <v>93</v>
      </c>
      <c r="M142" s="14" t="s">
        <v>132</v>
      </c>
      <c r="N142" s="18" t="s">
        <v>202</v>
      </c>
      <c r="O142" s="14" t="s">
        <v>37</v>
      </c>
      <c r="P142" s="19">
        <v>42773.635416666664</v>
      </c>
      <c r="Q142" s="19">
        <v>42799.829861111109</v>
      </c>
      <c r="R142" s="19">
        <v>42775.65625</v>
      </c>
      <c r="S142" s="14" t="s">
        <v>203</v>
      </c>
      <c r="T142" s="14" t="s">
        <v>204</v>
      </c>
      <c r="U142" s="14" t="s">
        <v>96</v>
      </c>
      <c r="V142" s="14"/>
      <c r="W142" s="14">
        <v>0</v>
      </c>
      <c r="X142" s="14">
        <v>0</v>
      </c>
      <c r="Y142" s="14"/>
      <c r="Z142" s="14"/>
      <c r="AA142" s="14"/>
      <c r="AB142" s="14"/>
      <c r="AC142" s="14"/>
      <c r="AD142" s="14"/>
      <c r="AE142" s="14"/>
      <c r="AF142" s="14" t="s">
        <v>851</v>
      </c>
      <c r="AG142" s="14" t="s">
        <v>1337</v>
      </c>
      <c r="AH142" s="14"/>
      <c r="AI142" s="14"/>
      <c r="AJ142" s="14"/>
      <c r="AK142" s="14"/>
      <c r="AL142" s="14"/>
      <c r="AM142" s="14"/>
      <c r="AN142" s="14" t="s">
        <v>283</v>
      </c>
      <c r="AO142" s="14" t="s">
        <v>1338</v>
      </c>
      <c r="AP142" s="14" t="s">
        <v>146</v>
      </c>
      <c r="AQ142" s="14"/>
      <c r="AR142" s="22"/>
      <c r="AS142" s="22" t="s">
        <v>96</v>
      </c>
      <c r="AT142" s="22" t="s">
        <v>1272</v>
      </c>
      <c r="AU142" s="25" t="str">
        <f>VLOOKUP(O142,[1]Lookup!A:B,2,FALSE)</f>
        <v>DMO</v>
      </c>
      <c r="AV142" s="25" t="e">
        <f>VLOOKUP(test1[[#This Row],[Assignee]],lookup[#All],2,FALSE)</f>
        <v>#N/A</v>
      </c>
      <c r="AW142" s="25">
        <f ca="1">IF(test1[[#This Row],[Status]]&lt;&gt;"Closed", TODAY()-INT(test1[[#This Row],[Created]]),INT(test1[[#This Row],[Resolved]])-INT(test1[[#This Row],[Created]]))</f>
        <v>55</v>
      </c>
    </row>
    <row r="143" spans="1:49" ht="342" x14ac:dyDescent="0.2">
      <c r="A143" s="48" t="s">
        <v>86</v>
      </c>
      <c r="B143" s="29" t="s">
        <v>1329</v>
      </c>
      <c r="C143" s="27" t="s">
        <v>1330</v>
      </c>
      <c r="D143" s="22" t="s">
        <v>89</v>
      </c>
      <c r="E143" s="22" t="s">
        <v>424</v>
      </c>
      <c r="F143" s="26" t="s">
        <v>1276</v>
      </c>
      <c r="G143" s="27" t="s">
        <v>155</v>
      </c>
      <c r="H143" s="27"/>
      <c r="I143" s="27"/>
      <c r="J143" s="14" t="s">
        <v>91</v>
      </c>
      <c r="K143" s="14" t="s">
        <v>59</v>
      </c>
      <c r="L143" s="14" t="s">
        <v>93</v>
      </c>
      <c r="M143" s="14" t="s">
        <v>1129</v>
      </c>
      <c r="N143" s="18" t="s">
        <v>202</v>
      </c>
      <c r="O143" s="14" t="s">
        <v>37</v>
      </c>
      <c r="P143" s="19">
        <v>42773.696527777778</v>
      </c>
      <c r="Q143" s="19">
        <v>42807.702777777777</v>
      </c>
      <c r="R143" s="19">
        <v>42790.745138888888</v>
      </c>
      <c r="S143" s="14" t="s">
        <v>203</v>
      </c>
      <c r="T143" s="14" t="s">
        <v>203</v>
      </c>
      <c r="U143" s="14" t="s">
        <v>96</v>
      </c>
      <c r="V143" s="14"/>
      <c r="W143" s="14">
        <v>0</v>
      </c>
      <c r="X143" s="14">
        <v>0</v>
      </c>
      <c r="Y143" s="20" t="s">
        <v>1331</v>
      </c>
      <c r="Z143" s="14"/>
      <c r="AA143" s="14"/>
      <c r="AB143" s="14"/>
      <c r="AC143" s="14"/>
      <c r="AD143" s="14"/>
      <c r="AE143" s="14" t="s">
        <v>1332</v>
      </c>
      <c r="AF143" s="14" t="s">
        <v>1333</v>
      </c>
      <c r="AG143" s="14" t="s">
        <v>1334</v>
      </c>
      <c r="AH143" s="14"/>
      <c r="AI143" s="14"/>
      <c r="AJ143" s="14"/>
      <c r="AK143" s="14"/>
      <c r="AL143" s="14"/>
      <c r="AM143" s="14"/>
      <c r="AN143" s="14" t="s">
        <v>149</v>
      </c>
      <c r="AO143" s="14" t="s">
        <v>1281</v>
      </c>
      <c r="AP143" s="14" t="s">
        <v>146</v>
      </c>
      <c r="AQ143" s="14"/>
      <c r="AR143" s="22"/>
      <c r="AS143" s="22" t="s">
        <v>89</v>
      </c>
      <c r="AT143" s="22" t="s">
        <v>424</v>
      </c>
      <c r="AU143" s="25" t="str">
        <f>VLOOKUP(O143,[1]Lookup!A:B,2,FALSE)</f>
        <v>DMO</v>
      </c>
      <c r="AV143" s="25" t="e">
        <f>VLOOKUP(test1[[#This Row],[Assignee]],lookup[#All],2,FALSE)</f>
        <v>#N/A</v>
      </c>
      <c r="AW143" s="25">
        <f ca="1">IF(test1[[#This Row],[Status]]&lt;&gt;"Closed", TODAY()-INT(test1[[#This Row],[Created]]),INT(test1[[#This Row],[Resolved]])-INT(test1[[#This Row],[Created]]))</f>
        <v>55</v>
      </c>
    </row>
    <row r="144" spans="1:49" ht="399" x14ac:dyDescent="0.2">
      <c r="A144" s="48" t="s">
        <v>86</v>
      </c>
      <c r="B144" s="29" t="s">
        <v>1323</v>
      </c>
      <c r="C144" s="27" t="s">
        <v>1324</v>
      </c>
      <c r="D144" s="22" t="s">
        <v>130</v>
      </c>
      <c r="E144" s="22" t="s">
        <v>1325</v>
      </c>
      <c r="F144" s="27"/>
      <c r="G144" s="27" t="s">
        <v>203</v>
      </c>
      <c r="H144" s="27"/>
      <c r="I144" s="27"/>
      <c r="J144" s="14" t="s">
        <v>91</v>
      </c>
      <c r="K144" s="14" t="s">
        <v>59</v>
      </c>
      <c r="L144" s="14" t="s">
        <v>93</v>
      </c>
      <c r="M144" s="14" t="s">
        <v>1326</v>
      </c>
      <c r="N144" s="18" t="s">
        <v>202</v>
      </c>
      <c r="O144" s="14" t="s">
        <v>37</v>
      </c>
      <c r="P144" s="19">
        <v>42774.42083333333</v>
      </c>
      <c r="Q144" s="19">
        <v>42781.953472222223</v>
      </c>
      <c r="R144" s="19">
        <v>42781.762499999997</v>
      </c>
      <c r="S144" s="14" t="s">
        <v>203</v>
      </c>
      <c r="T144" s="14" t="s">
        <v>203</v>
      </c>
      <c r="U144" s="14" t="s">
        <v>96</v>
      </c>
      <c r="V144" s="14"/>
      <c r="W144" s="14">
        <v>0</v>
      </c>
      <c r="X144" s="14">
        <v>0</v>
      </c>
      <c r="Y144" s="20" t="s">
        <v>1327</v>
      </c>
      <c r="Z144" s="14"/>
      <c r="AA144" s="14"/>
      <c r="AB144" s="14"/>
      <c r="AC144" s="14"/>
      <c r="AD144" s="14"/>
      <c r="AE144" s="14"/>
      <c r="AF144" s="14" t="s">
        <v>1026</v>
      </c>
      <c r="AG144" s="14" t="s">
        <v>1328</v>
      </c>
      <c r="AH144" s="14"/>
      <c r="AI144" s="14"/>
      <c r="AJ144" s="14"/>
      <c r="AK144" s="14"/>
      <c r="AL144" s="14"/>
      <c r="AM144" s="14"/>
      <c r="AN144" s="14" t="s">
        <v>408</v>
      </c>
      <c r="AO144" s="14" t="s">
        <v>381</v>
      </c>
      <c r="AP144" s="14" t="s">
        <v>146</v>
      </c>
      <c r="AQ144" s="14"/>
      <c r="AR144" s="22"/>
      <c r="AS144" s="22" t="s">
        <v>130</v>
      </c>
      <c r="AT144" s="22" t="s">
        <v>1325</v>
      </c>
      <c r="AU144" s="25" t="str">
        <f>VLOOKUP(O144,[1]Lookup!A:B,2,FALSE)</f>
        <v>DMO</v>
      </c>
      <c r="AV144" s="25" t="e">
        <f>VLOOKUP(test1[[#This Row],[Assignee]],lookup[#All],2,FALSE)</f>
        <v>#N/A</v>
      </c>
      <c r="AW144" s="25">
        <f ca="1">IF(test1[[#This Row],[Status]]&lt;&gt;"Closed", TODAY()-INT(test1[[#This Row],[Created]]),INT(test1[[#This Row],[Resolved]])-INT(test1[[#This Row],[Created]]))</f>
        <v>54</v>
      </c>
    </row>
    <row r="145" spans="1:49" ht="57" x14ac:dyDescent="0.2">
      <c r="A145" s="48" t="s">
        <v>86</v>
      </c>
      <c r="B145" s="29" t="s">
        <v>1318</v>
      </c>
      <c r="C145" s="27" t="s">
        <v>1319</v>
      </c>
      <c r="D145" s="22" t="s">
        <v>89</v>
      </c>
      <c r="E145" s="22" t="s">
        <v>1055</v>
      </c>
      <c r="F145" s="37" t="s">
        <v>104</v>
      </c>
      <c r="G145" s="37" t="s">
        <v>174</v>
      </c>
      <c r="H145" s="44" t="s">
        <v>104</v>
      </c>
      <c r="I145" s="37" t="s">
        <v>553</v>
      </c>
      <c r="J145" s="14" t="s">
        <v>91</v>
      </c>
      <c r="K145" s="14" t="s">
        <v>59</v>
      </c>
      <c r="L145" s="14" t="s">
        <v>93</v>
      </c>
      <c r="M145" s="14" t="s">
        <v>132</v>
      </c>
      <c r="N145" s="18" t="s">
        <v>36</v>
      </c>
      <c r="O145" s="14" t="s">
        <v>36</v>
      </c>
      <c r="P145" s="19">
        <v>42774.476388888892</v>
      </c>
      <c r="Q145" s="19">
        <v>42803.729166666664</v>
      </c>
      <c r="R145" s="19">
        <v>42803.729166666664</v>
      </c>
      <c r="S145" s="14" t="s">
        <v>203</v>
      </c>
      <c r="T145" s="14" t="s">
        <v>924</v>
      </c>
      <c r="U145" s="14" t="s">
        <v>96</v>
      </c>
      <c r="V145" s="14"/>
      <c r="W145" s="14">
        <v>0</v>
      </c>
      <c r="X145" s="14">
        <v>0</v>
      </c>
      <c r="Y145" s="20" t="s">
        <v>1320</v>
      </c>
      <c r="Z145" s="14"/>
      <c r="AA145" s="14"/>
      <c r="AB145" s="14"/>
      <c r="AC145" s="14"/>
      <c r="AD145" s="14"/>
      <c r="AE145" s="14"/>
      <c r="AF145" s="14" t="s">
        <v>126</v>
      </c>
      <c r="AG145" s="14" t="s">
        <v>1321</v>
      </c>
      <c r="AH145" s="14"/>
      <c r="AI145" s="14"/>
      <c r="AJ145" s="14"/>
      <c r="AK145" s="14"/>
      <c r="AL145" s="14"/>
      <c r="AM145" s="14"/>
      <c r="AN145" s="14" t="s">
        <v>99</v>
      </c>
      <c r="AO145" s="14" t="s">
        <v>1322</v>
      </c>
      <c r="AP145" s="14" t="s">
        <v>146</v>
      </c>
      <c r="AQ145" s="14"/>
      <c r="AR145" s="22"/>
      <c r="AS145" s="22" t="s">
        <v>89</v>
      </c>
      <c r="AT145" s="22" t="s">
        <v>1055</v>
      </c>
      <c r="AU145" s="25" t="str">
        <f>VLOOKUP(O145,[1]Lookup!A:B,2,FALSE)</f>
        <v>DMO</v>
      </c>
      <c r="AV145" s="25" t="str">
        <f>VLOOKUP(test1[[#This Row],[Assignee]],lookup[#All],2,FALSE)</f>
        <v>DMO</v>
      </c>
      <c r="AW145" s="25">
        <f ca="1">IF(test1[[#This Row],[Status]]&lt;&gt;"Closed", TODAY()-INT(test1[[#This Row],[Created]]),INT(test1[[#This Row],[Resolved]])-INT(test1[[#This Row],[Created]]))</f>
        <v>54</v>
      </c>
    </row>
    <row r="146" spans="1:49" ht="409.5" x14ac:dyDescent="0.2">
      <c r="A146" s="48" t="s">
        <v>86</v>
      </c>
      <c r="B146" s="29" t="s">
        <v>1313</v>
      </c>
      <c r="C146" s="27" t="s">
        <v>1314</v>
      </c>
      <c r="D146" s="22" t="s">
        <v>229</v>
      </c>
      <c r="E146" s="22" t="s">
        <v>229</v>
      </c>
      <c r="F146" s="27"/>
      <c r="G146" s="27" t="s">
        <v>204</v>
      </c>
      <c r="H146" s="27"/>
      <c r="I146" s="27"/>
      <c r="J146" s="14" t="s">
        <v>91</v>
      </c>
      <c r="K146" s="14" t="s">
        <v>59</v>
      </c>
      <c r="L146" s="14" t="s">
        <v>93</v>
      </c>
      <c r="M146" s="14" t="s">
        <v>132</v>
      </c>
      <c r="N146" s="18" t="s">
        <v>202</v>
      </c>
      <c r="O146" s="14" t="s">
        <v>37</v>
      </c>
      <c r="P146" s="19">
        <v>42774.648611111108</v>
      </c>
      <c r="Q146" s="19">
        <v>42799.829861111109</v>
      </c>
      <c r="R146" s="19">
        <v>42779.677777777775</v>
      </c>
      <c r="S146" s="14" t="s">
        <v>203</v>
      </c>
      <c r="T146" s="14" t="s">
        <v>204</v>
      </c>
      <c r="U146" s="14" t="s">
        <v>96</v>
      </c>
      <c r="V146" s="14"/>
      <c r="W146" s="14">
        <v>0</v>
      </c>
      <c r="X146" s="14">
        <v>0</v>
      </c>
      <c r="Y146" s="14" t="s">
        <v>1315</v>
      </c>
      <c r="Z146" s="14"/>
      <c r="AA146" s="14"/>
      <c r="AB146" s="14"/>
      <c r="AC146" s="14"/>
      <c r="AD146" s="14"/>
      <c r="AE146" s="14"/>
      <c r="AF146" s="14" t="s">
        <v>126</v>
      </c>
      <c r="AG146" s="14" t="s">
        <v>1316</v>
      </c>
      <c r="AH146" s="14"/>
      <c r="AI146" s="14"/>
      <c r="AJ146" s="14"/>
      <c r="AK146" s="14"/>
      <c r="AL146" s="14"/>
      <c r="AM146" s="14"/>
      <c r="AN146" s="14" t="s">
        <v>283</v>
      </c>
      <c r="AO146" s="14" t="s">
        <v>1317</v>
      </c>
      <c r="AP146" s="14" t="s">
        <v>146</v>
      </c>
      <c r="AQ146" s="14"/>
      <c r="AR146" s="22"/>
      <c r="AS146" s="22" t="s">
        <v>96</v>
      </c>
      <c r="AT146" s="22" t="s">
        <v>1272</v>
      </c>
      <c r="AU146" s="25" t="str">
        <f>VLOOKUP(O146,[1]Lookup!A:B,2,FALSE)</f>
        <v>DMO</v>
      </c>
      <c r="AV146" s="25" t="e">
        <f>VLOOKUP(test1[[#This Row],[Assignee]],lookup[#All],2,FALSE)</f>
        <v>#N/A</v>
      </c>
      <c r="AW146" s="25">
        <f ca="1">IF(test1[[#This Row],[Status]]&lt;&gt;"Closed", TODAY()-INT(test1[[#This Row],[Created]]),INT(test1[[#This Row],[Resolved]])-INT(test1[[#This Row],[Created]]))</f>
        <v>54</v>
      </c>
    </row>
    <row r="147" spans="1:49" ht="409.5" x14ac:dyDescent="0.2">
      <c r="A147" s="48" t="s">
        <v>86</v>
      </c>
      <c r="B147" s="29" t="s">
        <v>1308</v>
      </c>
      <c r="C147" s="27" t="s">
        <v>1309</v>
      </c>
      <c r="D147" s="22" t="s">
        <v>241</v>
      </c>
      <c r="E147" s="22" t="s">
        <v>123</v>
      </c>
      <c r="F147" s="27"/>
      <c r="G147" s="27" t="s">
        <v>204</v>
      </c>
      <c r="H147" s="27"/>
      <c r="I147" s="27"/>
      <c r="J147" s="14" t="s">
        <v>91</v>
      </c>
      <c r="K147" s="14" t="s">
        <v>59</v>
      </c>
      <c r="L147" s="14" t="s">
        <v>93</v>
      </c>
      <c r="M147" s="14" t="s">
        <v>132</v>
      </c>
      <c r="N147" s="18" t="s">
        <v>202</v>
      </c>
      <c r="O147" s="14" t="s">
        <v>36</v>
      </c>
      <c r="P147" s="19">
        <v>42774.661805555559</v>
      </c>
      <c r="Q147" s="19">
        <v>42793.675000000003</v>
      </c>
      <c r="R147" s="19">
        <v>42793.675000000003</v>
      </c>
      <c r="S147" s="14" t="s">
        <v>203</v>
      </c>
      <c r="T147" s="14" t="s">
        <v>204</v>
      </c>
      <c r="U147" s="14" t="s">
        <v>242</v>
      </c>
      <c r="V147" s="14"/>
      <c r="W147" s="14">
        <v>0</v>
      </c>
      <c r="X147" s="14">
        <v>0</v>
      </c>
      <c r="Y147" s="20" t="s">
        <v>1310</v>
      </c>
      <c r="Z147" s="14"/>
      <c r="AA147" s="14"/>
      <c r="AB147" s="14"/>
      <c r="AC147" s="14"/>
      <c r="AD147" s="14"/>
      <c r="AE147" s="14"/>
      <c r="AF147" s="14" t="s">
        <v>126</v>
      </c>
      <c r="AG147" s="14" t="s">
        <v>1311</v>
      </c>
      <c r="AH147" s="14"/>
      <c r="AI147" s="14"/>
      <c r="AJ147" s="14"/>
      <c r="AK147" s="14"/>
      <c r="AL147" s="14"/>
      <c r="AM147" s="14"/>
      <c r="AN147" s="14" t="s">
        <v>123</v>
      </c>
      <c r="AO147" s="14" t="s">
        <v>1312</v>
      </c>
      <c r="AP147" s="14" t="s">
        <v>146</v>
      </c>
      <c r="AQ147" s="14"/>
      <c r="AR147" s="22"/>
      <c r="AS147" s="22" t="s">
        <v>241</v>
      </c>
      <c r="AT147" s="22" t="s">
        <v>123</v>
      </c>
      <c r="AU147" s="25" t="str">
        <f>VLOOKUP(O147,[1]Lookup!A:B,2,FALSE)</f>
        <v>DMO</v>
      </c>
      <c r="AV147" s="25" t="e">
        <f>VLOOKUP(test1[[#This Row],[Assignee]],lookup[#All],2,FALSE)</f>
        <v>#N/A</v>
      </c>
      <c r="AW147" s="25">
        <f ca="1">IF(test1[[#This Row],[Status]]&lt;&gt;"Closed", TODAY()-INT(test1[[#This Row],[Created]]),INT(test1[[#This Row],[Resolved]])-INT(test1[[#This Row],[Created]]))</f>
        <v>54</v>
      </c>
    </row>
    <row r="148" spans="1:49" ht="128.25" x14ac:dyDescent="0.2">
      <c r="A148" s="48" t="s">
        <v>86</v>
      </c>
      <c r="B148" s="29" t="s">
        <v>1303</v>
      </c>
      <c r="C148" s="27" t="s">
        <v>1304</v>
      </c>
      <c r="D148" s="22" t="s">
        <v>96</v>
      </c>
      <c r="E148" s="22" t="s">
        <v>166</v>
      </c>
      <c r="F148" s="27"/>
      <c r="G148" s="27" t="s">
        <v>203</v>
      </c>
      <c r="H148" s="27"/>
      <c r="I148" s="27"/>
      <c r="J148" s="14" t="s">
        <v>91</v>
      </c>
      <c r="K148" s="14" t="s">
        <v>59</v>
      </c>
      <c r="L148" s="14" t="s">
        <v>93</v>
      </c>
      <c r="M148" s="14" t="s">
        <v>132</v>
      </c>
      <c r="N148" s="18" t="s">
        <v>202</v>
      </c>
      <c r="O148" s="14" t="s">
        <v>36</v>
      </c>
      <c r="P148" s="19">
        <v>42774.722222222219</v>
      </c>
      <c r="Q148" s="19">
        <v>42790.494444444441</v>
      </c>
      <c r="R148" s="19">
        <v>42790.494444444441</v>
      </c>
      <c r="S148" s="14" t="s">
        <v>203</v>
      </c>
      <c r="T148" s="14" t="s">
        <v>203</v>
      </c>
      <c r="U148" s="14" t="s">
        <v>242</v>
      </c>
      <c r="V148" s="14"/>
      <c r="W148" s="14">
        <v>0</v>
      </c>
      <c r="X148" s="14">
        <v>0</v>
      </c>
      <c r="Y148" s="14" t="s">
        <v>1305</v>
      </c>
      <c r="Z148" s="14"/>
      <c r="AA148" s="14"/>
      <c r="AB148" s="14"/>
      <c r="AC148" s="14"/>
      <c r="AD148" s="14"/>
      <c r="AE148" s="14"/>
      <c r="AF148" s="14" t="s">
        <v>126</v>
      </c>
      <c r="AG148" s="14" t="s">
        <v>1306</v>
      </c>
      <c r="AH148" s="14"/>
      <c r="AI148" s="14"/>
      <c r="AJ148" s="14"/>
      <c r="AK148" s="14"/>
      <c r="AL148" s="14"/>
      <c r="AM148" s="14"/>
      <c r="AN148" s="14" t="s">
        <v>235</v>
      </c>
      <c r="AO148" s="14" t="s">
        <v>1307</v>
      </c>
      <c r="AP148" s="14"/>
      <c r="AQ148" s="14"/>
      <c r="AR148" s="22"/>
      <c r="AS148" s="22" t="s">
        <v>96</v>
      </c>
      <c r="AT148" s="22" t="s">
        <v>166</v>
      </c>
      <c r="AU148" s="25" t="str">
        <f>VLOOKUP(O148,[1]Lookup!A:B,2,FALSE)</f>
        <v>DMO</v>
      </c>
      <c r="AV148" s="25" t="e">
        <f>VLOOKUP(test1[[#This Row],[Assignee]],lookup[#All],2,FALSE)</f>
        <v>#N/A</v>
      </c>
      <c r="AW148" s="25">
        <f ca="1">IF(test1[[#This Row],[Status]]&lt;&gt;"Closed", TODAY()-INT(test1[[#This Row],[Created]]),INT(test1[[#This Row],[Resolved]])-INT(test1[[#This Row],[Created]]))</f>
        <v>54</v>
      </c>
    </row>
    <row r="149" spans="1:49" ht="128.25" x14ac:dyDescent="0.2">
      <c r="A149" s="48" t="s">
        <v>86</v>
      </c>
      <c r="B149" s="29" t="s">
        <v>1300</v>
      </c>
      <c r="C149" s="27" t="s">
        <v>1301</v>
      </c>
      <c r="D149" s="22" t="s">
        <v>117</v>
      </c>
      <c r="E149" s="22" t="s">
        <v>381</v>
      </c>
      <c r="F149" s="27"/>
      <c r="G149" s="27" t="s">
        <v>204</v>
      </c>
      <c r="H149" s="27"/>
      <c r="I149" s="27"/>
      <c r="J149" s="14" t="s">
        <v>91</v>
      </c>
      <c r="K149" s="14" t="s">
        <v>59</v>
      </c>
      <c r="L149" s="14" t="s">
        <v>167</v>
      </c>
      <c r="M149" s="14" t="s">
        <v>132</v>
      </c>
      <c r="N149" s="18" t="s">
        <v>23</v>
      </c>
      <c r="O149" s="14" t="s">
        <v>23</v>
      </c>
      <c r="P149" s="19">
        <v>42774.829861111109</v>
      </c>
      <c r="Q149" s="19">
        <v>42776.049305555556</v>
      </c>
      <c r="R149" s="19">
        <v>42775.670138888891</v>
      </c>
      <c r="S149" s="14" t="s">
        <v>139</v>
      </c>
      <c r="T149" s="14" t="s">
        <v>204</v>
      </c>
      <c r="U149" s="14" t="s">
        <v>117</v>
      </c>
      <c r="V149" s="14"/>
      <c r="W149" s="14">
        <v>0</v>
      </c>
      <c r="X149" s="14">
        <v>0</v>
      </c>
      <c r="Y149" s="14"/>
      <c r="Z149" s="14"/>
      <c r="AA149" s="14"/>
      <c r="AB149" s="14"/>
      <c r="AC149" s="14"/>
      <c r="AD149" s="14"/>
      <c r="AE149" s="14"/>
      <c r="AF149" s="14" t="s">
        <v>117</v>
      </c>
      <c r="AG149" s="14" t="s">
        <v>1302</v>
      </c>
      <c r="AH149" s="14"/>
      <c r="AI149" s="14"/>
      <c r="AJ149" s="14"/>
      <c r="AK149" s="14"/>
      <c r="AL149" s="14"/>
      <c r="AM149" s="14"/>
      <c r="AN149" s="14" t="s">
        <v>261</v>
      </c>
      <c r="AO149" s="14"/>
      <c r="AP149" s="14"/>
      <c r="AQ149" s="14"/>
      <c r="AR149" s="22"/>
      <c r="AS149" s="22" t="s">
        <v>117</v>
      </c>
      <c r="AT149" s="22" t="s">
        <v>381</v>
      </c>
      <c r="AU149" s="25" t="str">
        <f>VLOOKUP(O149,[1]Lookup!A:B,2,FALSE)</f>
        <v>Test-SIT</v>
      </c>
      <c r="AV149" s="25" t="str">
        <f>VLOOKUP(test1[[#This Row],[Assignee]],lookup[#All],2,FALSE)</f>
        <v>Test-SIT</v>
      </c>
      <c r="AW149" s="25">
        <f ca="1">IF(test1[[#This Row],[Status]]&lt;&gt;"Closed", TODAY()-INT(test1[[#This Row],[Created]]),INT(test1[[#This Row],[Resolved]])-INT(test1[[#This Row],[Created]]))</f>
        <v>54</v>
      </c>
    </row>
    <row r="150" spans="1:49" ht="228" x14ac:dyDescent="0.2">
      <c r="A150" s="48" t="s">
        <v>86</v>
      </c>
      <c r="B150" s="29" t="s">
        <v>1296</v>
      </c>
      <c r="C150" s="27" t="s">
        <v>1297</v>
      </c>
      <c r="D150" s="22" t="s">
        <v>241</v>
      </c>
      <c r="E150" s="22" t="s">
        <v>890</v>
      </c>
      <c r="F150" s="27"/>
      <c r="G150" s="27"/>
      <c r="H150" s="27"/>
      <c r="I150" s="27"/>
      <c r="J150" s="14" t="s">
        <v>91</v>
      </c>
      <c r="K150" s="14" t="s">
        <v>59</v>
      </c>
      <c r="L150" s="14" t="s">
        <v>93</v>
      </c>
      <c r="M150" s="14" t="s">
        <v>132</v>
      </c>
      <c r="N150" s="18" t="s">
        <v>19</v>
      </c>
      <c r="O150" s="14" t="s">
        <v>22</v>
      </c>
      <c r="P150" s="19">
        <v>42774.881944444445</v>
      </c>
      <c r="Q150" s="19">
        <v>42781.711805555555</v>
      </c>
      <c r="R150" s="19">
        <v>42781.711805555555</v>
      </c>
      <c r="S150" s="14" t="s">
        <v>660</v>
      </c>
      <c r="T150" s="14"/>
      <c r="U150" s="14" t="s">
        <v>96</v>
      </c>
      <c r="V150" s="14"/>
      <c r="W150" s="14">
        <v>0</v>
      </c>
      <c r="X150" s="14">
        <v>0</v>
      </c>
      <c r="Y150" s="14"/>
      <c r="Z150" s="14"/>
      <c r="AA150" s="14"/>
      <c r="AB150" s="14"/>
      <c r="AC150" s="14"/>
      <c r="AD150" s="14"/>
      <c r="AE150" s="14"/>
      <c r="AF150" s="14"/>
      <c r="AG150" s="14" t="s">
        <v>1298</v>
      </c>
      <c r="AH150" s="14"/>
      <c r="AI150" s="14"/>
      <c r="AJ150" s="14"/>
      <c r="AK150" s="14"/>
      <c r="AL150" s="14"/>
      <c r="AM150" s="14"/>
      <c r="AN150" s="14" t="s">
        <v>966</v>
      </c>
      <c r="AO150" s="14" t="s">
        <v>1299</v>
      </c>
      <c r="AP150" s="14"/>
      <c r="AQ150" s="14"/>
      <c r="AR150" s="22"/>
      <c r="AS150" s="22" t="s">
        <v>241</v>
      </c>
      <c r="AT150" s="22" t="s">
        <v>890</v>
      </c>
      <c r="AU150" s="25" t="str">
        <f>VLOOKUP(O150,[1]Lookup!A:B,2,FALSE)</f>
        <v>Test-SIT</v>
      </c>
      <c r="AV150" s="25" t="str">
        <f>VLOOKUP(test1[[#This Row],[Assignee]],lookup[#All],2,FALSE)</f>
        <v>Test-SIT</v>
      </c>
      <c r="AW150" s="25">
        <f ca="1">IF(test1[[#This Row],[Status]]&lt;&gt;"Closed", TODAY()-INT(test1[[#This Row],[Created]]),INT(test1[[#This Row],[Resolved]])-INT(test1[[#This Row],[Created]]))</f>
        <v>54</v>
      </c>
    </row>
    <row r="151" spans="1:49" ht="299.25" x14ac:dyDescent="0.2">
      <c r="A151" s="48" t="s">
        <v>86</v>
      </c>
      <c r="B151" s="29" t="s">
        <v>1292</v>
      </c>
      <c r="C151" s="27" t="s">
        <v>1293</v>
      </c>
      <c r="D151" s="22" t="s">
        <v>241</v>
      </c>
      <c r="E151" s="22" t="s">
        <v>890</v>
      </c>
      <c r="F151" s="27"/>
      <c r="G151" s="27" t="s">
        <v>203</v>
      </c>
      <c r="H151" s="27"/>
      <c r="I151" s="27"/>
      <c r="J151" s="14" t="s">
        <v>91</v>
      </c>
      <c r="K151" s="14" t="s">
        <v>59</v>
      </c>
      <c r="L151" s="14" t="s">
        <v>93</v>
      </c>
      <c r="M151" s="14" t="s">
        <v>132</v>
      </c>
      <c r="N151" s="18" t="s">
        <v>202</v>
      </c>
      <c r="O151" s="14" t="s">
        <v>37</v>
      </c>
      <c r="P151" s="19">
        <v>42775.486805555556</v>
      </c>
      <c r="Q151" s="19">
        <v>42788.927083333336</v>
      </c>
      <c r="R151" s="19">
        <v>42776.633333333331</v>
      </c>
      <c r="S151" s="14" t="s">
        <v>203</v>
      </c>
      <c r="T151" s="14" t="s">
        <v>203</v>
      </c>
      <c r="U151" s="14" t="s">
        <v>96</v>
      </c>
      <c r="V151" s="14"/>
      <c r="W151" s="14">
        <v>0</v>
      </c>
      <c r="X151" s="14">
        <v>0</v>
      </c>
      <c r="Y151" s="20" t="s">
        <v>1294</v>
      </c>
      <c r="Z151" s="14"/>
      <c r="AA151" s="14"/>
      <c r="AB151" s="14"/>
      <c r="AC151" s="14"/>
      <c r="AD151" s="14"/>
      <c r="AE151" s="14"/>
      <c r="AF151" s="14" t="s">
        <v>126</v>
      </c>
      <c r="AG151" s="14" t="s">
        <v>1295</v>
      </c>
      <c r="AH151" s="14"/>
      <c r="AI151" s="14"/>
      <c r="AJ151" s="14"/>
      <c r="AK151" s="14"/>
      <c r="AL151" s="14"/>
      <c r="AM151" s="14"/>
      <c r="AN151" s="14" t="s">
        <v>229</v>
      </c>
      <c r="AO151" s="14" t="s">
        <v>381</v>
      </c>
      <c r="AP151" s="14" t="s">
        <v>146</v>
      </c>
      <c r="AQ151" s="14"/>
      <c r="AR151" s="22"/>
      <c r="AS151" s="22" t="s">
        <v>241</v>
      </c>
      <c r="AT151" s="22" t="s">
        <v>890</v>
      </c>
      <c r="AU151" s="25" t="str">
        <f>VLOOKUP(O151,[1]Lookup!A:B,2,FALSE)</f>
        <v>DMO</v>
      </c>
      <c r="AV151" s="25" t="e">
        <f>VLOOKUP(test1[[#This Row],[Assignee]],lookup[#All],2,FALSE)</f>
        <v>#N/A</v>
      </c>
      <c r="AW151" s="25">
        <f ca="1">IF(test1[[#This Row],[Status]]&lt;&gt;"Closed", TODAY()-INT(test1[[#This Row],[Created]]),INT(test1[[#This Row],[Resolved]])-INT(test1[[#This Row],[Created]]))</f>
        <v>53</v>
      </c>
    </row>
    <row r="152" spans="1:49" ht="185.25" x14ac:dyDescent="0.2">
      <c r="A152" s="48" t="s">
        <v>86</v>
      </c>
      <c r="B152" s="29" t="s">
        <v>1287</v>
      </c>
      <c r="C152" s="27" t="s">
        <v>1288</v>
      </c>
      <c r="D152" s="22" t="s">
        <v>241</v>
      </c>
      <c r="E152" s="22" t="s">
        <v>890</v>
      </c>
      <c r="F152" s="27"/>
      <c r="G152" s="27" t="s">
        <v>104</v>
      </c>
      <c r="H152" s="27"/>
      <c r="I152" s="27"/>
      <c r="J152" s="14" t="s">
        <v>91</v>
      </c>
      <c r="K152" s="14" t="s">
        <v>59</v>
      </c>
      <c r="L152" s="14" t="s">
        <v>103</v>
      </c>
      <c r="M152" s="14" t="s">
        <v>132</v>
      </c>
      <c r="N152" s="18" t="s">
        <v>202</v>
      </c>
      <c r="O152" s="14" t="s">
        <v>37</v>
      </c>
      <c r="P152" s="19">
        <v>42775.491666666669</v>
      </c>
      <c r="Q152" s="19">
        <v>42790.490277777775</v>
      </c>
      <c r="R152" s="19">
        <v>42790.490277777775</v>
      </c>
      <c r="S152" s="14" t="s">
        <v>203</v>
      </c>
      <c r="T152" s="14" t="s">
        <v>104</v>
      </c>
      <c r="U152" s="14" t="s">
        <v>242</v>
      </c>
      <c r="V152" s="14"/>
      <c r="W152" s="14">
        <v>0</v>
      </c>
      <c r="X152" s="14">
        <v>0</v>
      </c>
      <c r="Y152" s="14" t="s">
        <v>1289</v>
      </c>
      <c r="Z152" s="14"/>
      <c r="AA152" s="14"/>
      <c r="AB152" s="14"/>
      <c r="AC152" s="14"/>
      <c r="AD152" s="14"/>
      <c r="AE152" s="14"/>
      <c r="AF152" s="14" t="s">
        <v>126</v>
      </c>
      <c r="AG152" s="14" t="s">
        <v>1290</v>
      </c>
      <c r="AH152" s="14"/>
      <c r="AI152" s="14"/>
      <c r="AJ152" s="14"/>
      <c r="AK152" s="14"/>
      <c r="AL152" s="14"/>
      <c r="AM152" s="14"/>
      <c r="AN152" s="14"/>
      <c r="AO152" s="14" t="s">
        <v>1291</v>
      </c>
      <c r="AP152" s="14" t="s">
        <v>146</v>
      </c>
      <c r="AQ152" s="14"/>
      <c r="AR152" s="22"/>
      <c r="AS152" s="22" t="s">
        <v>241</v>
      </c>
      <c r="AT152" s="22" t="s">
        <v>890</v>
      </c>
      <c r="AU152" s="25" t="str">
        <f>VLOOKUP(O152,[1]Lookup!A:B,2,FALSE)</f>
        <v>DMO</v>
      </c>
      <c r="AV152" s="25" t="e">
        <f>VLOOKUP(test1[[#This Row],[Assignee]],lookup[#All],2,FALSE)</f>
        <v>#N/A</v>
      </c>
      <c r="AW152" s="25">
        <f ca="1">IF(test1[[#This Row],[Status]]&lt;&gt;"Closed", TODAY()-INT(test1[[#This Row],[Created]]),INT(test1[[#This Row],[Resolved]])-INT(test1[[#This Row],[Created]]))</f>
        <v>53</v>
      </c>
    </row>
    <row r="153" spans="1:49" ht="185.25" x14ac:dyDescent="0.2">
      <c r="A153" s="48" t="s">
        <v>86</v>
      </c>
      <c r="B153" s="29" t="s">
        <v>1282</v>
      </c>
      <c r="C153" s="27" t="s">
        <v>1283</v>
      </c>
      <c r="D153" s="22" t="s">
        <v>229</v>
      </c>
      <c r="E153" s="22" t="s">
        <v>229</v>
      </c>
      <c r="F153" s="27"/>
      <c r="G153" s="27" t="s">
        <v>204</v>
      </c>
      <c r="H153" s="27"/>
      <c r="I153" s="27"/>
      <c r="J153" s="14" t="s">
        <v>91</v>
      </c>
      <c r="K153" s="14" t="s">
        <v>59</v>
      </c>
      <c r="L153" s="14" t="s">
        <v>167</v>
      </c>
      <c r="M153" s="14" t="s">
        <v>132</v>
      </c>
      <c r="N153" s="18" t="s">
        <v>202</v>
      </c>
      <c r="O153" s="14" t="s">
        <v>36</v>
      </c>
      <c r="P153" s="19">
        <v>42775.67083333333</v>
      </c>
      <c r="Q153" s="19">
        <v>42786.401388888888</v>
      </c>
      <c r="R153" s="19">
        <v>42786.401388888888</v>
      </c>
      <c r="S153" s="14" t="s">
        <v>203</v>
      </c>
      <c r="T153" s="14" t="s">
        <v>204</v>
      </c>
      <c r="U153" s="14" t="s">
        <v>96</v>
      </c>
      <c r="V153" s="14"/>
      <c r="W153" s="14">
        <v>0</v>
      </c>
      <c r="X153" s="14">
        <v>0</v>
      </c>
      <c r="Y153" s="20" t="s">
        <v>1284</v>
      </c>
      <c r="Z153" s="14"/>
      <c r="AA153" s="14"/>
      <c r="AB153" s="14"/>
      <c r="AC153" s="14"/>
      <c r="AD153" s="14"/>
      <c r="AE153" s="14" t="s">
        <v>1285</v>
      </c>
      <c r="AF153" s="14" t="s">
        <v>126</v>
      </c>
      <c r="AG153" s="14" t="s">
        <v>1286</v>
      </c>
      <c r="AH153" s="14"/>
      <c r="AI153" s="14"/>
      <c r="AJ153" s="14"/>
      <c r="AK153" s="14"/>
      <c r="AL153" s="14"/>
      <c r="AM153" s="14"/>
      <c r="AN153" s="14" t="s">
        <v>229</v>
      </c>
      <c r="AO153" s="14" t="s">
        <v>381</v>
      </c>
      <c r="AP153" s="14" t="s">
        <v>146</v>
      </c>
      <c r="AQ153" s="14"/>
      <c r="AR153" s="22"/>
      <c r="AS153" s="22" t="s">
        <v>96</v>
      </c>
      <c r="AT153" s="22" t="s">
        <v>381</v>
      </c>
      <c r="AU153" s="25" t="str">
        <f>VLOOKUP(O153,[1]Lookup!A:B,2,FALSE)</f>
        <v>DMO</v>
      </c>
      <c r="AV153" s="25" t="e">
        <f>VLOOKUP(test1[[#This Row],[Assignee]],lookup[#All],2,FALSE)</f>
        <v>#N/A</v>
      </c>
      <c r="AW153" s="25">
        <f ca="1">IF(test1[[#This Row],[Status]]&lt;&gt;"Closed", TODAY()-INT(test1[[#This Row],[Created]]),INT(test1[[#This Row],[Resolved]])-INT(test1[[#This Row],[Created]]))</f>
        <v>53</v>
      </c>
    </row>
    <row r="154" spans="1:49" ht="285" x14ac:dyDescent="0.2">
      <c r="A154" s="48" t="s">
        <v>86</v>
      </c>
      <c r="B154" s="29" t="s">
        <v>1274</v>
      </c>
      <c r="C154" s="27" t="s">
        <v>1275</v>
      </c>
      <c r="D154" s="22" t="s">
        <v>89</v>
      </c>
      <c r="E154" s="22" t="s">
        <v>507</v>
      </c>
      <c r="F154" s="26" t="s">
        <v>1276</v>
      </c>
      <c r="G154" s="30" t="s">
        <v>174</v>
      </c>
      <c r="H154" s="40" t="s">
        <v>1277</v>
      </c>
      <c r="I154" s="26" t="s">
        <v>1278</v>
      </c>
      <c r="J154" s="14" t="s">
        <v>91</v>
      </c>
      <c r="K154" s="14" t="s">
        <v>59</v>
      </c>
      <c r="L154" s="14" t="s">
        <v>103</v>
      </c>
      <c r="M154" s="14" t="s">
        <v>1129</v>
      </c>
      <c r="N154" s="18" t="s">
        <v>37</v>
      </c>
      <c r="O154" s="14" t="s">
        <v>37</v>
      </c>
      <c r="P154" s="19">
        <v>42775.693055555559</v>
      </c>
      <c r="Q154" s="19">
        <v>42804.738194444442</v>
      </c>
      <c r="R154" s="19">
        <v>42804.73541666667</v>
      </c>
      <c r="S154" s="14" t="s">
        <v>203</v>
      </c>
      <c r="T154" s="14" t="s">
        <v>104</v>
      </c>
      <c r="U154" s="14" t="s">
        <v>242</v>
      </c>
      <c r="V154" s="14"/>
      <c r="W154" s="14">
        <v>0</v>
      </c>
      <c r="X154" s="14">
        <v>1</v>
      </c>
      <c r="Y154" s="20" t="s">
        <v>1279</v>
      </c>
      <c r="Z154" s="14"/>
      <c r="AA154" s="14"/>
      <c r="AB154" s="14"/>
      <c r="AC154" s="14"/>
      <c r="AD154" s="14"/>
      <c r="AE154" s="14"/>
      <c r="AF154" s="14" t="s">
        <v>126</v>
      </c>
      <c r="AG154" s="14" t="s">
        <v>1280</v>
      </c>
      <c r="AH154" s="14"/>
      <c r="AI154" s="14"/>
      <c r="AJ154" s="14"/>
      <c r="AK154" s="14"/>
      <c r="AL154" s="14"/>
      <c r="AM154" s="14"/>
      <c r="AN154" s="14" t="s">
        <v>1092</v>
      </c>
      <c r="AO154" s="14" t="s">
        <v>1281</v>
      </c>
      <c r="AP154" s="14" t="s">
        <v>146</v>
      </c>
      <c r="AQ154" s="14"/>
      <c r="AR154" s="22"/>
      <c r="AS154" s="22" t="s">
        <v>89</v>
      </c>
      <c r="AT154" s="22" t="s">
        <v>513</v>
      </c>
      <c r="AU154" s="25" t="str">
        <f>VLOOKUP(O154,[1]Lookup!A:B,2,FALSE)</f>
        <v>DMO</v>
      </c>
      <c r="AV154" s="25" t="str">
        <f>VLOOKUP(test1[[#This Row],[Assignee]],lookup[#All],2,FALSE)</f>
        <v>DMO</v>
      </c>
      <c r="AW154" s="25">
        <f ca="1">IF(test1[[#This Row],[Status]]&lt;&gt;"Closed", TODAY()-INT(test1[[#This Row],[Created]]),INT(test1[[#This Row],[Resolved]])-INT(test1[[#This Row],[Created]]))</f>
        <v>53</v>
      </c>
    </row>
    <row r="155" spans="1:49" ht="409.5" x14ac:dyDescent="0.2">
      <c r="A155" s="48" t="s">
        <v>86</v>
      </c>
      <c r="B155" s="29" t="s">
        <v>1268</v>
      </c>
      <c r="C155" s="27" t="s">
        <v>1269</v>
      </c>
      <c r="D155" s="22" t="s">
        <v>96</v>
      </c>
      <c r="E155" s="22" t="s">
        <v>166</v>
      </c>
      <c r="F155" s="27"/>
      <c r="G155" s="27" t="s">
        <v>203</v>
      </c>
      <c r="H155" s="27"/>
      <c r="I155" s="27"/>
      <c r="J155" s="14" t="s">
        <v>91</v>
      </c>
      <c r="K155" s="14" t="s">
        <v>59</v>
      </c>
      <c r="L155" s="14" t="s">
        <v>103</v>
      </c>
      <c r="M155" s="14" t="s">
        <v>132</v>
      </c>
      <c r="N155" s="18" t="s">
        <v>39</v>
      </c>
      <c r="O155" s="14" t="s">
        <v>39</v>
      </c>
      <c r="P155" s="19">
        <v>42775.734027777777</v>
      </c>
      <c r="Q155" s="19">
        <v>42781.956250000003</v>
      </c>
      <c r="R155" s="19">
        <v>42781.590277777781</v>
      </c>
      <c r="S155" s="14" t="s">
        <v>203</v>
      </c>
      <c r="T155" s="14" t="s">
        <v>203</v>
      </c>
      <c r="U155" s="14" t="s">
        <v>96</v>
      </c>
      <c r="V155" s="14"/>
      <c r="W155" s="14">
        <v>0</v>
      </c>
      <c r="X155" s="14">
        <v>0</v>
      </c>
      <c r="Y155" s="20" t="s">
        <v>1270</v>
      </c>
      <c r="Z155" s="14"/>
      <c r="AA155" s="14"/>
      <c r="AB155" s="14"/>
      <c r="AC155" s="14"/>
      <c r="AD155" s="14"/>
      <c r="AE155" s="14"/>
      <c r="AF155" s="14" t="s">
        <v>851</v>
      </c>
      <c r="AG155" s="14" t="s">
        <v>1271</v>
      </c>
      <c r="AH155" s="14"/>
      <c r="AI155" s="14"/>
      <c r="AJ155" s="14"/>
      <c r="AK155" s="14"/>
      <c r="AL155" s="14"/>
      <c r="AM155" s="14"/>
      <c r="AN155" s="14" t="s">
        <v>1272</v>
      </c>
      <c r="AO155" s="14" t="s">
        <v>1273</v>
      </c>
      <c r="AP155" s="14" t="s">
        <v>146</v>
      </c>
      <c r="AQ155" s="14"/>
      <c r="AR155" s="22"/>
      <c r="AS155" s="22" t="s">
        <v>96</v>
      </c>
      <c r="AT155" s="22" t="s">
        <v>166</v>
      </c>
      <c r="AU155" s="25" t="str">
        <f>VLOOKUP(O155,[1]Lookup!A:B,2,FALSE)</f>
        <v>DMO</v>
      </c>
      <c r="AV155" s="25" t="str">
        <f>VLOOKUP(test1[[#This Row],[Assignee]],lookup[#All],2,FALSE)</f>
        <v>DMO</v>
      </c>
      <c r="AW155" s="25">
        <f ca="1">IF(test1[[#This Row],[Status]]&lt;&gt;"Closed", TODAY()-INT(test1[[#This Row],[Created]]),INT(test1[[#This Row],[Resolved]])-INT(test1[[#This Row],[Created]]))</f>
        <v>53</v>
      </c>
    </row>
    <row r="156" spans="1:49" ht="285" x14ac:dyDescent="0.2">
      <c r="A156" s="48" t="s">
        <v>86</v>
      </c>
      <c r="B156" s="29" t="s">
        <v>1260</v>
      </c>
      <c r="C156" s="27" t="s">
        <v>1261</v>
      </c>
      <c r="D156" s="22" t="s">
        <v>241</v>
      </c>
      <c r="E156" s="22" t="s">
        <v>1262</v>
      </c>
      <c r="F156" s="30" t="s">
        <v>1158</v>
      </c>
      <c r="G156" s="30" t="s">
        <v>510</v>
      </c>
      <c r="H156" s="30"/>
      <c r="I156" s="30" t="s">
        <v>1263</v>
      </c>
      <c r="J156" s="14" t="s">
        <v>91</v>
      </c>
      <c r="K156" s="14" t="s">
        <v>59</v>
      </c>
      <c r="L156" s="14" t="s">
        <v>93</v>
      </c>
      <c r="M156" s="14" t="s">
        <v>132</v>
      </c>
      <c r="N156" s="18" t="s">
        <v>30</v>
      </c>
      <c r="O156" s="14" t="s">
        <v>30</v>
      </c>
      <c r="P156" s="19">
        <v>42775.811111111114</v>
      </c>
      <c r="Q156" s="19">
        <v>42799.709722222222</v>
      </c>
      <c r="R156" s="19">
        <v>42799.709722222222</v>
      </c>
      <c r="S156" s="14" t="s">
        <v>660</v>
      </c>
      <c r="T156" s="14" t="s">
        <v>451</v>
      </c>
      <c r="U156" s="14" t="s">
        <v>96</v>
      </c>
      <c r="V156" s="14"/>
      <c r="W156" s="14">
        <v>0</v>
      </c>
      <c r="X156" s="14">
        <v>0</v>
      </c>
      <c r="Y156" s="14"/>
      <c r="Z156" s="14"/>
      <c r="AA156" s="14"/>
      <c r="AB156" s="14"/>
      <c r="AC156" s="14"/>
      <c r="AD156" s="14"/>
      <c r="AE156" s="14"/>
      <c r="AF156" s="14" t="s">
        <v>1264</v>
      </c>
      <c r="AG156" s="14" t="s">
        <v>1265</v>
      </c>
      <c r="AH156" s="14"/>
      <c r="AI156" s="14"/>
      <c r="AJ156" s="14"/>
      <c r="AK156" s="14"/>
      <c r="AL156" s="14"/>
      <c r="AM156" s="14"/>
      <c r="AN156" s="14" t="s">
        <v>1266</v>
      </c>
      <c r="AO156" s="14" t="s">
        <v>1267</v>
      </c>
      <c r="AP156" s="14"/>
      <c r="AQ156" s="14"/>
      <c r="AR156" s="22"/>
      <c r="AS156" s="22" t="s">
        <v>241</v>
      </c>
      <c r="AT156" s="22" t="s">
        <v>1262</v>
      </c>
      <c r="AU156" s="25" t="str">
        <f>VLOOKUP(O156,[1]Lookup!A:B,2,FALSE)</f>
        <v>Test-SIT</v>
      </c>
      <c r="AV156" s="25" t="str">
        <f>VLOOKUP(test1[[#This Row],[Assignee]],lookup[#All],2,FALSE)</f>
        <v>Test-SIT</v>
      </c>
      <c r="AW156" s="25">
        <f ca="1">IF(test1[[#This Row],[Status]]&lt;&gt;"Closed", TODAY()-INT(test1[[#This Row],[Created]]),INT(test1[[#This Row],[Resolved]])-INT(test1[[#This Row],[Created]]))</f>
        <v>53</v>
      </c>
    </row>
    <row r="157" spans="1:49" ht="299.25" x14ac:dyDescent="0.2">
      <c r="A157" s="48" t="s">
        <v>86</v>
      </c>
      <c r="B157" s="29" t="s">
        <v>1256</v>
      </c>
      <c r="C157" s="27" t="s">
        <v>1257</v>
      </c>
      <c r="D157" s="22" t="s">
        <v>241</v>
      </c>
      <c r="E157" s="22" t="s">
        <v>792</v>
      </c>
      <c r="F157" s="27"/>
      <c r="G157" s="27" t="s">
        <v>510</v>
      </c>
      <c r="H157" s="27"/>
      <c r="I157" s="27"/>
      <c r="J157" s="14" t="s">
        <v>91</v>
      </c>
      <c r="K157" s="14" t="s">
        <v>59</v>
      </c>
      <c r="L157" s="14" t="s">
        <v>93</v>
      </c>
      <c r="M157" s="14" t="s">
        <v>132</v>
      </c>
      <c r="N157" s="18" t="s">
        <v>30</v>
      </c>
      <c r="O157" s="14" t="s">
        <v>30</v>
      </c>
      <c r="P157" s="19">
        <v>42775.818055555559</v>
      </c>
      <c r="Q157" s="19">
        <v>42787.65347222222</v>
      </c>
      <c r="R157" s="19">
        <v>42787.65347222222</v>
      </c>
      <c r="S157" s="14" t="s">
        <v>660</v>
      </c>
      <c r="T157" s="14" t="s">
        <v>510</v>
      </c>
      <c r="U157" s="14" t="s">
        <v>96</v>
      </c>
      <c r="V157" s="14"/>
      <c r="W157" s="14">
        <v>0</v>
      </c>
      <c r="X157" s="14">
        <v>0</v>
      </c>
      <c r="Y157" s="14"/>
      <c r="Z157" s="14"/>
      <c r="AA157" s="14"/>
      <c r="AB157" s="14"/>
      <c r="AC157" s="14"/>
      <c r="AD157" s="14"/>
      <c r="AE157" s="14"/>
      <c r="AF157" s="14" t="s">
        <v>907</v>
      </c>
      <c r="AG157" s="14" t="s">
        <v>1258</v>
      </c>
      <c r="AH157" s="14"/>
      <c r="AI157" s="14"/>
      <c r="AJ157" s="14"/>
      <c r="AK157" s="14"/>
      <c r="AL157" s="14"/>
      <c r="AM157" s="14"/>
      <c r="AN157" s="14" t="s">
        <v>1142</v>
      </c>
      <c r="AO157" s="14" t="s">
        <v>1259</v>
      </c>
      <c r="AP157" s="14"/>
      <c r="AQ157" s="14"/>
      <c r="AR157" s="22"/>
      <c r="AS157" s="22" t="s">
        <v>241</v>
      </c>
      <c r="AT157" s="22" t="s">
        <v>792</v>
      </c>
      <c r="AU157" s="25" t="str">
        <f>VLOOKUP(O157,[1]Lookup!A:B,2,FALSE)</f>
        <v>Test-SIT</v>
      </c>
      <c r="AV157" s="25" t="str">
        <f>VLOOKUP(test1[[#This Row],[Assignee]],lookup[#All],2,FALSE)</f>
        <v>Test-SIT</v>
      </c>
      <c r="AW157" s="25">
        <f ca="1">IF(test1[[#This Row],[Status]]&lt;&gt;"Closed", TODAY()-INT(test1[[#This Row],[Created]]),INT(test1[[#This Row],[Resolved]])-INT(test1[[#This Row],[Created]]))</f>
        <v>53</v>
      </c>
    </row>
    <row r="158" spans="1:49" ht="185.25" x14ac:dyDescent="0.2">
      <c r="A158" s="48" t="s">
        <v>86</v>
      </c>
      <c r="B158" s="29" t="s">
        <v>1253</v>
      </c>
      <c r="C158" s="27" t="s">
        <v>1254</v>
      </c>
      <c r="D158" s="22" t="s">
        <v>229</v>
      </c>
      <c r="E158" s="22" t="s">
        <v>229</v>
      </c>
      <c r="F158" s="27"/>
      <c r="G158" s="27" t="s">
        <v>204</v>
      </c>
      <c r="H158" s="27"/>
      <c r="I158" s="27"/>
      <c r="J158" s="14" t="s">
        <v>91</v>
      </c>
      <c r="K158" s="14" t="s">
        <v>59</v>
      </c>
      <c r="L158" s="14" t="s">
        <v>93</v>
      </c>
      <c r="M158" s="14" t="s">
        <v>201</v>
      </c>
      <c r="N158" s="18" t="s">
        <v>38</v>
      </c>
      <c r="O158" s="14" t="s">
        <v>38</v>
      </c>
      <c r="P158" s="19">
        <v>42775.826388888891</v>
      </c>
      <c r="Q158" s="19">
        <v>42787.647222222222</v>
      </c>
      <c r="R158" s="19">
        <v>42787.646527777775</v>
      </c>
      <c r="S158" s="14" t="s">
        <v>203</v>
      </c>
      <c r="T158" s="14" t="s">
        <v>204</v>
      </c>
      <c r="U158" s="14" t="s">
        <v>96</v>
      </c>
      <c r="V158" s="14"/>
      <c r="W158" s="14">
        <v>0</v>
      </c>
      <c r="X158" s="14">
        <v>0</v>
      </c>
      <c r="Y158" s="14"/>
      <c r="Z158" s="14"/>
      <c r="AA158" s="14"/>
      <c r="AB158" s="14"/>
      <c r="AC158" s="14"/>
      <c r="AD158" s="14"/>
      <c r="AE158" s="14"/>
      <c r="AF158" s="14" t="s">
        <v>126</v>
      </c>
      <c r="AG158" s="14" t="s">
        <v>1255</v>
      </c>
      <c r="AH158" s="14"/>
      <c r="AI158" s="14"/>
      <c r="AJ158" s="14"/>
      <c r="AK158" s="14"/>
      <c r="AL158" s="14"/>
      <c r="AM158" s="14"/>
      <c r="AN158" s="14" t="s">
        <v>229</v>
      </c>
      <c r="AO158" s="14" t="s">
        <v>229</v>
      </c>
      <c r="AP158" s="14" t="s">
        <v>146</v>
      </c>
      <c r="AQ158" s="14"/>
      <c r="AR158" s="22"/>
      <c r="AS158" s="22" t="s">
        <v>241</v>
      </c>
      <c r="AT158" s="22" t="s">
        <v>229</v>
      </c>
      <c r="AU158" s="25" t="str">
        <f>VLOOKUP(O158,[1]Lookup!A:B,2,FALSE)</f>
        <v>DMO</v>
      </c>
      <c r="AV158" s="25" t="str">
        <f>VLOOKUP(test1[[#This Row],[Assignee]],lookup[#All],2,FALSE)</f>
        <v>DMO</v>
      </c>
      <c r="AW158" s="25">
        <f ca="1">IF(test1[[#This Row],[Status]]&lt;&gt;"Closed", TODAY()-INT(test1[[#This Row],[Created]]),INT(test1[[#This Row],[Resolved]])-INT(test1[[#This Row],[Created]]))</f>
        <v>53</v>
      </c>
    </row>
    <row r="159" spans="1:49" ht="285" x14ac:dyDescent="0.2">
      <c r="A159" s="48" t="s">
        <v>86</v>
      </c>
      <c r="B159" s="29" t="s">
        <v>1250</v>
      </c>
      <c r="C159" s="27" t="s">
        <v>1251</v>
      </c>
      <c r="D159" s="22" t="s">
        <v>241</v>
      </c>
      <c r="E159" s="22" t="s">
        <v>792</v>
      </c>
      <c r="F159" s="27"/>
      <c r="G159" s="27" t="s">
        <v>510</v>
      </c>
      <c r="H159" s="27"/>
      <c r="I159" s="27"/>
      <c r="J159" s="14" t="s">
        <v>91</v>
      </c>
      <c r="K159" s="14" t="s">
        <v>59</v>
      </c>
      <c r="L159" s="14" t="s">
        <v>93</v>
      </c>
      <c r="M159" s="14" t="s">
        <v>132</v>
      </c>
      <c r="N159" s="18" t="s">
        <v>30</v>
      </c>
      <c r="O159" s="14" t="s">
        <v>30</v>
      </c>
      <c r="P159" s="19">
        <v>42775.837500000001</v>
      </c>
      <c r="Q159" s="19">
        <v>42787.654166666667</v>
      </c>
      <c r="R159" s="19">
        <v>42787.654166666667</v>
      </c>
      <c r="S159" s="14" t="s">
        <v>660</v>
      </c>
      <c r="T159" s="14" t="s">
        <v>510</v>
      </c>
      <c r="U159" s="14" t="s">
        <v>96</v>
      </c>
      <c r="V159" s="14"/>
      <c r="W159" s="14">
        <v>0</v>
      </c>
      <c r="X159" s="14">
        <v>0</v>
      </c>
      <c r="Y159" s="14"/>
      <c r="Z159" s="14"/>
      <c r="AA159" s="14"/>
      <c r="AB159" s="14"/>
      <c r="AC159" s="14"/>
      <c r="AD159" s="14"/>
      <c r="AE159" s="14" t="s">
        <v>374</v>
      </c>
      <c r="AF159" s="14" t="s">
        <v>1248</v>
      </c>
      <c r="AG159" s="14" t="s">
        <v>1252</v>
      </c>
      <c r="AH159" s="14"/>
      <c r="AI159" s="14"/>
      <c r="AJ159" s="14"/>
      <c r="AK159" s="14"/>
      <c r="AL159" s="14"/>
      <c r="AM159" s="14"/>
      <c r="AN159" s="14" t="s">
        <v>909</v>
      </c>
      <c r="AO159" s="14" t="s">
        <v>1002</v>
      </c>
      <c r="AP159" s="14"/>
      <c r="AQ159" s="14"/>
      <c r="AR159" s="22"/>
      <c r="AS159" s="22" t="s">
        <v>241</v>
      </c>
      <c r="AT159" s="22" t="s">
        <v>792</v>
      </c>
      <c r="AU159" s="25" t="str">
        <f>VLOOKUP(O159,[1]Lookup!A:B,2,FALSE)</f>
        <v>Test-SIT</v>
      </c>
      <c r="AV159" s="25" t="str">
        <f>VLOOKUP(test1[[#This Row],[Assignee]],lookup[#All],2,FALSE)</f>
        <v>Test-SIT</v>
      </c>
      <c r="AW159" s="25">
        <f ca="1">IF(test1[[#This Row],[Status]]&lt;&gt;"Closed", TODAY()-INT(test1[[#This Row],[Created]]),INT(test1[[#This Row],[Resolved]])-INT(test1[[#This Row],[Created]]))</f>
        <v>53</v>
      </c>
    </row>
    <row r="160" spans="1:49" ht="299.25" x14ac:dyDescent="0.2">
      <c r="A160" s="48" t="s">
        <v>86</v>
      </c>
      <c r="B160" s="29" t="s">
        <v>1246</v>
      </c>
      <c r="C160" s="27" t="s">
        <v>1247</v>
      </c>
      <c r="D160" s="22" t="s">
        <v>241</v>
      </c>
      <c r="E160" s="22" t="s">
        <v>792</v>
      </c>
      <c r="F160" s="27"/>
      <c r="G160" s="27" t="s">
        <v>510</v>
      </c>
      <c r="H160" s="27"/>
      <c r="I160" s="27"/>
      <c r="J160" s="14" t="s">
        <v>91</v>
      </c>
      <c r="K160" s="14" t="s">
        <v>59</v>
      </c>
      <c r="L160" s="14" t="s">
        <v>93</v>
      </c>
      <c r="M160" s="14" t="s">
        <v>132</v>
      </c>
      <c r="N160" s="18" t="s">
        <v>30</v>
      </c>
      <c r="O160" s="14" t="s">
        <v>30</v>
      </c>
      <c r="P160" s="19">
        <v>42775.848611111112</v>
      </c>
      <c r="Q160" s="19">
        <v>42787.654861111114</v>
      </c>
      <c r="R160" s="19">
        <v>42787.654861111114</v>
      </c>
      <c r="S160" s="14" t="s">
        <v>660</v>
      </c>
      <c r="T160" s="14" t="s">
        <v>510</v>
      </c>
      <c r="U160" s="14" t="s">
        <v>96</v>
      </c>
      <c r="V160" s="14"/>
      <c r="W160" s="14">
        <v>0</v>
      </c>
      <c r="X160" s="14">
        <v>0</v>
      </c>
      <c r="Y160" s="14"/>
      <c r="Z160" s="14"/>
      <c r="AA160" s="14"/>
      <c r="AB160" s="14"/>
      <c r="AC160" s="14"/>
      <c r="AD160" s="14"/>
      <c r="AE160" s="14"/>
      <c r="AF160" s="14" t="s">
        <v>1248</v>
      </c>
      <c r="AG160" s="14" t="s">
        <v>1249</v>
      </c>
      <c r="AH160" s="14"/>
      <c r="AI160" s="14"/>
      <c r="AJ160" s="14"/>
      <c r="AK160" s="14"/>
      <c r="AL160" s="14"/>
      <c r="AM160" s="14"/>
      <c r="AN160" s="14" t="s">
        <v>788</v>
      </c>
      <c r="AO160" s="14" t="s">
        <v>1002</v>
      </c>
      <c r="AP160" s="14"/>
      <c r="AQ160" s="14"/>
      <c r="AR160" s="22"/>
      <c r="AS160" s="22" t="s">
        <v>241</v>
      </c>
      <c r="AT160" s="22" t="s">
        <v>792</v>
      </c>
      <c r="AU160" s="25" t="str">
        <f>VLOOKUP(O160,[1]Lookup!A:B,2,FALSE)</f>
        <v>Test-SIT</v>
      </c>
      <c r="AV160" s="25" t="str">
        <f>VLOOKUP(test1[[#This Row],[Assignee]],lookup[#All],2,FALSE)</f>
        <v>Test-SIT</v>
      </c>
      <c r="AW160" s="25">
        <f ca="1">IF(test1[[#This Row],[Status]]&lt;&gt;"Closed", TODAY()-INT(test1[[#This Row],[Created]]),INT(test1[[#This Row],[Resolved]])-INT(test1[[#This Row],[Created]]))</f>
        <v>53</v>
      </c>
    </row>
    <row r="161" spans="1:49" ht="327.75" x14ac:dyDescent="0.2">
      <c r="A161" s="48" t="s">
        <v>86</v>
      </c>
      <c r="B161" s="29" t="s">
        <v>1243</v>
      </c>
      <c r="C161" s="27" t="s">
        <v>1244</v>
      </c>
      <c r="D161" s="22" t="s">
        <v>241</v>
      </c>
      <c r="E161" s="22" t="s">
        <v>792</v>
      </c>
      <c r="F161" s="27"/>
      <c r="G161" s="27" t="s">
        <v>510</v>
      </c>
      <c r="H161" s="27"/>
      <c r="I161" s="27"/>
      <c r="J161" s="14" t="s">
        <v>91</v>
      </c>
      <c r="K161" s="14" t="s">
        <v>59</v>
      </c>
      <c r="L161" s="14" t="s">
        <v>93</v>
      </c>
      <c r="M161" s="14" t="s">
        <v>132</v>
      </c>
      <c r="N161" s="18" t="s">
        <v>30</v>
      </c>
      <c r="O161" s="14" t="s">
        <v>30</v>
      </c>
      <c r="P161" s="19">
        <v>42775.850694444445</v>
      </c>
      <c r="Q161" s="19">
        <v>42788.724305555559</v>
      </c>
      <c r="R161" s="19">
        <v>42788.724305555559</v>
      </c>
      <c r="S161" s="14" t="s">
        <v>660</v>
      </c>
      <c r="T161" s="14" t="s">
        <v>510</v>
      </c>
      <c r="U161" s="14" t="s">
        <v>96</v>
      </c>
      <c r="V161" s="14"/>
      <c r="W161" s="14">
        <v>0</v>
      </c>
      <c r="X161" s="14">
        <v>0</v>
      </c>
      <c r="Y161" s="14"/>
      <c r="Z161" s="14"/>
      <c r="AA161" s="14"/>
      <c r="AB161" s="14"/>
      <c r="AC161" s="14"/>
      <c r="AD161" s="14"/>
      <c r="AE161" s="14"/>
      <c r="AF161" s="14" t="s">
        <v>907</v>
      </c>
      <c r="AG161" s="14" t="s">
        <v>1245</v>
      </c>
      <c r="AH161" s="14"/>
      <c r="AI161" s="14"/>
      <c r="AJ161" s="14"/>
      <c r="AK161" s="14"/>
      <c r="AL161" s="14"/>
      <c r="AM161" s="14"/>
      <c r="AN161" s="14" t="s">
        <v>1142</v>
      </c>
      <c r="AO161" s="14" t="s">
        <v>1002</v>
      </c>
      <c r="AP161" s="14"/>
      <c r="AQ161" s="14"/>
      <c r="AR161" s="22"/>
      <c r="AS161" s="22" t="s">
        <v>241</v>
      </c>
      <c r="AT161" s="22" t="s">
        <v>792</v>
      </c>
      <c r="AU161" s="25" t="str">
        <f>VLOOKUP(O161,[1]Lookup!A:B,2,FALSE)</f>
        <v>Test-SIT</v>
      </c>
      <c r="AV161" s="25" t="str">
        <f>VLOOKUP(test1[[#This Row],[Assignee]],lookup[#All],2,FALSE)</f>
        <v>Test-SIT</v>
      </c>
      <c r="AW161" s="25">
        <f ca="1">IF(test1[[#This Row],[Status]]&lt;&gt;"Closed", TODAY()-INT(test1[[#This Row],[Created]]),INT(test1[[#This Row],[Resolved]])-INT(test1[[#This Row],[Created]]))</f>
        <v>53</v>
      </c>
    </row>
    <row r="162" spans="1:49" ht="299.25" x14ac:dyDescent="0.2">
      <c r="A162" s="48" t="s">
        <v>86</v>
      </c>
      <c r="B162" s="29" t="s">
        <v>1240</v>
      </c>
      <c r="C162" s="27" t="s">
        <v>1241</v>
      </c>
      <c r="D162" s="22" t="s">
        <v>241</v>
      </c>
      <c r="E162" s="22" t="s">
        <v>792</v>
      </c>
      <c r="F162" s="27"/>
      <c r="G162" s="27" t="s">
        <v>510</v>
      </c>
      <c r="H162" s="27"/>
      <c r="I162" s="27"/>
      <c r="J162" s="14" t="s">
        <v>91</v>
      </c>
      <c r="K162" s="14" t="s">
        <v>59</v>
      </c>
      <c r="L162" s="14" t="s">
        <v>93</v>
      </c>
      <c r="M162" s="14" t="s">
        <v>132</v>
      </c>
      <c r="N162" s="18" t="s">
        <v>30</v>
      </c>
      <c r="O162" s="14" t="s">
        <v>30</v>
      </c>
      <c r="P162" s="19">
        <v>42775.854166666664</v>
      </c>
      <c r="Q162" s="19">
        <v>42787.655555555553</v>
      </c>
      <c r="R162" s="19">
        <v>42787.655555555553</v>
      </c>
      <c r="S162" s="14" t="s">
        <v>660</v>
      </c>
      <c r="T162" s="14" t="s">
        <v>510</v>
      </c>
      <c r="U162" s="14" t="s">
        <v>96</v>
      </c>
      <c r="V162" s="14"/>
      <c r="W162" s="14">
        <v>0</v>
      </c>
      <c r="X162" s="14">
        <v>0</v>
      </c>
      <c r="Y162" s="14"/>
      <c r="Z162" s="14"/>
      <c r="AA162" s="14"/>
      <c r="AB162" s="14"/>
      <c r="AC162" s="14"/>
      <c r="AD162" s="14"/>
      <c r="AE162" s="14"/>
      <c r="AF162" s="14" t="s">
        <v>907</v>
      </c>
      <c r="AG162" s="14" t="s">
        <v>1242</v>
      </c>
      <c r="AH162" s="14"/>
      <c r="AI162" s="14"/>
      <c r="AJ162" s="14"/>
      <c r="AK162" s="14"/>
      <c r="AL162" s="14"/>
      <c r="AM162" s="14"/>
      <c r="AN162" s="14" t="s">
        <v>1142</v>
      </c>
      <c r="AO162" s="14" t="s">
        <v>1002</v>
      </c>
      <c r="AP162" s="14"/>
      <c r="AQ162" s="14"/>
      <c r="AR162" s="22"/>
      <c r="AS162" s="22" t="s">
        <v>241</v>
      </c>
      <c r="AT162" s="22" t="s">
        <v>792</v>
      </c>
      <c r="AU162" s="25" t="str">
        <f>VLOOKUP(O162,[1]Lookup!A:B,2,FALSE)</f>
        <v>Test-SIT</v>
      </c>
      <c r="AV162" s="25" t="str">
        <f>VLOOKUP(test1[[#This Row],[Assignee]],lookup[#All],2,FALSE)</f>
        <v>Test-SIT</v>
      </c>
      <c r="AW162" s="25">
        <f ca="1">IF(test1[[#This Row],[Status]]&lt;&gt;"Closed", TODAY()-INT(test1[[#This Row],[Created]]),INT(test1[[#This Row],[Resolved]])-INT(test1[[#This Row],[Created]]))</f>
        <v>53</v>
      </c>
    </row>
    <row r="163" spans="1:49" ht="299.25" x14ac:dyDescent="0.2">
      <c r="A163" s="48" t="s">
        <v>86</v>
      </c>
      <c r="B163" s="29" t="s">
        <v>1236</v>
      </c>
      <c r="C163" s="27" t="s">
        <v>1237</v>
      </c>
      <c r="D163" s="22" t="s">
        <v>241</v>
      </c>
      <c r="E163" s="22" t="s">
        <v>792</v>
      </c>
      <c r="F163" s="27"/>
      <c r="G163" s="27" t="s">
        <v>660</v>
      </c>
      <c r="H163" s="27"/>
      <c r="I163" s="27"/>
      <c r="J163" s="14" t="s">
        <v>91</v>
      </c>
      <c r="K163" s="14" t="s">
        <v>59</v>
      </c>
      <c r="L163" s="14" t="s">
        <v>93</v>
      </c>
      <c r="M163" s="14" t="s">
        <v>132</v>
      </c>
      <c r="N163" s="18" t="s">
        <v>30</v>
      </c>
      <c r="O163" s="14" t="s">
        <v>30</v>
      </c>
      <c r="P163" s="19">
        <v>42775.856944444444</v>
      </c>
      <c r="Q163" s="19">
        <v>42779.823611111111</v>
      </c>
      <c r="R163" s="19">
        <v>42779.823611111111</v>
      </c>
      <c r="S163" s="14" t="s">
        <v>660</v>
      </c>
      <c r="T163" s="14" t="s">
        <v>660</v>
      </c>
      <c r="U163" s="14" t="s">
        <v>96</v>
      </c>
      <c r="V163" s="14"/>
      <c r="W163" s="14">
        <v>0</v>
      </c>
      <c r="X163" s="14">
        <v>0</v>
      </c>
      <c r="Y163" s="14"/>
      <c r="Z163" s="14"/>
      <c r="AA163" s="14"/>
      <c r="AB163" s="14"/>
      <c r="AC163" s="14"/>
      <c r="AD163" s="14"/>
      <c r="AE163" s="14"/>
      <c r="AF163" s="14" t="s">
        <v>907</v>
      </c>
      <c r="AG163" s="14" t="s">
        <v>1238</v>
      </c>
      <c r="AH163" s="14"/>
      <c r="AI163" s="14"/>
      <c r="AJ163" s="14"/>
      <c r="AK163" s="14"/>
      <c r="AL163" s="14"/>
      <c r="AM163" s="14"/>
      <c r="AN163" s="14" t="s">
        <v>1142</v>
      </c>
      <c r="AO163" s="14" t="s">
        <v>1239</v>
      </c>
      <c r="AP163" s="14"/>
      <c r="AQ163" s="14"/>
      <c r="AR163" s="22"/>
      <c r="AS163" s="22" t="s">
        <v>241</v>
      </c>
      <c r="AT163" s="22" t="s">
        <v>792</v>
      </c>
      <c r="AU163" s="25" t="str">
        <f>VLOOKUP(O163,[1]Lookup!A:B,2,FALSE)</f>
        <v>Test-SIT</v>
      </c>
      <c r="AV163" s="25" t="str">
        <f>VLOOKUP(test1[[#This Row],[Assignee]],lookup[#All],2,FALSE)</f>
        <v>Test-SIT</v>
      </c>
      <c r="AW163" s="25">
        <f ca="1">IF(test1[[#This Row],[Status]]&lt;&gt;"Closed", TODAY()-INT(test1[[#This Row],[Created]]),INT(test1[[#This Row],[Resolved]])-INT(test1[[#This Row],[Created]]))</f>
        <v>53</v>
      </c>
    </row>
    <row r="164" spans="1:49" ht="285" x14ac:dyDescent="0.2">
      <c r="A164" s="48" t="s">
        <v>86</v>
      </c>
      <c r="B164" s="29" t="s">
        <v>1233</v>
      </c>
      <c r="C164" s="27" t="s">
        <v>1234</v>
      </c>
      <c r="D164" s="22" t="s">
        <v>241</v>
      </c>
      <c r="E164" s="22" t="s">
        <v>792</v>
      </c>
      <c r="F164" s="27"/>
      <c r="G164" s="27" t="s">
        <v>510</v>
      </c>
      <c r="H164" s="27"/>
      <c r="I164" s="27"/>
      <c r="J164" s="14" t="s">
        <v>91</v>
      </c>
      <c r="K164" s="14" t="s">
        <v>59</v>
      </c>
      <c r="L164" s="14" t="s">
        <v>93</v>
      </c>
      <c r="M164" s="14" t="s">
        <v>132</v>
      </c>
      <c r="N164" s="18" t="s">
        <v>30</v>
      </c>
      <c r="O164" s="14" t="s">
        <v>30</v>
      </c>
      <c r="P164" s="19">
        <v>42775.859722222223</v>
      </c>
      <c r="Q164" s="19">
        <v>42787.65625</v>
      </c>
      <c r="R164" s="19">
        <v>42787.65625</v>
      </c>
      <c r="S164" s="14" t="s">
        <v>660</v>
      </c>
      <c r="T164" s="14" t="s">
        <v>510</v>
      </c>
      <c r="U164" s="14" t="s">
        <v>96</v>
      </c>
      <c r="V164" s="14"/>
      <c r="W164" s="14">
        <v>0</v>
      </c>
      <c r="X164" s="14">
        <v>0</v>
      </c>
      <c r="Y164" s="14"/>
      <c r="Z164" s="14"/>
      <c r="AA164" s="14"/>
      <c r="AB164" s="14"/>
      <c r="AC164" s="14"/>
      <c r="AD164" s="14"/>
      <c r="AE164" s="14"/>
      <c r="AF164" s="14" t="s">
        <v>907</v>
      </c>
      <c r="AG164" s="14" t="s">
        <v>1235</v>
      </c>
      <c r="AH164" s="14"/>
      <c r="AI164" s="14"/>
      <c r="AJ164" s="14"/>
      <c r="AK164" s="14"/>
      <c r="AL164" s="14"/>
      <c r="AM164" s="14"/>
      <c r="AN164" s="14" t="s">
        <v>1142</v>
      </c>
      <c r="AO164" s="14" t="s">
        <v>1002</v>
      </c>
      <c r="AP164" s="14"/>
      <c r="AQ164" s="14"/>
      <c r="AR164" s="22"/>
      <c r="AS164" s="22" t="s">
        <v>241</v>
      </c>
      <c r="AT164" s="22" t="s">
        <v>792</v>
      </c>
      <c r="AU164" s="25" t="str">
        <f>VLOOKUP(O164,[1]Lookup!A:B,2,FALSE)</f>
        <v>Test-SIT</v>
      </c>
      <c r="AV164" s="25" t="str">
        <f>VLOOKUP(test1[[#This Row],[Assignee]],lookup[#All],2,FALSE)</f>
        <v>Test-SIT</v>
      </c>
      <c r="AW164" s="25">
        <f ca="1">IF(test1[[#This Row],[Status]]&lt;&gt;"Closed", TODAY()-INT(test1[[#This Row],[Created]]),INT(test1[[#This Row],[Resolved]])-INT(test1[[#This Row],[Created]]))</f>
        <v>53</v>
      </c>
    </row>
    <row r="165" spans="1:49" ht="299.25" x14ac:dyDescent="0.2">
      <c r="A165" s="48" t="s">
        <v>86</v>
      </c>
      <c r="B165" s="29" t="s">
        <v>1230</v>
      </c>
      <c r="C165" s="27" t="s">
        <v>1231</v>
      </c>
      <c r="D165" s="22" t="s">
        <v>241</v>
      </c>
      <c r="E165" s="22" t="s">
        <v>792</v>
      </c>
      <c r="F165" s="27"/>
      <c r="G165" s="27" t="s">
        <v>510</v>
      </c>
      <c r="H165" s="27"/>
      <c r="I165" s="27"/>
      <c r="J165" s="14" t="s">
        <v>91</v>
      </c>
      <c r="K165" s="14" t="s">
        <v>59</v>
      </c>
      <c r="L165" s="14" t="s">
        <v>93</v>
      </c>
      <c r="M165" s="14" t="s">
        <v>132</v>
      </c>
      <c r="N165" s="18" t="s">
        <v>30</v>
      </c>
      <c r="O165" s="14" t="s">
        <v>30</v>
      </c>
      <c r="P165" s="19">
        <v>42775.861805555556</v>
      </c>
      <c r="Q165" s="19">
        <v>42787.65625</v>
      </c>
      <c r="R165" s="19">
        <v>42787.65625</v>
      </c>
      <c r="S165" s="14" t="s">
        <v>660</v>
      </c>
      <c r="T165" s="14" t="s">
        <v>510</v>
      </c>
      <c r="U165" s="14" t="s">
        <v>96</v>
      </c>
      <c r="V165" s="14"/>
      <c r="W165" s="14">
        <v>0</v>
      </c>
      <c r="X165" s="14">
        <v>0</v>
      </c>
      <c r="Y165" s="14"/>
      <c r="Z165" s="14"/>
      <c r="AA165" s="14"/>
      <c r="AB165" s="14"/>
      <c r="AC165" s="14"/>
      <c r="AD165" s="14"/>
      <c r="AE165" s="14"/>
      <c r="AF165" s="14" t="s">
        <v>907</v>
      </c>
      <c r="AG165" s="14" t="s">
        <v>1232</v>
      </c>
      <c r="AH165" s="14"/>
      <c r="AI165" s="14"/>
      <c r="AJ165" s="14"/>
      <c r="AK165" s="14"/>
      <c r="AL165" s="14"/>
      <c r="AM165" s="14"/>
      <c r="AN165" s="14" t="s">
        <v>1142</v>
      </c>
      <c r="AO165" s="14" t="s">
        <v>1002</v>
      </c>
      <c r="AP165" s="14"/>
      <c r="AQ165" s="14"/>
      <c r="AR165" s="22"/>
      <c r="AS165" s="22" t="s">
        <v>241</v>
      </c>
      <c r="AT165" s="22" t="s">
        <v>792</v>
      </c>
      <c r="AU165" s="25" t="str">
        <f>VLOOKUP(O165,[1]Lookup!A:B,2,FALSE)</f>
        <v>Test-SIT</v>
      </c>
      <c r="AV165" s="25" t="str">
        <f>VLOOKUP(test1[[#This Row],[Assignee]],lookup[#All],2,FALSE)</f>
        <v>Test-SIT</v>
      </c>
      <c r="AW165" s="25">
        <f ca="1">IF(test1[[#This Row],[Status]]&lt;&gt;"Closed", TODAY()-INT(test1[[#This Row],[Created]]),INT(test1[[#This Row],[Resolved]])-INT(test1[[#This Row],[Created]]))</f>
        <v>53</v>
      </c>
    </row>
    <row r="166" spans="1:49" ht="285" x14ac:dyDescent="0.2">
      <c r="A166" s="48" t="s">
        <v>86</v>
      </c>
      <c r="B166" s="29" t="s">
        <v>1227</v>
      </c>
      <c r="C166" s="27" t="s">
        <v>1228</v>
      </c>
      <c r="D166" s="22" t="s">
        <v>96</v>
      </c>
      <c r="E166" s="22" t="s">
        <v>166</v>
      </c>
      <c r="F166" s="27"/>
      <c r="G166" s="27" t="s">
        <v>510</v>
      </c>
      <c r="H166" s="27"/>
      <c r="I166" s="27"/>
      <c r="J166" s="14" t="s">
        <v>91</v>
      </c>
      <c r="K166" s="14" t="s">
        <v>59</v>
      </c>
      <c r="L166" s="14" t="s">
        <v>167</v>
      </c>
      <c r="M166" s="14" t="s">
        <v>132</v>
      </c>
      <c r="N166" s="18" t="s">
        <v>30</v>
      </c>
      <c r="O166" s="14" t="s">
        <v>30</v>
      </c>
      <c r="P166" s="19">
        <v>42775.863194444442</v>
      </c>
      <c r="Q166" s="19">
        <v>42787.65625</v>
      </c>
      <c r="R166" s="19">
        <v>42787.65625</v>
      </c>
      <c r="S166" s="14" t="s">
        <v>660</v>
      </c>
      <c r="T166" s="14" t="s">
        <v>510</v>
      </c>
      <c r="U166" s="14" t="s">
        <v>96</v>
      </c>
      <c r="V166" s="14"/>
      <c r="W166" s="14">
        <v>0</v>
      </c>
      <c r="X166" s="14">
        <v>0</v>
      </c>
      <c r="Y166" s="14"/>
      <c r="Z166" s="14"/>
      <c r="AA166" s="14"/>
      <c r="AB166" s="14"/>
      <c r="AC166" s="14"/>
      <c r="AD166" s="14"/>
      <c r="AE166" s="14"/>
      <c r="AF166" s="14" t="s">
        <v>907</v>
      </c>
      <c r="AG166" s="14" t="s">
        <v>1229</v>
      </c>
      <c r="AH166" s="14"/>
      <c r="AI166" s="14"/>
      <c r="AJ166" s="14"/>
      <c r="AK166" s="14"/>
      <c r="AL166" s="14"/>
      <c r="AM166" s="14"/>
      <c r="AN166" s="14" t="s">
        <v>1142</v>
      </c>
      <c r="AO166" s="14" t="s">
        <v>1002</v>
      </c>
      <c r="AP166" s="14"/>
      <c r="AQ166" s="14"/>
      <c r="AR166" s="22"/>
      <c r="AS166" s="22" t="s">
        <v>96</v>
      </c>
      <c r="AT166" s="22" t="s">
        <v>166</v>
      </c>
      <c r="AU166" s="25" t="str">
        <f>VLOOKUP(O166,[1]Lookup!A:B,2,FALSE)</f>
        <v>Test-SIT</v>
      </c>
      <c r="AV166" s="25" t="str">
        <f>VLOOKUP(test1[[#This Row],[Assignee]],lookup[#All],2,FALSE)</f>
        <v>Test-SIT</v>
      </c>
      <c r="AW166" s="25">
        <f ca="1">IF(test1[[#This Row],[Status]]&lt;&gt;"Closed", TODAY()-INT(test1[[#This Row],[Created]]),INT(test1[[#This Row],[Resolved]])-INT(test1[[#This Row],[Created]]))</f>
        <v>53</v>
      </c>
    </row>
    <row r="167" spans="1:49" ht="299.25" x14ac:dyDescent="0.2">
      <c r="A167" s="48" t="s">
        <v>86</v>
      </c>
      <c r="B167" s="29" t="s">
        <v>1224</v>
      </c>
      <c r="C167" s="27" t="s">
        <v>1225</v>
      </c>
      <c r="D167" s="22" t="s">
        <v>241</v>
      </c>
      <c r="E167" s="22" t="s">
        <v>792</v>
      </c>
      <c r="F167" s="27"/>
      <c r="G167" s="27" t="s">
        <v>510</v>
      </c>
      <c r="H167" s="27"/>
      <c r="I167" s="27"/>
      <c r="J167" s="14" t="s">
        <v>91</v>
      </c>
      <c r="K167" s="14" t="s">
        <v>59</v>
      </c>
      <c r="L167" s="14" t="s">
        <v>93</v>
      </c>
      <c r="M167" s="14" t="s">
        <v>132</v>
      </c>
      <c r="N167" s="18" t="s">
        <v>30</v>
      </c>
      <c r="O167" s="14" t="s">
        <v>30</v>
      </c>
      <c r="P167" s="19">
        <v>42775.864583333336</v>
      </c>
      <c r="Q167" s="19">
        <v>42787.65625</v>
      </c>
      <c r="R167" s="19">
        <v>42787.65625</v>
      </c>
      <c r="S167" s="14" t="s">
        <v>660</v>
      </c>
      <c r="T167" s="14" t="s">
        <v>510</v>
      </c>
      <c r="U167" s="14" t="s">
        <v>96</v>
      </c>
      <c r="V167" s="14"/>
      <c r="W167" s="14">
        <v>0</v>
      </c>
      <c r="X167" s="14">
        <v>0</v>
      </c>
      <c r="Y167" s="14"/>
      <c r="Z167" s="14"/>
      <c r="AA167" s="14"/>
      <c r="AB167" s="14"/>
      <c r="AC167" s="14"/>
      <c r="AD167" s="14"/>
      <c r="AE167" s="14"/>
      <c r="AF167" s="14" t="s">
        <v>907</v>
      </c>
      <c r="AG167" s="14" t="s">
        <v>1226</v>
      </c>
      <c r="AH167" s="14"/>
      <c r="AI167" s="14"/>
      <c r="AJ167" s="14"/>
      <c r="AK167" s="14"/>
      <c r="AL167" s="14"/>
      <c r="AM167" s="14"/>
      <c r="AN167" s="14" t="s">
        <v>1142</v>
      </c>
      <c r="AO167" s="14" t="s">
        <v>1002</v>
      </c>
      <c r="AP167" s="14"/>
      <c r="AQ167" s="14"/>
      <c r="AR167" s="22"/>
      <c r="AS167" s="22" t="s">
        <v>241</v>
      </c>
      <c r="AT167" s="22" t="s">
        <v>792</v>
      </c>
      <c r="AU167" s="25" t="str">
        <f>VLOOKUP(O167,[1]Lookup!A:B,2,FALSE)</f>
        <v>Test-SIT</v>
      </c>
      <c r="AV167" s="25" t="str">
        <f>VLOOKUP(test1[[#This Row],[Assignee]],lookup[#All],2,FALSE)</f>
        <v>Test-SIT</v>
      </c>
      <c r="AW167" s="25">
        <f ca="1">IF(test1[[#This Row],[Status]]&lt;&gt;"Closed", TODAY()-INT(test1[[#This Row],[Created]]),INT(test1[[#This Row],[Resolved]])-INT(test1[[#This Row],[Created]]))</f>
        <v>53</v>
      </c>
    </row>
    <row r="168" spans="1:49" ht="313.5" x14ac:dyDescent="0.2">
      <c r="A168" s="48" t="s">
        <v>86</v>
      </c>
      <c r="B168" s="29" t="s">
        <v>1221</v>
      </c>
      <c r="C168" s="27" t="s">
        <v>1222</v>
      </c>
      <c r="D168" s="22" t="s">
        <v>241</v>
      </c>
      <c r="E168" s="22" t="s">
        <v>792</v>
      </c>
      <c r="F168" s="27"/>
      <c r="G168" s="27" t="s">
        <v>510</v>
      </c>
      <c r="H168" s="27"/>
      <c r="I168" s="27"/>
      <c r="J168" s="14" t="s">
        <v>91</v>
      </c>
      <c r="K168" s="14" t="s">
        <v>59</v>
      </c>
      <c r="L168" s="14" t="s">
        <v>93</v>
      </c>
      <c r="M168" s="14" t="s">
        <v>132</v>
      </c>
      <c r="N168" s="18" t="s">
        <v>30</v>
      </c>
      <c r="O168" s="14" t="s">
        <v>30</v>
      </c>
      <c r="P168" s="19">
        <v>42775.870833333334</v>
      </c>
      <c r="Q168" s="19">
        <v>42787.65625</v>
      </c>
      <c r="R168" s="19">
        <v>42787.65625</v>
      </c>
      <c r="S168" s="14" t="s">
        <v>660</v>
      </c>
      <c r="T168" s="14" t="s">
        <v>510</v>
      </c>
      <c r="U168" s="14" t="s">
        <v>96</v>
      </c>
      <c r="V168" s="14"/>
      <c r="W168" s="14">
        <v>0</v>
      </c>
      <c r="X168" s="14">
        <v>0</v>
      </c>
      <c r="Y168" s="14"/>
      <c r="Z168" s="14"/>
      <c r="AA168" s="14"/>
      <c r="AB168" s="14"/>
      <c r="AC168" s="14"/>
      <c r="AD168" s="14"/>
      <c r="AE168" s="14"/>
      <c r="AF168" s="14" t="s">
        <v>907</v>
      </c>
      <c r="AG168" s="14" t="s">
        <v>1223</v>
      </c>
      <c r="AH168" s="14"/>
      <c r="AI168" s="14"/>
      <c r="AJ168" s="14"/>
      <c r="AK168" s="14"/>
      <c r="AL168" s="14"/>
      <c r="AM168" s="14"/>
      <c r="AN168" s="14" t="s">
        <v>909</v>
      </c>
      <c r="AO168" s="14" t="s">
        <v>1002</v>
      </c>
      <c r="AP168" s="14"/>
      <c r="AQ168" s="14"/>
      <c r="AR168" s="22"/>
      <c r="AS168" s="22" t="s">
        <v>241</v>
      </c>
      <c r="AT168" s="22" t="s">
        <v>792</v>
      </c>
      <c r="AU168" s="25" t="str">
        <f>VLOOKUP(O168,[1]Lookup!A:B,2,FALSE)</f>
        <v>Test-SIT</v>
      </c>
      <c r="AV168" s="25" t="str">
        <f>VLOOKUP(test1[[#This Row],[Assignee]],lookup[#All],2,FALSE)</f>
        <v>Test-SIT</v>
      </c>
      <c r="AW168" s="25">
        <f ca="1">IF(test1[[#This Row],[Status]]&lt;&gt;"Closed", TODAY()-INT(test1[[#This Row],[Created]]),INT(test1[[#This Row],[Resolved]])-INT(test1[[#This Row],[Created]]))</f>
        <v>53</v>
      </c>
    </row>
    <row r="169" spans="1:49" ht="285" x14ac:dyDescent="0.2">
      <c r="A169" s="48" t="s">
        <v>86</v>
      </c>
      <c r="B169" s="29" t="s">
        <v>1218</v>
      </c>
      <c r="C169" s="27" t="s">
        <v>1219</v>
      </c>
      <c r="D169" s="22" t="s">
        <v>241</v>
      </c>
      <c r="E169" s="22" t="s">
        <v>792</v>
      </c>
      <c r="F169" s="27"/>
      <c r="G169" s="27" t="s">
        <v>510</v>
      </c>
      <c r="H169" s="27"/>
      <c r="I169" s="27"/>
      <c r="J169" s="14" t="s">
        <v>91</v>
      </c>
      <c r="K169" s="14" t="s">
        <v>59</v>
      </c>
      <c r="L169" s="14" t="s">
        <v>93</v>
      </c>
      <c r="M169" s="14" t="s">
        <v>132</v>
      </c>
      <c r="N169" s="18" t="s">
        <v>30</v>
      </c>
      <c r="O169" s="14" t="s">
        <v>30</v>
      </c>
      <c r="P169" s="19">
        <v>42775.87222222222</v>
      </c>
      <c r="Q169" s="19">
        <v>42787.656944444447</v>
      </c>
      <c r="R169" s="19">
        <v>42787.656944444447</v>
      </c>
      <c r="S169" s="14" t="s">
        <v>660</v>
      </c>
      <c r="T169" s="14" t="s">
        <v>510</v>
      </c>
      <c r="U169" s="14" t="s">
        <v>96</v>
      </c>
      <c r="V169" s="14"/>
      <c r="W169" s="14">
        <v>0</v>
      </c>
      <c r="X169" s="14">
        <v>0</v>
      </c>
      <c r="Y169" s="14"/>
      <c r="Z169" s="14"/>
      <c r="AA169" s="14"/>
      <c r="AB169" s="14"/>
      <c r="AC169" s="14"/>
      <c r="AD169" s="14"/>
      <c r="AE169" s="14"/>
      <c r="AF169" s="14" t="s">
        <v>907</v>
      </c>
      <c r="AG169" s="14" t="s">
        <v>1220</v>
      </c>
      <c r="AH169" s="14"/>
      <c r="AI169" s="14"/>
      <c r="AJ169" s="14"/>
      <c r="AK169" s="14"/>
      <c r="AL169" s="14"/>
      <c r="AM169" s="14"/>
      <c r="AN169" s="14" t="s">
        <v>909</v>
      </c>
      <c r="AO169" s="14" t="s">
        <v>1002</v>
      </c>
      <c r="AP169" s="14"/>
      <c r="AQ169" s="14"/>
      <c r="AR169" s="22"/>
      <c r="AS169" s="22" t="s">
        <v>241</v>
      </c>
      <c r="AT169" s="22" t="s">
        <v>792</v>
      </c>
      <c r="AU169" s="25" t="str">
        <f>VLOOKUP(O169,[1]Lookup!A:B,2,FALSE)</f>
        <v>Test-SIT</v>
      </c>
      <c r="AV169" s="25" t="str">
        <f>VLOOKUP(test1[[#This Row],[Assignee]],lookup[#All],2,FALSE)</f>
        <v>Test-SIT</v>
      </c>
      <c r="AW169" s="25">
        <f ca="1">IF(test1[[#This Row],[Status]]&lt;&gt;"Closed", TODAY()-INT(test1[[#This Row],[Created]]),INT(test1[[#This Row],[Resolved]])-INT(test1[[#This Row],[Created]]))</f>
        <v>53</v>
      </c>
    </row>
    <row r="170" spans="1:49" ht="299.25" x14ac:dyDescent="0.2">
      <c r="A170" s="48" t="s">
        <v>86</v>
      </c>
      <c r="B170" s="29" t="s">
        <v>1214</v>
      </c>
      <c r="C170" s="27" t="s">
        <v>1215</v>
      </c>
      <c r="D170" s="22" t="s">
        <v>241</v>
      </c>
      <c r="E170" s="22" t="s">
        <v>792</v>
      </c>
      <c r="F170" s="27"/>
      <c r="G170" s="27" t="s">
        <v>510</v>
      </c>
      <c r="H170" s="27"/>
      <c r="I170" s="27"/>
      <c r="J170" s="14" t="s">
        <v>91</v>
      </c>
      <c r="K170" s="14" t="s">
        <v>59</v>
      </c>
      <c r="L170" s="14" t="s">
        <v>93</v>
      </c>
      <c r="M170" s="14" t="s">
        <v>132</v>
      </c>
      <c r="N170" s="18" t="s">
        <v>30</v>
      </c>
      <c r="O170" s="14" t="s">
        <v>30</v>
      </c>
      <c r="P170" s="19">
        <v>42775.874305555553</v>
      </c>
      <c r="Q170" s="19">
        <v>42788.72152777778</v>
      </c>
      <c r="R170" s="19">
        <v>42788.72152777778</v>
      </c>
      <c r="S170" s="14" t="s">
        <v>660</v>
      </c>
      <c r="T170" s="14" t="s">
        <v>510</v>
      </c>
      <c r="U170" s="14" t="s">
        <v>96</v>
      </c>
      <c r="V170" s="14"/>
      <c r="W170" s="14">
        <v>0</v>
      </c>
      <c r="X170" s="14">
        <v>0</v>
      </c>
      <c r="Y170" s="14"/>
      <c r="Z170" s="14"/>
      <c r="AA170" s="14"/>
      <c r="AB170" s="14"/>
      <c r="AC170" s="14"/>
      <c r="AD170" s="14"/>
      <c r="AE170" s="14"/>
      <c r="AF170" s="14" t="s">
        <v>907</v>
      </c>
      <c r="AG170" s="14" t="s">
        <v>1216</v>
      </c>
      <c r="AH170" s="14"/>
      <c r="AI170" s="14"/>
      <c r="AJ170" s="14"/>
      <c r="AK170" s="14"/>
      <c r="AL170" s="14"/>
      <c r="AM170" s="14"/>
      <c r="AN170" s="14" t="s">
        <v>909</v>
      </c>
      <c r="AO170" s="14" t="s">
        <v>1217</v>
      </c>
      <c r="AP170" s="14"/>
      <c r="AQ170" s="14"/>
      <c r="AR170" s="22"/>
      <c r="AS170" s="22" t="s">
        <v>241</v>
      </c>
      <c r="AT170" s="22" t="s">
        <v>792</v>
      </c>
      <c r="AU170" s="25" t="str">
        <f>VLOOKUP(O170,[1]Lookup!A:B,2,FALSE)</f>
        <v>Test-SIT</v>
      </c>
      <c r="AV170" s="25" t="str">
        <f>VLOOKUP(test1[[#This Row],[Assignee]],lookup[#All],2,FALSE)</f>
        <v>Test-SIT</v>
      </c>
      <c r="AW170" s="25">
        <f ca="1">IF(test1[[#This Row],[Status]]&lt;&gt;"Closed", TODAY()-INT(test1[[#This Row],[Created]]),INT(test1[[#This Row],[Resolved]])-INT(test1[[#This Row],[Created]]))</f>
        <v>53</v>
      </c>
    </row>
    <row r="171" spans="1:49" ht="409.5" x14ac:dyDescent="0.2">
      <c r="A171" s="48" t="s">
        <v>86</v>
      </c>
      <c r="B171" s="29" t="s">
        <v>1210</v>
      </c>
      <c r="C171" s="27" t="s">
        <v>1211</v>
      </c>
      <c r="D171" s="22" t="s">
        <v>89</v>
      </c>
      <c r="E171" s="22" t="s">
        <v>1055</v>
      </c>
      <c r="F171" s="37" t="s">
        <v>104</v>
      </c>
      <c r="G171" s="37"/>
      <c r="H171" s="37"/>
      <c r="I171" s="37" t="s">
        <v>553</v>
      </c>
      <c r="J171" s="14" t="s">
        <v>91</v>
      </c>
      <c r="K171" s="14" t="s">
        <v>59</v>
      </c>
      <c r="L171" s="14" t="s">
        <v>124</v>
      </c>
      <c r="M171" s="14" t="s">
        <v>132</v>
      </c>
      <c r="N171" s="18" t="s">
        <v>21</v>
      </c>
      <c r="O171" s="14" t="s">
        <v>21</v>
      </c>
      <c r="P171" s="19">
        <v>42776.4</v>
      </c>
      <c r="Q171" s="19">
        <v>42797.385416666664</v>
      </c>
      <c r="R171" s="19">
        <v>42797.385416666664</v>
      </c>
      <c r="S171" s="14" t="s">
        <v>203</v>
      </c>
      <c r="T171" s="14" t="s">
        <v>528</v>
      </c>
      <c r="U171" s="14" t="s">
        <v>412</v>
      </c>
      <c r="V171" s="14"/>
      <c r="W171" s="14">
        <v>0</v>
      </c>
      <c r="X171" s="14">
        <v>0</v>
      </c>
      <c r="Y171" s="14"/>
      <c r="Z171" s="14"/>
      <c r="AA171" s="14"/>
      <c r="AB171" s="14"/>
      <c r="AC171" s="14"/>
      <c r="AD171" s="14"/>
      <c r="AE171" s="14"/>
      <c r="AF171" s="14"/>
      <c r="AG171" s="14" t="s">
        <v>1212</v>
      </c>
      <c r="AH171" s="14"/>
      <c r="AI171" s="14"/>
      <c r="AJ171" s="14"/>
      <c r="AK171" s="14"/>
      <c r="AL171" s="14"/>
      <c r="AM171" s="14"/>
      <c r="AN171" s="14" t="s">
        <v>99</v>
      </c>
      <c r="AO171" s="14" t="s">
        <v>1213</v>
      </c>
      <c r="AP171" s="14"/>
      <c r="AQ171" s="14"/>
      <c r="AR171" s="22"/>
      <c r="AS171" s="22" t="s">
        <v>89</v>
      </c>
      <c r="AT171" s="22" t="s">
        <v>1055</v>
      </c>
      <c r="AU171" s="25" t="str">
        <f>VLOOKUP(O171,[1]Lookup!A:B,2,FALSE)</f>
        <v>Test-SIT</v>
      </c>
      <c r="AV171" s="25" t="str">
        <f>VLOOKUP(test1[[#This Row],[Assignee]],lookup[#All],2,FALSE)</f>
        <v>Test-SIT</v>
      </c>
      <c r="AW171" s="25">
        <f ca="1">IF(test1[[#This Row],[Status]]&lt;&gt;"Closed", TODAY()-INT(test1[[#This Row],[Created]]),INT(test1[[#This Row],[Resolved]])-INT(test1[[#This Row],[Created]]))</f>
        <v>52</v>
      </c>
    </row>
    <row r="172" spans="1:49" ht="409.5" x14ac:dyDescent="0.2">
      <c r="A172" s="48" t="s">
        <v>86</v>
      </c>
      <c r="B172" s="29" t="s">
        <v>1206</v>
      </c>
      <c r="C172" s="27" t="s">
        <v>1207</v>
      </c>
      <c r="D172" s="22" t="s">
        <v>89</v>
      </c>
      <c r="E172" s="22" t="s">
        <v>90</v>
      </c>
      <c r="F172" s="27"/>
      <c r="G172" s="27" t="s">
        <v>203</v>
      </c>
      <c r="H172" s="27"/>
      <c r="I172" s="27"/>
      <c r="J172" s="14" t="s">
        <v>91</v>
      </c>
      <c r="K172" s="14" t="s">
        <v>59</v>
      </c>
      <c r="L172" s="14" t="s">
        <v>124</v>
      </c>
      <c r="M172" s="14" t="s">
        <v>132</v>
      </c>
      <c r="N172" s="18" t="s">
        <v>21</v>
      </c>
      <c r="O172" s="14" t="s">
        <v>21</v>
      </c>
      <c r="P172" s="19">
        <v>42776.402777777781</v>
      </c>
      <c r="Q172" s="19">
        <v>42781.768055555556</v>
      </c>
      <c r="R172" s="19">
        <v>42781.768055555556</v>
      </c>
      <c r="S172" s="14" t="s">
        <v>203</v>
      </c>
      <c r="T172" s="14" t="s">
        <v>203</v>
      </c>
      <c r="U172" s="14" t="s">
        <v>412</v>
      </c>
      <c r="V172" s="14"/>
      <c r="W172" s="14">
        <v>0</v>
      </c>
      <c r="X172" s="14">
        <v>0</v>
      </c>
      <c r="Y172" s="14"/>
      <c r="Z172" s="14"/>
      <c r="AA172" s="14"/>
      <c r="AB172" s="14"/>
      <c r="AC172" s="14"/>
      <c r="AD172" s="14"/>
      <c r="AE172" s="14"/>
      <c r="AF172" s="14"/>
      <c r="AG172" s="14" t="s">
        <v>1208</v>
      </c>
      <c r="AH172" s="14"/>
      <c r="AI172" s="14"/>
      <c r="AJ172" s="14"/>
      <c r="AK172" s="14"/>
      <c r="AL172" s="14"/>
      <c r="AM172" s="14"/>
      <c r="AN172" s="14" t="s">
        <v>99</v>
      </c>
      <c r="AO172" s="14" t="s">
        <v>1209</v>
      </c>
      <c r="AP172" s="14" t="s">
        <v>163</v>
      </c>
      <c r="AQ172" s="14"/>
      <c r="AR172" s="22"/>
      <c r="AS172" s="22" t="s">
        <v>89</v>
      </c>
      <c r="AT172" s="22" t="s">
        <v>90</v>
      </c>
      <c r="AU172" s="25" t="str">
        <f>VLOOKUP(O172,[1]Lookup!A:B,2,FALSE)</f>
        <v>Test-SIT</v>
      </c>
      <c r="AV172" s="25" t="str">
        <f>VLOOKUP(test1[[#This Row],[Assignee]],lookup[#All],2,FALSE)</f>
        <v>Test-SIT</v>
      </c>
      <c r="AW172" s="25">
        <f ca="1">IF(test1[[#This Row],[Status]]&lt;&gt;"Closed", TODAY()-INT(test1[[#This Row],[Created]]),INT(test1[[#This Row],[Resolved]])-INT(test1[[#This Row],[Created]]))</f>
        <v>52</v>
      </c>
    </row>
    <row r="173" spans="1:49" ht="356.25" x14ac:dyDescent="0.2">
      <c r="A173" s="48" t="s">
        <v>86</v>
      </c>
      <c r="B173" s="29" t="s">
        <v>1199</v>
      </c>
      <c r="C173" s="27" t="s">
        <v>1200</v>
      </c>
      <c r="D173" s="22" t="s">
        <v>89</v>
      </c>
      <c r="E173" s="22" t="s">
        <v>507</v>
      </c>
      <c r="F173" s="30" t="s">
        <v>1201</v>
      </c>
      <c r="G173" s="30" t="s">
        <v>174</v>
      </c>
      <c r="H173" s="30"/>
      <c r="I173" s="30" t="s">
        <v>1202</v>
      </c>
      <c r="J173" s="14" t="s">
        <v>91</v>
      </c>
      <c r="K173" s="14" t="s">
        <v>59</v>
      </c>
      <c r="L173" s="14" t="s">
        <v>124</v>
      </c>
      <c r="M173" s="14" t="s">
        <v>132</v>
      </c>
      <c r="N173" s="18" t="s">
        <v>22</v>
      </c>
      <c r="O173" s="14" t="s">
        <v>21</v>
      </c>
      <c r="P173" s="19">
        <v>42776.404166666667</v>
      </c>
      <c r="Q173" s="19">
        <v>42807.57708333333</v>
      </c>
      <c r="R173" s="19">
        <v>42807.57708333333</v>
      </c>
      <c r="S173" s="14" t="s">
        <v>203</v>
      </c>
      <c r="T173" s="14" t="s">
        <v>104</v>
      </c>
      <c r="U173" s="14" t="s">
        <v>242</v>
      </c>
      <c r="V173" s="14"/>
      <c r="W173" s="14">
        <v>0</v>
      </c>
      <c r="X173" s="14">
        <v>0</v>
      </c>
      <c r="Y173" s="14"/>
      <c r="Z173" s="14"/>
      <c r="AA173" s="14"/>
      <c r="AB173" s="14"/>
      <c r="AC173" s="14"/>
      <c r="AD173" s="14"/>
      <c r="AE173" s="14" t="s">
        <v>1203</v>
      </c>
      <c r="AF173" s="14"/>
      <c r="AG173" s="14" t="s">
        <v>1204</v>
      </c>
      <c r="AH173" s="14"/>
      <c r="AI173" s="14"/>
      <c r="AJ173" s="14"/>
      <c r="AK173" s="14"/>
      <c r="AL173" s="14"/>
      <c r="AM173" s="14"/>
      <c r="AN173" s="14" t="s">
        <v>302</v>
      </c>
      <c r="AO173" s="14" t="s">
        <v>1205</v>
      </c>
      <c r="AP173" s="14" t="s">
        <v>950</v>
      </c>
      <c r="AQ173" s="14"/>
      <c r="AR173" s="22"/>
      <c r="AS173" s="22" t="s">
        <v>89</v>
      </c>
      <c r="AT173" s="22" t="s">
        <v>513</v>
      </c>
      <c r="AU173" s="25" t="str">
        <f>VLOOKUP(O173,[1]Lookup!A:B,2,FALSE)</f>
        <v>Test-SIT</v>
      </c>
      <c r="AV173" s="25" t="str">
        <f>VLOOKUP(test1[[#This Row],[Assignee]],lookup[#All],2,FALSE)</f>
        <v>Test-SIT</v>
      </c>
      <c r="AW173" s="25">
        <f ca="1">IF(test1[[#This Row],[Status]]&lt;&gt;"Closed", TODAY()-INT(test1[[#This Row],[Created]]),INT(test1[[#This Row],[Resolved]])-INT(test1[[#This Row],[Created]]))</f>
        <v>52</v>
      </c>
    </row>
    <row r="174" spans="1:49" ht="409.5" x14ac:dyDescent="0.2">
      <c r="A174" s="48" t="s">
        <v>86</v>
      </c>
      <c r="B174" s="29" t="s">
        <v>1195</v>
      </c>
      <c r="C174" s="27" t="s">
        <v>1196</v>
      </c>
      <c r="D174" s="22" t="s">
        <v>89</v>
      </c>
      <c r="E174" s="22" t="s">
        <v>214</v>
      </c>
      <c r="F174" s="27"/>
      <c r="G174" s="27" t="s">
        <v>203</v>
      </c>
      <c r="H174" s="27"/>
      <c r="I174" s="27"/>
      <c r="J174" s="14" t="s">
        <v>91</v>
      </c>
      <c r="K174" s="14" t="s">
        <v>59</v>
      </c>
      <c r="L174" s="14" t="s">
        <v>93</v>
      </c>
      <c r="M174" s="14" t="s">
        <v>132</v>
      </c>
      <c r="N174" s="18" t="s">
        <v>21</v>
      </c>
      <c r="O174" s="14" t="s">
        <v>21</v>
      </c>
      <c r="P174" s="19">
        <v>42776.40625</v>
      </c>
      <c r="Q174" s="19">
        <v>42781.765972222223</v>
      </c>
      <c r="R174" s="19">
        <v>42781.765972222223</v>
      </c>
      <c r="S174" s="14" t="s">
        <v>203</v>
      </c>
      <c r="T174" s="14" t="s">
        <v>203</v>
      </c>
      <c r="U174" s="14" t="s">
        <v>96</v>
      </c>
      <c r="V174" s="14"/>
      <c r="W174" s="14">
        <v>0</v>
      </c>
      <c r="X174" s="14">
        <v>0</v>
      </c>
      <c r="Y174" s="14"/>
      <c r="Z174" s="14"/>
      <c r="AA174" s="14"/>
      <c r="AB174" s="14"/>
      <c r="AC174" s="14"/>
      <c r="AD174" s="14"/>
      <c r="AE174" s="14"/>
      <c r="AF174" s="14"/>
      <c r="AG174" s="14" t="s">
        <v>1197</v>
      </c>
      <c r="AH174" s="14"/>
      <c r="AI174" s="14"/>
      <c r="AJ174" s="14"/>
      <c r="AK174" s="14"/>
      <c r="AL174" s="14"/>
      <c r="AM174" s="14"/>
      <c r="AN174" s="14"/>
      <c r="AO174" s="14" t="s">
        <v>1198</v>
      </c>
      <c r="AP174" s="14" t="s">
        <v>146</v>
      </c>
      <c r="AQ174" s="14"/>
      <c r="AR174" s="22"/>
      <c r="AS174" s="22" t="s">
        <v>89</v>
      </c>
      <c r="AT174" s="22" t="s">
        <v>214</v>
      </c>
      <c r="AU174" s="25" t="str">
        <f>VLOOKUP(O174,[1]Lookup!A:B,2,FALSE)</f>
        <v>Test-SIT</v>
      </c>
      <c r="AV174" s="25" t="str">
        <f>VLOOKUP(test1[[#This Row],[Assignee]],lookup[#All],2,FALSE)</f>
        <v>Test-SIT</v>
      </c>
      <c r="AW174" s="25">
        <f ca="1">IF(test1[[#This Row],[Status]]&lt;&gt;"Closed", TODAY()-INT(test1[[#This Row],[Created]]),INT(test1[[#This Row],[Resolved]])-INT(test1[[#This Row],[Created]]))</f>
        <v>52</v>
      </c>
    </row>
    <row r="175" spans="1:49" ht="57" x14ac:dyDescent="0.2">
      <c r="A175" s="48" t="s">
        <v>86</v>
      </c>
      <c r="B175" s="29" t="s">
        <v>1166</v>
      </c>
      <c r="C175" s="27" t="s">
        <v>1192</v>
      </c>
      <c r="D175" s="22" t="s">
        <v>89</v>
      </c>
      <c r="E175" s="22" t="s">
        <v>90</v>
      </c>
      <c r="F175" s="27"/>
      <c r="G175" s="27" t="s">
        <v>203</v>
      </c>
      <c r="H175" s="27"/>
      <c r="I175" s="27"/>
      <c r="J175" s="14" t="s">
        <v>91</v>
      </c>
      <c r="K175" s="14" t="s">
        <v>275</v>
      </c>
      <c r="L175" s="14" t="s">
        <v>124</v>
      </c>
      <c r="M175" s="14" t="s">
        <v>132</v>
      </c>
      <c r="N175" s="18" t="s">
        <v>21</v>
      </c>
      <c r="O175" s="14" t="s">
        <v>21</v>
      </c>
      <c r="P175" s="19">
        <v>42776.410416666666</v>
      </c>
      <c r="Q175" s="19">
        <v>42786.629861111112</v>
      </c>
      <c r="R175" s="19">
        <v>42782.410416666666</v>
      </c>
      <c r="S175" s="14" t="s">
        <v>203</v>
      </c>
      <c r="T175" s="14" t="s">
        <v>203</v>
      </c>
      <c r="U175" s="14" t="s">
        <v>96</v>
      </c>
      <c r="V175" s="14"/>
      <c r="W175" s="14">
        <v>0</v>
      </c>
      <c r="X175" s="14">
        <v>0</v>
      </c>
      <c r="Y175" s="14"/>
      <c r="Z175" s="14"/>
      <c r="AA175" s="14"/>
      <c r="AB175" s="14"/>
      <c r="AC175" s="14"/>
      <c r="AD175" s="14"/>
      <c r="AE175" s="14" t="s">
        <v>1193</v>
      </c>
      <c r="AF175" s="14"/>
      <c r="AG175" s="14" t="s">
        <v>1194</v>
      </c>
      <c r="AH175" s="14"/>
      <c r="AI175" s="14"/>
      <c r="AJ175" s="14"/>
      <c r="AK175" s="14"/>
      <c r="AL175" s="14"/>
      <c r="AM175" s="14"/>
      <c r="AN175" s="14" t="s">
        <v>529</v>
      </c>
      <c r="AO175" s="14" t="s">
        <v>1168</v>
      </c>
      <c r="AP175" s="14"/>
      <c r="AQ175" s="14"/>
      <c r="AR175" s="22"/>
      <c r="AS175" s="22" t="s">
        <v>89</v>
      </c>
      <c r="AT175" s="22" t="s">
        <v>90</v>
      </c>
      <c r="AU175" s="25" t="str">
        <f>VLOOKUP(O175,[1]Lookup!A:B,2,FALSE)</f>
        <v>Test-SIT</v>
      </c>
      <c r="AV175" s="25" t="str">
        <f>VLOOKUP(test1[[#This Row],[Assignee]],lookup[#All],2,FALSE)</f>
        <v>Test-SIT</v>
      </c>
      <c r="AW175" s="25">
        <f ca="1">IF(test1[[#This Row],[Status]]&lt;&gt;"Closed", TODAY()-INT(test1[[#This Row],[Created]]),INT(test1[[#This Row],[Resolved]])-INT(test1[[#This Row],[Created]]))</f>
        <v>6</v>
      </c>
    </row>
    <row r="176" spans="1:49" ht="313.5" x14ac:dyDescent="0.2">
      <c r="A176" s="48" t="s">
        <v>86</v>
      </c>
      <c r="B176" s="29" t="s">
        <v>1187</v>
      </c>
      <c r="C176" s="27" t="s">
        <v>1188</v>
      </c>
      <c r="D176" s="22" t="s">
        <v>89</v>
      </c>
      <c r="E176" s="22" t="s">
        <v>1189</v>
      </c>
      <c r="F176" s="37" t="s">
        <v>104</v>
      </c>
      <c r="G176" s="37"/>
      <c r="H176" s="37"/>
      <c r="I176" s="37" t="s">
        <v>553</v>
      </c>
      <c r="J176" s="14" t="s">
        <v>91</v>
      </c>
      <c r="K176" s="14" t="s">
        <v>59</v>
      </c>
      <c r="L176" s="14" t="s">
        <v>124</v>
      </c>
      <c r="M176" s="14" t="s">
        <v>132</v>
      </c>
      <c r="N176" s="18" t="s">
        <v>21</v>
      </c>
      <c r="O176" s="14" t="s">
        <v>21</v>
      </c>
      <c r="P176" s="19">
        <v>42776.411805555559</v>
      </c>
      <c r="Q176" s="19">
        <v>42797.393750000003</v>
      </c>
      <c r="R176" s="19">
        <v>42797.393750000003</v>
      </c>
      <c r="S176" s="14" t="s">
        <v>203</v>
      </c>
      <c r="T176" s="14" t="s">
        <v>104</v>
      </c>
      <c r="U176" s="14" t="s">
        <v>89</v>
      </c>
      <c r="V176" s="14"/>
      <c r="W176" s="14">
        <v>0</v>
      </c>
      <c r="X176" s="14">
        <v>0</v>
      </c>
      <c r="Y176" s="14"/>
      <c r="Z176" s="14"/>
      <c r="AA176" s="14"/>
      <c r="AB176" s="14"/>
      <c r="AC176" s="14"/>
      <c r="AD176" s="14"/>
      <c r="AE176" s="14"/>
      <c r="AF176" s="14"/>
      <c r="AG176" s="14" t="s">
        <v>1190</v>
      </c>
      <c r="AH176" s="14"/>
      <c r="AI176" s="14"/>
      <c r="AJ176" s="14"/>
      <c r="AK176" s="14"/>
      <c r="AL176" s="14"/>
      <c r="AM176" s="14"/>
      <c r="AN176" s="14"/>
      <c r="AO176" s="14" t="s">
        <v>1191</v>
      </c>
      <c r="AP176" s="14"/>
      <c r="AQ176" s="14"/>
      <c r="AR176" s="22"/>
      <c r="AS176" s="22" t="s">
        <v>89</v>
      </c>
      <c r="AT176" s="22" t="s">
        <v>1189</v>
      </c>
      <c r="AU176" s="25" t="str">
        <f>VLOOKUP(O176,[1]Lookup!A:B,2,FALSE)</f>
        <v>Test-SIT</v>
      </c>
      <c r="AV176" s="25" t="str">
        <f>VLOOKUP(test1[[#This Row],[Assignee]],lookup[#All],2,FALSE)</f>
        <v>Test-SIT</v>
      </c>
      <c r="AW176" s="25">
        <f ca="1">IF(test1[[#This Row],[Status]]&lt;&gt;"Closed", TODAY()-INT(test1[[#This Row],[Created]]),INT(test1[[#This Row],[Resolved]])-INT(test1[[#This Row],[Created]]))</f>
        <v>52</v>
      </c>
    </row>
    <row r="177" spans="1:49" ht="313.5" x14ac:dyDescent="0.2">
      <c r="A177" s="48" t="s">
        <v>86</v>
      </c>
      <c r="B177" s="29" t="s">
        <v>1183</v>
      </c>
      <c r="C177" s="27" t="s">
        <v>1184</v>
      </c>
      <c r="D177" s="22" t="s">
        <v>241</v>
      </c>
      <c r="E177" s="22" t="s">
        <v>890</v>
      </c>
      <c r="F177" s="27"/>
      <c r="G177" s="27" t="s">
        <v>203</v>
      </c>
      <c r="H177" s="27"/>
      <c r="I177" s="27"/>
      <c r="J177" s="14" t="s">
        <v>91</v>
      </c>
      <c r="K177" s="14" t="s">
        <v>59</v>
      </c>
      <c r="L177" s="14" t="s">
        <v>103</v>
      </c>
      <c r="M177" s="14" t="s">
        <v>132</v>
      </c>
      <c r="N177" s="18" t="s">
        <v>21</v>
      </c>
      <c r="O177" s="14" t="s">
        <v>21</v>
      </c>
      <c r="P177" s="19">
        <v>42776.413194444445</v>
      </c>
      <c r="Q177" s="19">
        <v>42781.765277777777</v>
      </c>
      <c r="R177" s="19">
        <v>42781.765277777777</v>
      </c>
      <c r="S177" s="14" t="s">
        <v>203</v>
      </c>
      <c r="T177" s="14" t="s">
        <v>203</v>
      </c>
      <c r="U177" s="14" t="s">
        <v>96</v>
      </c>
      <c r="V177" s="14"/>
      <c r="W177" s="14">
        <v>0</v>
      </c>
      <c r="X177" s="14">
        <v>0</v>
      </c>
      <c r="Y177" s="14"/>
      <c r="Z177" s="14"/>
      <c r="AA177" s="14"/>
      <c r="AB177" s="14"/>
      <c r="AC177" s="14"/>
      <c r="AD177" s="14"/>
      <c r="AE177" s="14"/>
      <c r="AF177" s="14"/>
      <c r="AG177" s="14" t="s">
        <v>1185</v>
      </c>
      <c r="AH177" s="14"/>
      <c r="AI177" s="14"/>
      <c r="AJ177" s="14"/>
      <c r="AK177" s="14"/>
      <c r="AL177" s="14"/>
      <c r="AM177" s="14"/>
      <c r="AN177" s="14"/>
      <c r="AO177" s="14" t="s">
        <v>1186</v>
      </c>
      <c r="AP177" s="14"/>
      <c r="AQ177" s="14"/>
      <c r="AR177" s="22"/>
      <c r="AS177" s="22" t="s">
        <v>241</v>
      </c>
      <c r="AT177" s="22" t="s">
        <v>890</v>
      </c>
      <c r="AU177" s="25" t="str">
        <f>VLOOKUP(O177,[1]Lookup!A:B,2,FALSE)</f>
        <v>Test-SIT</v>
      </c>
      <c r="AV177" s="25" t="str">
        <f>VLOOKUP(test1[[#This Row],[Assignee]],lookup[#All],2,FALSE)</f>
        <v>Test-SIT</v>
      </c>
      <c r="AW177" s="25">
        <f ca="1">IF(test1[[#This Row],[Status]]&lt;&gt;"Closed", TODAY()-INT(test1[[#This Row],[Created]]),INT(test1[[#This Row],[Resolved]])-INT(test1[[#This Row],[Created]]))</f>
        <v>52</v>
      </c>
    </row>
    <row r="178" spans="1:49" ht="114" x14ac:dyDescent="0.2">
      <c r="A178" s="48" t="s">
        <v>86</v>
      </c>
      <c r="B178" s="29" t="s">
        <v>1178</v>
      </c>
      <c r="C178" s="27" t="s">
        <v>1179</v>
      </c>
      <c r="D178" s="22" t="s">
        <v>89</v>
      </c>
      <c r="E178" s="22" t="s">
        <v>729</v>
      </c>
      <c r="F178" s="37" t="s">
        <v>104</v>
      </c>
      <c r="G178" s="26" t="s">
        <v>373</v>
      </c>
      <c r="H178" s="44" t="s">
        <v>104</v>
      </c>
      <c r="I178" s="37" t="s">
        <v>553</v>
      </c>
      <c r="J178" s="14" t="s">
        <v>91</v>
      </c>
      <c r="K178" s="14" t="s">
        <v>59</v>
      </c>
      <c r="L178" s="14" t="s">
        <v>167</v>
      </c>
      <c r="M178" s="14" t="s">
        <v>132</v>
      </c>
      <c r="N178" s="18" t="s">
        <v>36</v>
      </c>
      <c r="O178" s="14" t="s">
        <v>36</v>
      </c>
      <c r="P178" s="19">
        <v>42776.630555555559</v>
      </c>
      <c r="Q178" s="19">
        <v>42808.635416666664</v>
      </c>
      <c r="R178" s="19">
        <v>42808.635416666664</v>
      </c>
      <c r="S178" s="14" t="s">
        <v>203</v>
      </c>
      <c r="T178" s="14" t="s">
        <v>451</v>
      </c>
      <c r="U178" s="14" t="s">
        <v>96</v>
      </c>
      <c r="V178" s="14"/>
      <c r="W178" s="14">
        <v>0</v>
      </c>
      <c r="X178" s="14">
        <v>0</v>
      </c>
      <c r="Y178" s="20" t="s">
        <v>1180</v>
      </c>
      <c r="Z178" s="14"/>
      <c r="AA178" s="14"/>
      <c r="AB178" s="14"/>
      <c r="AC178" s="14"/>
      <c r="AD178" s="14"/>
      <c r="AE178" s="14"/>
      <c r="AF178" s="14" t="s">
        <v>126</v>
      </c>
      <c r="AG178" s="14" t="s">
        <v>1181</v>
      </c>
      <c r="AH178" s="14"/>
      <c r="AI178" s="14"/>
      <c r="AJ178" s="14"/>
      <c r="AK178" s="14"/>
      <c r="AL178" s="14"/>
      <c r="AM178" s="14"/>
      <c r="AN178" s="14"/>
      <c r="AO178" s="14" t="s">
        <v>1182</v>
      </c>
      <c r="AP178" s="14" t="s">
        <v>146</v>
      </c>
      <c r="AQ178" s="14"/>
      <c r="AR178" s="22"/>
      <c r="AS178" s="22" t="s">
        <v>89</v>
      </c>
      <c r="AT178" s="22" t="s">
        <v>729</v>
      </c>
      <c r="AU178" s="25" t="str">
        <f>VLOOKUP(O178,[1]Lookup!A:B,2,FALSE)</f>
        <v>DMO</v>
      </c>
      <c r="AV178" s="25" t="str">
        <f>VLOOKUP(test1[[#This Row],[Assignee]],lookup[#All],2,FALSE)</f>
        <v>DMO</v>
      </c>
      <c r="AW178" s="25">
        <f ca="1">IF(test1[[#This Row],[Status]]&lt;&gt;"Closed", TODAY()-INT(test1[[#This Row],[Created]]),INT(test1[[#This Row],[Resolved]])-INT(test1[[#This Row],[Created]]))</f>
        <v>52</v>
      </c>
    </row>
    <row r="179" spans="1:49" ht="42.75" x14ac:dyDescent="0.2">
      <c r="A179" s="48" t="s">
        <v>86</v>
      </c>
      <c r="B179" s="29" t="s">
        <v>1173</v>
      </c>
      <c r="C179" s="27" t="s">
        <v>1174</v>
      </c>
      <c r="D179" s="22" t="s">
        <v>89</v>
      </c>
      <c r="E179" s="22" t="s">
        <v>90</v>
      </c>
      <c r="F179" s="27"/>
      <c r="G179" s="27" t="s">
        <v>203</v>
      </c>
      <c r="H179" s="27"/>
      <c r="I179" s="27"/>
      <c r="J179" s="14" t="s">
        <v>91</v>
      </c>
      <c r="K179" s="14" t="s">
        <v>59</v>
      </c>
      <c r="L179" s="14" t="s">
        <v>124</v>
      </c>
      <c r="M179" s="14" t="s">
        <v>132</v>
      </c>
      <c r="N179" s="18" t="s">
        <v>21</v>
      </c>
      <c r="O179" s="14" t="s">
        <v>37</v>
      </c>
      <c r="P179" s="19">
        <v>42776.674305555556</v>
      </c>
      <c r="Q179" s="19">
        <v>42781.958333333336</v>
      </c>
      <c r="R179" s="19">
        <v>42778.929861111108</v>
      </c>
      <c r="S179" s="14" t="s">
        <v>203</v>
      </c>
      <c r="T179" s="14" t="s">
        <v>203</v>
      </c>
      <c r="U179" s="14" t="s">
        <v>89</v>
      </c>
      <c r="V179" s="14"/>
      <c r="W179" s="14">
        <v>0</v>
      </c>
      <c r="X179" s="14">
        <v>0</v>
      </c>
      <c r="Y179" s="20" t="s">
        <v>1175</v>
      </c>
      <c r="Z179" s="14"/>
      <c r="AA179" s="14"/>
      <c r="AB179" s="14"/>
      <c r="AC179" s="14"/>
      <c r="AD179" s="14"/>
      <c r="AE179" s="14"/>
      <c r="AF179" s="14" t="s">
        <v>126</v>
      </c>
      <c r="AG179" s="14" t="s">
        <v>1176</v>
      </c>
      <c r="AH179" s="14"/>
      <c r="AI179" s="14"/>
      <c r="AJ179" s="14"/>
      <c r="AK179" s="14"/>
      <c r="AL179" s="14"/>
      <c r="AM179" s="14"/>
      <c r="AN179" s="14" t="s">
        <v>99</v>
      </c>
      <c r="AO179" s="14" t="s">
        <v>1177</v>
      </c>
      <c r="AP179" s="14" t="s">
        <v>146</v>
      </c>
      <c r="AQ179" s="14"/>
      <c r="AR179" s="22"/>
      <c r="AS179" s="22" t="s">
        <v>89</v>
      </c>
      <c r="AT179" s="39" t="s">
        <v>99</v>
      </c>
      <c r="AU179" s="25" t="str">
        <f>VLOOKUP(O179,[1]Lookup!A:B,2,FALSE)</f>
        <v>DMO</v>
      </c>
      <c r="AV179" s="25" t="str">
        <f>VLOOKUP(test1[[#This Row],[Assignee]],lookup[#All],2,FALSE)</f>
        <v>Test-SIT</v>
      </c>
      <c r="AW179" s="25">
        <f ca="1">IF(test1[[#This Row],[Status]]&lt;&gt;"Closed", TODAY()-INT(test1[[#This Row],[Created]]),INT(test1[[#This Row],[Resolved]])-INT(test1[[#This Row],[Created]]))</f>
        <v>52</v>
      </c>
    </row>
    <row r="180" spans="1:49" ht="85.5" x14ac:dyDescent="0.2">
      <c r="A180" s="48" t="s">
        <v>86</v>
      </c>
      <c r="B180" s="29" t="s">
        <v>1169</v>
      </c>
      <c r="C180" s="27" t="s">
        <v>1170</v>
      </c>
      <c r="D180" s="22" t="s">
        <v>89</v>
      </c>
      <c r="E180" s="22" t="s">
        <v>90</v>
      </c>
      <c r="F180" s="27"/>
      <c r="G180" s="27" t="s">
        <v>203</v>
      </c>
      <c r="H180" s="27"/>
      <c r="I180" s="27"/>
      <c r="J180" s="14" t="s">
        <v>91</v>
      </c>
      <c r="K180" s="14" t="s">
        <v>59</v>
      </c>
      <c r="L180" s="14" t="s">
        <v>124</v>
      </c>
      <c r="M180" s="14" t="s">
        <v>132</v>
      </c>
      <c r="N180" s="18" t="s">
        <v>37</v>
      </c>
      <c r="O180" s="14" t="s">
        <v>37</v>
      </c>
      <c r="P180" s="19">
        <v>42776.684027777781</v>
      </c>
      <c r="Q180" s="19">
        <v>42781.959027777775</v>
      </c>
      <c r="R180" s="19">
        <v>42780.496527777781</v>
      </c>
      <c r="S180" s="14" t="s">
        <v>203</v>
      </c>
      <c r="T180" s="14" t="s">
        <v>203</v>
      </c>
      <c r="U180" s="14" t="s">
        <v>89</v>
      </c>
      <c r="V180" s="14"/>
      <c r="W180" s="14">
        <v>0</v>
      </c>
      <c r="X180" s="14">
        <v>0</v>
      </c>
      <c r="Y180" s="20" t="s">
        <v>1171</v>
      </c>
      <c r="Z180" s="14"/>
      <c r="AA180" s="14"/>
      <c r="AB180" s="14"/>
      <c r="AC180" s="14"/>
      <c r="AD180" s="14"/>
      <c r="AE180" s="14" t="s">
        <v>1166</v>
      </c>
      <c r="AF180" s="14" t="s">
        <v>126</v>
      </c>
      <c r="AG180" s="14" t="s">
        <v>1172</v>
      </c>
      <c r="AH180" s="14"/>
      <c r="AI180" s="14"/>
      <c r="AJ180" s="14"/>
      <c r="AK180" s="14"/>
      <c r="AL180" s="14"/>
      <c r="AM180" s="14"/>
      <c r="AN180" s="14" t="s">
        <v>99</v>
      </c>
      <c r="AO180" s="14" t="s">
        <v>1168</v>
      </c>
      <c r="AP180" s="14" t="s">
        <v>146</v>
      </c>
      <c r="AQ180" s="14"/>
      <c r="AR180" s="22"/>
      <c r="AS180" s="22" t="s">
        <v>89</v>
      </c>
      <c r="AT180" s="39" t="s">
        <v>99</v>
      </c>
      <c r="AU180" s="25" t="str">
        <f>VLOOKUP(O180,[1]Lookup!A:B,2,FALSE)</f>
        <v>DMO</v>
      </c>
      <c r="AV180" s="25" t="str">
        <f>VLOOKUP(test1[[#This Row],[Assignee]],lookup[#All],2,FALSE)</f>
        <v>DMO</v>
      </c>
      <c r="AW180" s="25">
        <f ca="1">IF(test1[[#This Row],[Status]]&lt;&gt;"Closed", TODAY()-INT(test1[[#This Row],[Created]]),INT(test1[[#This Row],[Resolved]])-INT(test1[[#This Row],[Created]]))</f>
        <v>52</v>
      </c>
    </row>
    <row r="181" spans="1:49" ht="85.5" x14ac:dyDescent="0.2">
      <c r="A181" s="48" t="s">
        <v>86</v>
      </c>
      <c r="B181" s="29" t="s">
        <v>1163</v>
      </c>
      <c r="C181" s="27" t="s">
        <v>1164</v>
      </c>
      <c r="D181" s="22" t="s">
        <v>89</v>
      </c>
      <c r="E181" s="22" t="s">
        <v>90</v>
      </c>
      <c r="F181" s="27"/>
      <c r="G181" s="27" t="s">
        <v>203</v>
      </c>
      <c r="H181" s="27"/>
      <c r="I181" s="27"/>
      <c r="J181" s="14" t="s">
        <v>91</v>
      </c>
      <c r="K181" s="14" t="s">
        <v>59</v>
      </c>
      <c r="L181" s="14" t="s">
        <v>124</v>
      </c>
      <c r="M181" s="14" t="s">
        <v>132</v>
      </c>
      <c r="N181" s="18" t="s">
        <v>37</v>
      </c>
      <c r="O181" s="14" t="s">
        <v>37</v>
      </c>
      <c r="P181" s="19">
        <v>42776.686111111114</v>
      </c>
      <c r="Q181" s="19">
        <v>42781.959027777775</v>
      </c>
      <c r="R181" s="19">
        <v>42780.486111111109</v>
      </c>
      <c r="S181" s="14" t="s">
        <v>203</v>
      </c>
      <c r="T181" s="14" t="s">
        <v>203</v>
      </c>
      <c r="U181" s="14" t="s">
        <v>89</v>
      </c>
      <c r="V181" s="14"/>
      <c r="W181" s="14">
        <v>0</v>
      </c>
      <c r="X181" s="14">
        <v>0</v>
      </c>
      <c r="Y181" s="20" t="s">
        <v>1165</v>
      </c>
      <c r="Z181" s="14"/>
      <c r="AA181" s="14"/>
      <c r="AB181" s="14"/>
      <c r="AC181" s="14"/>
      <c r="AD181" s="14"/>
      <c r="AE181" s="14" t="s">
        <v>1166</v>
      </c>
      <c r="AF181" s="14" t="s">
        <v>126</v>
      </c>
      <c r="AG181" s="14" t="s">
        <v>1167</v>
      </c>
      <c r="AH181" s="14"/>
      <c r="AI181" s="14"/>
      <c r="AJ181" s="14"/>
      <c r="AK181" s="14"/>
      <c r="AL181" s="14"/>
      <c r="AM181" s="14"/>
      <c r="AN181" s="14" t="s">
        <v>99</v>
      </c>
      <c r="AO181" s="14" t="s">
        <v>1168</v>
      </c>
      <c r="AP181" s="14" t="s">
        <v>146</v>
      </c>
      <c r="AQ181" s="14"/>
      <c r="AR181" s="22"/>
      <c r="AS181" s="22" t="s">
        <v>89</v>
      </c>
      <c r="AT181" s="22" t="s">
        <v>90</v>
      </c>
      <c r="AU181" s="25" t="str">
        <f>VLOOKUP(O181,[1]Lookup!A:B,2,FALSE)</f>
        <v>DMO</v>
      </c>
      <c r="AV181" s="25" t="str">
        <f>VLOOKUP(test1[[#This Row],[Assignee]],lookup[#All],2,FALSE)</f>
        <v>DMO</v>
      </c>
      <c r="AW181" s="25">
        <f ca="1">IF(test1[[#This Row],[Status]]&lt;&gt;"Closed", TODAY()-INT(test1[[#This Row],[Created]]),INT(test1[[#This Row],[Resolved]])-INT(test1[[#This Row],[Created]]))</f>
        <v>52</v>
      </c>
    </row>
    <row r="182" spans="1:49" ht="85.5" x14ac:dyDescent="0.2">
      <c r="A182" s="48" t="s">
        <v>86</v>
      </c>
      <c r="B182" s="29" t="s">
        <v>1156</v>
      </c>
      <c r="C182" s="27" t="s">
        <v>1157</v>
      </c>
      <c r="D182" s="22" t="s">
        <v>229</v>
      </c>
      <c r="E182" s="22" t="s">
        <v>229</v>
      </c>
      <c r="F182" s="43" t="s">
        <v>1158</v>
      </c>
      <c r="G182" s="37" t="s">
        <v>174</v>
      </c>
      <c r="H182" s="43" t="s">
        <v>472</v>
      </c>
      <c r="I182" s="43" t="s">
        <v>1159</v>
      </c>
      <c r="J182" s="14" t="s">
        <v>91</v>
      </c>
      <c r="K182" s="14" t="s">
        <v>59</v>
      </c>
      <c r="L182" s="14" t="s">
        <v>167</v>
      </c>
      <c r="M182" s="14" t="s">
        <v>132</v>
      </c>
      <c r="N182" s="18" t="s">
        <v>202</v>
      </c>
      <c r="O182" s="14" t="s">
        <v>37</v>
      </c>
      <c r="P182" s="19">
        <v>42776.705555555556</v>
      </c>
      <c r="Q182" s="19">
        <v>42801.405555555553</v>
      </c>
      <c r="R182" s="19">
        <v>42801.405555555553</v>
      </c>
      <c r="S182" s="14" t="s">
        <v>203</v>
      </c>
      <c r="T182" s="14" t="s">
        <v>204</v>
      </c>
      <c r="U182" s="14" t="s">
        <v>242</v>
      </c>
      <c r="V182" s="14"/>
      <c r="W182" s="14">
        <v>0</v>
      </c>
      <c r="X182" s="14">
        <v>0</v>
      </c>
      <c r="Y182" s="20" t="s">
        <v>1160</v>
      </c>
      <c r="Z182" s="14"/>
      <c r="AA182" s="14"/>
      <c r="AB182" s="14"/>
      <c r="AC182" s="14"/>
      <c r="AD182" s="14"/>
      <c r="AE182" s="14"/>
      <c r="AF182" s="14" t="s">
        <v>126</v>
      </c>
      <c r="AG182" s="14" t="s">
        <v>1161</v>
      </c>
      <c r="AH182" s="14"/>
      <c r="AI182" s="14"/>
      <c r="AJ182" s="14"/>
      <c r="AK182" s="14"/>
      <c r="AL182" s="14"/>
      <c r="AM182" s="14"/>
      <c r="AN182" s="14" t="s">
        <v>229</v>
      </c>
      <c r="AO182" s="14" t="s">
        <v>1162</v>
      </c>
      <c r="AP182" s="14" t="s">
        <v>146</v>
      </c>
      <c r="AQ182" s="14"/>
      <c r="AR182" s="22"/>
      <c r="AS182" s="22" t="s">
        <v>241</v>
      </c>
      <c r="AT182" s="22" t="s">
        <v>235</v>
      </c>
      <c r="AU182" s="25" t="str">
        <f>VLOOKUP(O182,[1]Lookup!A:B,2,FALSE)</f>
        <v>DMO</v>
      </c>
      <c r="AV182" s="25" t="e">
        <f>VLOOKUP(test1[[#This Row],[Assignee]],lookup[#All],2,FALSE)</f>
        <v>#N/A</v>
      </c>
      <c r="AW182" s="25">
        <f ca="1">IF(test1[[#This Row],[Status]]&lt;&gt;"Closed", TODAY()-INT(test1[[#This Row],[Created]]),INT(test1[[#This Row],[Resolved]])-INT(test1[[#This Row],[Created]]))</f>
        <v>52</v>
      </c>
    </row>
    <row r="183" spans="1:49" ht="142.5" x14ac:dyDescent="0.2">
      <c r="A183" s="48" t="s">
        <v>86</v>
      </c>
      <c r="B183" s="29" t="s">
        <v>1152</v>
      </c>
      <c r="C183" s="27" t="s">
        <v>1153</v>
      </c>
      <c r="D183" s="22" t="s">
        <v>96</v>
      </c>
      <c r="E183" s="22" t="s">
        <v>166</v>
      </c>
      <c r="F183" s="27"/>
      <c r="G183" s="27" t="s">
        <v>510</v>
      </c>
      <c r="H183" s="27"/>
      <c r="I183" s="27"/>
      <c r="J183" s="14" t="s">
        <v>91</v>
      </c>
      <c r="K183" s="14" t="s">
        <v>59</v>
      </c>
      <c r="L183" s="14" t="s">
        <v>103</v>
      </c>
      <c r="M183" s="14" t="s">
        <v>132</v>
      </c>
      <c r="N183" s="18" t="s">
        <v>202</v>
      </c>
      <c r="O183" s="14" t="s">
        <v>36</v>
      </c>
      <c r="P183" s="19">
        <v>42776.707638888889</v>
      </c>
      <c r="Q183" s="19">
        <v>42790.482638888891</v>
      </c>
      <c r="R183" s="19">
        <v>42790.482638888891</v>
      </c>
      <c r="S183" s="14" t="s">
        <v>203</v>
      </c>
      <c r="T183" s="14" t="s">
        <v>510</v>
      </c>
      <c r="U183" s="14" t="s">
        <v>96</v>
      </c>
      <c r="V183" s="14"/>
      <c r="W183" s="14">
        <v>0</v>
      </c>
      <c r="X183" s="14">
        <v>0</v>
      </c>
      <c r="Y183" s="14" t="s">
        <v>1154</v>
      </c>
      <c r="Z183" s="14"/>
      <c r="AA183" s="14"/>
      <c r="AB183" s="14"/>
      <c r="AC183" s="14"/>
      <c r="AD183" s="14"/>
      <c r="AE183" s="14"/>
      <c r="AF183" s="14" t="s">
        <v>126</v>
      </c>
      <c r="AG183" s="14" t="s">
        <v>1155</v>
      </c>
      <c r="AH183" s="14"/>
      <c r="AI183" s="14"/>
      <c r="AJ183" s="14"/>
      <c r="AK183" s="14"/>
      <c r="AL183" s="14"/>
      <c r="AM183" s="14"/>
      <c r="AN183" s="14"/>
      <c r="AO183" s="14" t="s">
        <v>1002</v>
      </c>
      <c r="AP183" s="14" t="s">
        <v>146</v>
      </c>
      <c r="AQ183" s="14"/>
      <c r="AR183" s="22"/>
      <c r="AS183" s="22" t="s">
        <v>96</v>
      </c>
      <c r="AT183" s="22" t="s">
        <v>166</v>
      </c>
      <c r="AU183" s="25" t="str">
        <f>VLOOKUP(O183,[1]Lookup!A:B,2,FALSE)</f>
        <v>DMO</v>
      </c>
      <c r="AV183" s="25" t="e">
        <f>VLOOKUP(test1[[#This Row],[Assignee]],lookup[#All],2,FALSE)</f>
        <v>#N/A</v>
      </c>
      <c r="AW183" s="25">
        <f ca="1">IF(test1[[#This Row],[Status]]&lt;&gt;"Closed", TODAY()-INT(test1[[#This Row],[Created]]),INT(test1[[#This Row],[Resolved]])-INT(test1[[#This Row],[Created]]))</f>
        <v>52</v>
      </c>
    </row>
    <row r="184" spans="1:49" ht="114" x14ac:dyDescent="0.2">
      <c r="A184" s="48" t="s">
        <v>86</v>
      </c>
      <c r="B184" s="29" t="s">
        <v>1148</v>
      </c>
      <c r="C184" s="27" t="s">
        <v>1149</v>
      </c>
      <c r="D184" s="22" t="s">
        <v>96</v>
      </c>
      <c r="E184" s="22" t="s">
        <v>166</v>
      </c>
      <c r="F184" s="27"/>
      <c r="G184" s="27" t="s">
        <v>510</v>
      </c>
      <c r="H184" s="27"/>
      <c r="I184" s="27"/>
      <c r="J184" s="14" t="s">
        <v>91</v>
      </c>
      <c r="K184" s="14" t="s">
        <v>59</v>
      </c>
      <c r="L184" s="14" t="s">
        <v>103</v>
      </c>
      <c r="M184" s="14" t="s">
        <v>132</v>
      </c>
      <c r="N184" s="18" t="s">
        <v>202</v>
      </c>
      <c r="O184" s="14" t="s">
        <v>36</v>
      </c>
      <c r="P184" s="19">
        <v>42776.770833333336</v>
      </c>
      <c r="Q184" s="19">
        <v>42790.568055555559</v>
      </c>
      <c r="R184" s="19">
        <v>42790.568055555559</v>
      </c>
      <c r="S184" s="14" t="s">
        <v>203</v>
      </c>
      <c r="T184" s="14" t="s">
        <v>510</v>
      </c>
      <c r="U184" s="14" t="s">
        <v>242</v>
      </c>
      <c r="V184" s="14"/>
      <c r="W184" s="14">
        <v>0</v>
      </c>
      <c r="X184" s="14">
        <v>0</v>
      </c>
      <c r="Y184" s="14" t="s">
        <v>1150</v>
      </c>
      <c r="Z184" s="14"/>
      <c r="AA184" s="14"/>
      <c r="AB184" s="14"/>
      <c r="AC184" s="14"/>
      <c r="AD184" s="14"/>
      <c r="AE184" s="14"/>
      <c r="AF184" s="14" t="s">
        <v>126</v>
      </c>
      <c r="AG184" s="14" t="s">
        <v>1151</v>
      </c>
      <c r="AH184" s="14"/>
      <c r="AI184" s="14"/>
      <c r="AJ184" s="14"/>
      <c r="AK184" s="14"/>
      <c r="AL184" s="14"/>
      <c r="AM184" s="14"/>
      <c r="AN184" s="14" t="s">
        <v>235</v>
      </c>
      <c r="AO184" s="14" t="s">
        <v>1002</v>
      </c>
      <c r="AP184" s="14" t="s">
        <v>146</v>
      </c>
      <c r="AQ184" s="14"/>
      <c r="AR184" s="22"/>
      <c r="AS184" s="22" t="s">
        <v>96</v>
      </c>
      <c r="AT184" s="22" t="s">
        <v>166</v>
      </c>
      <c r="AU184" s="25" t="str">
        <f>VLOOKUP(O184,[1]Lookup!A:B,2,FALSE)</f>
        <v>DMO</v>
      </c>
      <c r="AV184" s="25" t="e">
        <f>VLOOKUP(test1[[#This Row],[Assignee]],lookup[#All],2,FALSE)</f>
        <v>#N/A</v>
      </c>
      <c r="AW184" s="25">
        <f ca="1">IF(test1[[#This Row],[Status]]&lt;&gt;"Closed", TODAY()-INT(test1[[#This Row],[Created]]),INT(test1[[#This Row],[Resolved]])-INT(test1[[#This Row],[Created]]))</f>
        <v>52</v>
      </c>
    </row>
    <row r="185" spans="1:49" ht="409.5" x14ac:dyDescent="0.2">
      <c r="A185" s="48" t="s">
        <v>86</v>
      </c>
      <c r="B185" s="29" t="s">
        <v>1143</v>
      </c>
      <c r="C185" s="27" t="s">
        <v>1144</v>
      </c>
      <c r="D185" s="22" t="s">
        <v>241</v>
      </c>
      <c r="E185" s="39" t="s">
        <v>123</v>
      </c>
      <c r="F185" s="27"/>
      <c r="G185" s="27" t="s">
        <v>203</v>
      </c>
      <c r="H185" s="27"/>
      <c r="I185" s="27"/>
      <c r="J185" s="14" t="s">
        <v>91</v>
      </c>
      <c r="K185" s="14" t="s">
        <v>59</v>
      </c>
      <c r="L185" s="14" t="s">
        <v>103</v>
      </c>
      <c r="M185" s="14" t="s">
        <v>132</v>
      </c>
      <c r="N185" s="18" t="s">
        <v>21</v>
      </c>
      <c r="O185" s="14" t="s">
        <v>37</v>
      </c>
      <c r="P185" s="19">
        <v>42776.795138888891</v>
      </c>
      <c r="Q185" s="19">
        <v>42793.445138888892</v>
      </c>
      <c r="R185" s="19">
        <v>42793.445138888892</v>
      </c>
      <c r="S185" s="14" t="s">
        <v>203</v>
      </c>
      <c r="T185" s="14" t="s">
        <v>203</v>
      </c>
      <c r="U185" s="14" t="s">
        <v>96</v>
      </c>
      <c r="V185" s="14"/>
      <c r="W185" s="14">
        <v>0</v>
      </c>
      <c r="X185" s="14">
        <v>0</v>
      </c>
      <c r="Y185" s="14" t="s">
        <v>1145</v>
      </c>
      <c r="Z185" s="14"/>
      <c r="AA185" s="14"/>
      <c r="AB185" s="14"/>
      <c r="AC185" s="14"/>
      <c r="AD185" s="14"/>
      <c r="AE185" s="14"/>
      <c r="AF185" s="14" t="s">
        <v>126</v>
      </c>
      <c r="AG185" s="14" t="s">
        <v>1146</v>
      </c>
      <c r="AH185" s="14"/>
      <c r="AI185" s="14"/>
      <c r="AJ185" s="14"/>
      <c r="AK185" s="14"/>
      <c r="AL185" s="14"/>
      <c r="AM185" s="14"/>
      <c r="AN185" s="14" t="s">
        <v>123</v>
      </c>
      <c r="AO185" s="14" t="s">
        <v>1147</v>
      </c>
      <c r="AP185" s="14" t="s">
        <v>146</v>
      </c>
      <c r="AQ185" s="14"/>
      <c r="AR185" s="22"/>
      <c r="AS185" s="22" t="s">
        <v>241</v>
      </c>
      <c r="AT185" s="39" t="s">
        <v>123</v>
      </c>
      <c r="AU185" s="25" t="str">
        <f>VLOOKUP(O185,[1]Lookup!A:B,2,FALSE)</f>
        <v>DMO</v>
      </c>
      <c r="AV185" s="25" t="str">
        <f>VLOOKUP(test1[[#This Row],[Assignee]],lookup[#All],2,FALSE)</f>
        <v>Test-SIT</v>
      </c>
      <c r="AW185" s="25">
        <f ca="1">IF(test1[[#This Row],[Status]]&lt;&gt;"Closed", TODAY()-INT(test1[[#This Row],[Created]]),INT(test1[[#This Row],[Resolved]])-INT(test1[[#This Row],[Created]]))</f>
        <v>52</v>
      </c>
    </row>
    <row r="186" spans="1:49" ht="356.25" x14ac:dyDescent="0.2">
      <c r="A186" s="48" t="s">
        <v>86</v>
      </c>
      <c r="B186" s="29" t="s">
        <v>1138</v>
      </c>
      <c r="C186" s="27" t="s">
        <v>1139</v>
      </c>
      <c r="D186" s="22" t="s">
        <v>241</v>
      </c>
      <c r="E186" s="39" t="s">
        <v>123</v>
      </c>
      <c r="F186" s="27"/>
      <c r="G186" s="27" t="s">
        <v>204</v>
      </c>
      <c r="H186" s="27"/>
      <c r="I186" s="27"/>
      <c r="J186" s="14" t="s">
        <v>91</v>
      </c>
      <c r="K186" s="14" t="s">
        <v>59</v>
      </c>
      <c r="L186" s="14" t="s">
        <v>93</v>
      </c>
      <c r="M186" s="14" t="s">
        <v>132</v>
      </c>
      <c r="N186" s="18" t="s">
        <v>19</v>
      </c>
      <c r="O186" s="14" t="s">
        <v>19</v>
      </c>
      <c r="P186" s="19">
        <v>42777.67083333333</v>
      </c>
      <c r="Q186" s="19">
        <v>42782.539583333331</v>
      </c>
      <c r="R186" s="19">
        <v>42782.539583333331</v>
      </c>
      <c r="S186" s="14" t="s">
        <v>660</v>
      </c>
      <c r="T186" s="14" t="s">
        <v>204</v>
      </c>
      <c r="U186" s="14" t="s">
        <v>96</v>
      </c>
      <c r="V186" s="14"/>
      <c r="W186" s="14">
        <v>0</v>
      </c>
      <c r="X186" s="14">
        <v>0</v>
      </c>
      <c r="Y186" s="14"/>
      <c r="Z186" s="14"/>
      <c r="AA186" s="14"/>
      <c r="AB186" s="14"/>
      <c r="AC186" s="14"/>
      <c r="AD186" s="14"/>
      <c r="AE186" s="14"/>
      <c r="AF186" s="14" t="s">
        <v>1140</v>
      </c>
      <c r="AG186" s="14" t="s">
        <v>1141</v>
      </c>
      <c r="AH186" s="14"/>
      <c r="AI186" s="14"/>
      <c r="AJ186" s="14"/>
      <c r="AK186" s="14"/>
      <c r="AL186" s="14"/>
      <c r="AM186" s="14"/>
      <c r="AN186" s="14" t="s">
        <v>1142</v>
      </c>
      <c r="AO186" s="14" t="s">
        <v>381</v>
      </c>
      <c r="AP186" s="14"/>
      <c r="AQ186" s="14"/>
      <c r="AR186" s="22"/>
      <c r="AS186" s="22" t="s">
        <v>241</v>
      </c>
      <c r="AT186" s="39" t="s">
        <v>123</v>
      </c>
      <c r="AU186" s="25" t="str">
        <f>VLOOKUP(O186,[1]Lookup!A:B,2,FALSE)</f>
        <v>Test-SIT</v>
      </c>
      <c r="AV186" s="25" t="str">
        <f>VLOOKUP(test1[[#This Row],[Assignee]],lookup[#All],2,FALSE)</f>
        <v>Test-SIT</v>
      </c>
      <c r="AW186" s="25">
        <f ca="1">IF(test1[[#This Row],[Status]]&lt;&gt;"Closed", TODAY()-INT(test1[[#This Row],[Created]]),INT(test1[[#This Row],[Resolved]])-INT(test1[[#This Row],[Created]]))</f>
        <v>51</v>
      </c>
    </row>
    <row r="187" spans="1:49" ht="242.25" x14ac:dyDescent="0.2">
      <c r="A187" s="48" t="s">
        <v>86</v>
      </c>
      <c r="B187" s="29" t="s">
        <v>1134</v>
      </c>
      <c r="C187" s="27" t="s">
        <v>1135</v>
      </c>
      <c r="D187" s="22" t="s">
        <v>241</v>
      </c>
      <c r="E187" s="39" t="s">
        <v>123</v>
      </c>
      <c r="F187" s="27"/>
      <c r="G187" s="27"/>
      <c r="H187" s="27"/>
      <c r="I187" s="27"/>
      <c r="J187" s="14" t="s">
        <v>91</v>
      </c>
      <c r="K187" s="14" t="s">
        <v>59</v>
      </c>
      <c r="L187" s="14" t="s">
        <v>93</v>
      </c>
      <c r="M187" s="14" t="s">
        <v>132</v>
      </c>
      <c r="N187" s="18" t="s">
        <v>19</v>
      </c>
      <c r="O187" s="14" t="s">
        <v>19</v>
      </c>
      <c r="P187" s="19">
        <v>42777.675000000003</v>
      </c>
      <c r="Q187" s="19">
        <v>42780.586111111108</v>
      </c>
      <c r="R187" s="19">
        <v>42780.586111111108</v>
      </c>
      <c r="S187" s="14" t="s">
        <v>660</v>
      </c>
      <c r="T187" s="14"/>
      <c r="U187" s="14" t="s">
        <v>96</v>
      </c>
      <c r="V187" s="14"/>
      <c r="W187" s="14">
        <v>0</v>
      </c>
      <c r="X187" s="14">
        <v>0</v>
      </c>
      <c r="Y187" s="14"/>
      <c r="Z187" s="14"/>
      <c r="AA187" s="14"/>
      <c r="AB187" s="14"/>
      <c r="AC187" s="14"/>
      <c r="AD187" s="14"/>
      <c r="AE187" s="14"/>
      <c r="AF187" s="14" t="s">
        <v>1117</v>
      </c>
      <c r="AG187" s="14" t="s">
        <v>1136</v>
      </c>
      <c r="AH187" s="14"/>
      <c r="AI187" s="14"/>
      <c r="AJ187" s="14"/>
      <c r="AK187" s="14"/>
      <c r="AL187" s="14"/>
      <c r="AM187" s="14"/>
      <c r="AN187" s="14" t="s">
        <v>123</v>
      </c>
      <c r="AO187" s="14" t="s">
        <v>1137</v>
      </c>
      <c r="AP187" s="14"/>
      <c r="AQ187" s="14"/>
      <c r="AR187" s="22"/>
      <c r="AS187" s="22" t="s">
        <v>241</v>
      </c>
      <c r="AT187" s="39" t="s">
        <v>123</v>
      </c>
      <c r="AU187" s="25" t="str">
        <f>VLOOKUP(O187,[1]Lookup!A:B,2,FALSE)</f>
        <v>Test-SIT</v>
      </c>
      <c r="AV187" s="25" t="str">
        <f>VLOOKUP(test1[[#This Row],[Assignee]],lookup[#All],2,FALSE)</f>
        <v>Test-SIT</v>
      </c>
      <c r="AW187" s="25">
        <f ca="1">IF(test1[[#This Row],[Status]]&lt;&gt;"Closed", TODAY()-INT(test1[[#This Row],[Created]]),INT(test1[[#This Row],[Resolved]])-INT(test1[[#This Row],[Created]]))</f>
        <v>51</v>
      </c>
    </row>
    <row r="188" spans="1:49" ht="256.5" x14ac:dyDescent="0.2">
      <c r="A188" s="50" t="s">
        <v>86</v>
      </c>
      <c r="B188" s="29" t="s">
        <v>452</v>
      </c>
      <c r="C188" s="41" t="s">
        <v>1127</v>
      </c>
      <c r="D188" s="71" t="s">
        <v>89</v>
      </c>
      <c r="E188" s="22" t="s">
        <v>507</v>
      </c>
      <c r="F188" s="26" t="s">
        <v>873</v>
      </c>
      <c r="G188" s="26" t="s">
        <v>155</v>
      </c>
      <c r="H188" s="26"/>
      <c r="I188" s="26" t="s">
        <v>1128</v>
      </c>
      <c r="J188" s="14" t="s">
        <v>91</v>
      </c>
      <c r="K188" s="14" t="s">
        <v>59</v>
      </c>
      <c r="L188" s="14" t="s">
        <v>124</v>
      </c>
      <c r="M188" s="14" t="s">
        <v>1129</v>
      </c>
      <c r="N188" s="18" t="s">
        <v>19</v>
      </c>
      <c r="O188" s="14" t="s">
        <v>19</v>
      </c>
      <c r="P188" s="19">
        <v>42777.786111111112</v>
      </c>
      <c r="Q188" s="19">
        <v>42796.859027777777</v>
      </c>
      <c r="R188" s="19">
        <v>42796.859027777777</v>
      </c>
      <c r="S188" s="14" t="s">
        <v>660</v>
      </c>
      <c r="T188" s="14" t="s">
        <v>451</v>
      </c>
      <c r="U188" s="14" t="s">
        <v>242</v>
      </c>
      <c r="V188" s="14"/>
      <c r="W188" s="14">
        <v>0</v>
      </c>
      <c r="X188" s="14">
        <v>0</v>
      </c>
      <c r="Y188" s="14"/>
      <c r="Z188" s="14"/>
      <c r="AA188" s="14"/>
      <c r="AB188" s="14"/>
      <c r="AC188" s="14"/>
      <c r="AD188" s="14"/>
      <c r="AE188" s="14" t="s">
        <v>457</v>
      </c>
      <c r="AF188" s="14" t="s">
        <v>1130</v>
      </c>
      <c r="AG188" s="14" t="s">
        <v>1131</v>
      </c>
      <c r="AH188" s="14"/>
      <c r="AI188" s="14"/>
      <c r="AJ188" s="14"/>
      <c r="AK188" s="14"/>
      <c r="AL188" s="14"/>
      <c r="AM188" s="14"/>
      <c r="AN188" s="14" t="s">
        <v>1132</v>
      </c>
      <c r="AO188" s="14" t="s">
        <v>1133</v>
      </c>
      <c r="AP188" s="14"/>
      <c r="AQ188" s="14"/>
      <c r="AR188" s="80"/>
      <c r="AS188" s="71" t="s">
        <v>89</v>
      </c>
      <c r="AT188" s="71" t="s">
        <v>513</v>
      </c>
      <c r="AU188" s="25" t="str">
        <f>VLOOKUP(O188,[1]Lookup!A:B,2,FALSE)</f>
        <v>Test-SIT</v>
      </c>
      <c r="AV188" s="25" t="str">
        <f>VLOOKUP(test1[[#This Row],[Assignee]],lookup[#All],2,FALSE)</f>
        <v>Test-SIT</v>
      </c>
      <c r="AW188" s="25">
        <f ca="1">IF(test1[[#This Row],[Status]]&lt;&gt;"Closed", TODAY()-INT(test1[[#This Row],[Created]]),INT(test1[[#This Row],[Resolved]])-INT(test1[[#This Row],[Created]]))</f>
        <v>51</v>
      </c>
    </row>
    <row r="189" spans="1:49" ht="256.5" x14ac:dyDescent="0.2">
      <c r="A189" s="48" t="s">
        <v>86</v>
      </c>
      <c r="B189" s="29" t="s">
        <v>1123</v>
      </c>
      <c r="C189" s="27" t="s">
        <v>1124</v>
      </c>
      <c r="D189" s="69" t="s">
        <v>241</v>
      </c>
      <c r="E189" s="27" t="s">
        <v>123</v>
      </c>
      <c r="F189" s="27"/>
      <c r="G189" s="27"/>
      <c r="H189" s="27"/>
      <c r="I189" s="27"/>
      <c r="J189" s="14" t="s">
        <v>91</v>
      </c>
      <c r="K189" s="14" t="s">
        <v>59</v>
      </c>
      <c r="L189" s="14" t="s">
        <v>93</v>
      </c>
      <c r="M189" s="14" t="s">
        <v>132</v>
      </c>
      <c r="N189" s="18" t="s">
        <v>19</v>
      </c>
      <c r="O189" s="14" t="s">
        <v>19</v>
      </c>
      <c r="P189" s="19">
        <v>42778.636111111111</v>
      </c>
      <c r="Q189" s="19">
        <v>42787.868055555555</v>
      </c>
      <c r="R189" s="19">
        <v>42787.868055555555</v>
      </c>
      <c r="S189" s="14" t="s">
        <v>660</v>
      </c>
      <c r="T189" s="14"/>
      <c r="U189" s="14" t="s">
        <v>96</v>
      </c>
      <c r="V189" s="14"/>
      <c r="W189" s="14">
        <v>0</v>
      </c>
      <c r="X189" s="14">
        <v>0</v>
      </c>
      <c r="Y189" s="20" t="s">
        <v>1125</v>
      </c>
      <c r="Z189" s="14"/>
      <c r="AA189" s="14"/>
      <c r="AB189" s="14"/>
      <c r="AC189" s="14"/>
      <c r="AD189" s="14"/>
      <c r="AE189" s="14"/>
      <c r="AF189" s="14" t="s">
        <v>1117</v>
      </c>
      <c r="AG189" s="14" t="s">
        <v>1126</v>
      </c>
      <c r="AH189" s="14"/>
      <c r="AI189" s="14"/>
      <c r="AJ189" s="14"/>
      <c r="AK189" s="14"/>
      <c r="AL189" s="14"/>
      <c r="AM189" s="14"/>
      <c r="AN189" s="14" t="s">
        <v>123</v>
      </c>
      <c r="AO189" s="14" t="s">
        <v>1002</v>
      </c>
      <c r="AP189" s="14"/>
      <c r="AQ189" s="14"/>
      <c r="AR189" s="22"/>
      <c r="AS189" s="69" t="s">
        <v>241</v>
      </c>
      <c r="AT189" s="27" t="s">
        <v>123</v>
      </c>
      <c r="AU189" s="25" t="str">
        <f>VLOOKUP(O189,[1]Lookup!A:B,2,FALSE)</f>
        <v>Test-SIT</v>
      </c>
      <c r="AV189" s="25" t="str">
        <f>VLOOKUP(test1[[#This Row],[Assignee]],lookup[#All],2,FALSE)</f>
        <v>Test-SIT</v>
      </c>
      <c r="AW189" s="25">
        <f ca="1">IF(test1[[#This Row],[Status]]&lt;&gt;"Closed", TODAY()-INT(test1[[#This Row],[Created]]),INT(test1[[#This Row],[Resolved]])-INT(test1[[#This Row],[Created]]))</f>
        <v>50</v>
      </c>
    </row>
    <row r="190" spans="1:49" ht="299.25" x14ac:dyDescent="0.2">
      <c r="A190" s="48" t="s">
        <v>86</v>
      </c>
      <c r="B190" s="29" t="s">
        <v>1120</v>
      </c>
      <c r="C190" s="27" t="s">
        <v>1121</v>
      </c>
      <c r="D190" s="22" t="s">
        <v>241</v>
      </c>
      <c r="E190" s="39" t="s">
        <v>123</v>
      </c>
      <c r="F190" s="27"/>
      <c r="G190" s="27" t="s">
        <v>660</v>
      </c>
      <c r="H190" s="27"/>
      <c r="I190" s="27"/>
      <c r="J190" s="14" t="s">
        <v>91</v>
      </c>
      <c r="K190" s="14" t="s">
        <v>59</v>
      </c>
      <c r="L190" s="14" t="s">
        <v>93</v>
      </c>
      <c r="M190" s="14" t="s">
        <v>132</v>
      </c>
      <c r="N190" s="18" t="s">
        <v>19</v>
      </c>
      <c r="O190" s="14" t="s">
        <v>19</v>
      </c>
      <c r="P190" s="19">
        <v>42778.665277777778</v>
      </c>
      <c r="Q190" s="19">
        <v>42781.463888888888</v>
      </c>
      <c r="R190" s="19">
        <v>42781.463888888888</v>
      </c>
      <c r="S190" s="14" t="s">
        <v>660</v>
      </c>
      <c r="T190" s="14" t="s">
        <v>660</v>
      </c>
      <c r="U190" s="14" t="s">
        <v>96</v>
      </c>
      <c r="V190" s="14"/>
      <c r="W190" s="14">
        <v>0</v>
      </c>
      <c r="X190" s="14">
        <v>0</v>
      </c>
      <c r="Y190" s="14"/>
      <c r="Z190" s="14"/>
      <c r="AA190" s="14"/>
      <c r="AB190" s="14"/>
      <c r="AC190" s="14"/>
      <c r="AD190" s="14"/>
      <c r="AE190" s="14"/>
      <c r="AF190" s="14" t="s">
        <v>494</v>
      </c>
      <c r="AG190" s="14" t="s">
        <v>1122</v>
      </c>
      <c r="AH190" s="14"/>
      <c r="AI190" s="14"/>
      <c r="AJ190" s="14"/>
      <c r="AK190" s="14"/>
      <c r="AL190" s="14"/>
      <c r="AM190" s="14"/>
      <c r="AN190" s="14" t="s">
        <v>123</v>
      </c>
      <c r="AO190" s="14" t="s">
        <v>1119</v>
      </c>
      <c r="AP190" s="14"/>
      <c r="AQ190" s="14"/>
      <c r="AR190" s="22"/>
      <c r="AS190" s="22" t="s">
        <v>241</v>
      </c>
      <c r="AT190" s="39" t="s">
        <v>123</v>
      </c>
      <c r="AU190" s="25" t="str">
        <f>VLOOKUP(O190,[1]Lookup!A:B,2,FALSE)</f>
        <v>Test-SIT</v>
      </c>
      <c r="AV190" s="25" t="str">
        <f>VLOOKUP(test1[[#This Row],[Assignee]],lookup[#All],2,FALSE)</f>
        <v>Test-SIT</v>
      </c>
      <c r="AW190" s="25">
        <f ca="1">IF(test1[[#This Row],[Status]]&lt;&gt;"Closed", TODAY()-INT(test1[[#This Row],[Created]]),INT(test1[[#This Row],[Resolved]])-INT(test1[[#This Row],[Created]]))</f>
        <v>50</v>
      </c>
    </row>
    <row r="191" spans="1:49" ht="228" x14ac:dyDescent="0.2">
      <c r="A191" s="48" t="s">
        <v>86</v>
      </c>
      <c r="B191" s="29" t="s">
        <v>1115</v>
      </c>
      <c r="C191" s="27" t="s">
        <v>1116</v>
      </c>
      <c r="D191" s="22" t="s">
        <v>241</v>
      </c>
      <c r="E191" s="39" t="s">
        <v>123</v>
      </c>
      <c r="F191" s="27"/>
      <c r="G191" s="27" t="s">
        <v>660</v>
      </c>
      <c r="H191" s="27"/>
      <c r="I191" s="27"/>
      <c r="J191" s="14" t="s">
        <v>91</v>
      </c>
      <c r="K191" s="14" t="s">
        <v>59</v>
      </c>
      <c r="L191" s="14" t="s">
        <v>93</v>
      </c>
      <c r="M191" s="14" t="s">
        <v>132</v>
      </c>
      <c r="N191" s="18" t="s">
        <v>19</v>
      </c>
      <c r="O191" s="14" t="s">
        <v>19</v>
      </c>
      <c r="P191" s="19">
        <v>42778.680555555555</v>
      </c>
      <c r="Q191" s="19">
        <v>42781.466666666667</v>
      </c>
      <c r="R191" s="19">
        <v>42781.466666666667</v>
      </c>
      <c r="S191" s="14" t="s">
        <v>660</v>
      </c>
      <c r="T191" s="14" t="s">
        <v>660</v>
      </c>
      <c r="U191" s="14" t="s">
        <v>96</v>
      </c>
      <c r="V191" s="14"/>
      <c r="W191" s="14">
        <v>0</v>
      </c>
      <c r="X191" s="14">
        <v>0</v>
      </c>
      <c r="Y191" s="14"/>
      <c r="Z191" s="14"/>
      <c r="AA191" s="14"/>
      <c r="AB191" s="14"/>
      <c r="AC191" s="14"/>
      <c r="AD191" s="14"/>
      <c r="AE191" s="14"/>
      <c r="AF191" s="14" t="s">
        <v>1117</v>
      </c>
      <c r="AG191" s="14" t="s">
        <v>1118</v>
      </c>
      <c r="AH191" s="14"/>
      <c r="AI191" s="14"/>
      <c r="AJ191" s="14"/>
      <c r="AK191" s="14"/>
      <c r="AL191" s="14"/>
      <c r="AM191" s="14"/>
      <c r="AN191" s="14" t="s">
        <v>123</v>
      </c>
      <c r="AO191" s="14" t="s">
        <v>1119</v>
      </c>
      <c r="AP191" s="14"/>
      <c r="AQ191" s="14"/>
      <c r="AR191" s="22"/>
      <c r="AS191" s="22" t="s">
        <v>241</v>
      </c>
      <c r="AT191" s="39" t="s">
        <v>123</v>
      </c>
      <c r="AU191" s="25" t="str">
        <f>VLOOKUP(O191,[1]Lookup!A:B,2,FALSE)</f>
        <v>Test-SIT</v>
      </c>
      <c r="AV191" s="25" t="str">
        <f>VLOOKUP(test1[[#This Row],[Assignee]],lookup[#All],2,FALSE)</f>
        <v>Test-SIT</v>
      </c>
      <c r="AW191" s="25">
        <f ca="1">IF(test1[[#This Row],[Status]]&lt;&gt;"Closed", TODAY()-INT(test1[[#This Row],[Created]]),INT(test1[[#This Row],[Resolved]])-INT(test1[[#This Row],[Created]]))</f>
        <v>50</v>
      </c>
    </row>
    <row r="192" spans="1:49" ht="99.75" x14ac:dyDescent="0.2">
      <c r="A192" s="48" t="s">
        <v>86</v>
      </c>
      <c r="B192" s="29" t="s">
        <v>1111</v>
      </c>
      <c r="C192" s="27" t="s">
        <v>1112</v>
      </c>
      <c r="D192" s="22" t="s">
        <v>241</v>
      </c>
      <c r="E192" s="69" t="s">
        <v>302</v>
      </c>
      <c r="F192" s="27"/>
      <c r="G192" s="27" t="s">
        <v>204</v>
      </c>
      <c r="H192" s="27"/>
      <c r="I192" s="27"/>
      <c r="J192" s="14" t="s">
        <v>91</v>
      </c>
      <c r="K192" s="14" t="s">
        <v>59</v>
      </c>
      <c r="L192" s="14" t="s">
        <v>93</v>
      </c>
      <c r="M192" s="14" t="s">
        <v>132</v>
      </c>
      <c r="N192" s="18" t="s">
        <v>202</v>
      </c>
      <c r="O192" s="14" t="s">
        <v>36</v>
      </c>
      <c r="P192" s="19">
        <v>42779.408333333333</v>
      </c>
      <c r="Q192" s="19">
        <v>42790.475694444445</v>
      </c>
      <c r="R192" s="19">
        <v>42790.474305555559</v>
      </c>
      <c r="S192" s="14" t="s">
        <v>203</v>
      </c>
      <c r="T192" s="14" t="s">
        <v>204</v>
      </c>
      <c r="U192" s="14" t="s">
        <v>96</v>
      </c>
      <c r="V192" s="14"/>
      <c r="W192" s="14">
        <v>0</v>
      </c>
      <c r="X192" s="14">
        <v>0</v>
      </c>
      <c r="Y192" s="20" t="s">
        <v>1113</v>
      </c>
      <c r="Z192" s="14"/>
      <c r="AA192" s="14"/>
      <c r="AB192" s="14"/>
      <c r="AC192" s="14"/>
      <c r="AD192" s="14"/>
      <c r="AE192" s="14"/>
      <c r="AF192" s="14" t="s">
        <v>126</v>
      </c>
      <c r="AG192" s="14" t="s">
        <v>1114</v>
      </c>
      <c r="AH192" s="14"/>
      <c r="AI192" s="14"/>
      <c r="AJ192" s="14"/>
      <c r="AK192" s="14"/>
      <c r="AL192" s="14"/>
      <c r="AM192" s="14"/>
      <c r="AN192" s="14"/>
      <c r="AO192" s="14" t="s">
        <v>229</v>
      </c>
      <c r="AP192" s="14" t="s">
        <v>146</v>
      </c>
      <c r="AQ192" s="14"/>
      <c r="AR192" s="22"/>
      <c r="AS192" s="22" t="s">
        <v>241</v>
      </c>
      <c r="AT192" s="69" t="s">
        <v>302</v>
      </c>
      <c r="AU192" s="25" t="str">
        <f>VLOOKUP(O192,[1]Lookup!A:B,2,FALSE)</f>
        <v>DMO</v>
      </c>
      <c r="AV192" s="25" t="e">
        <f>VLOOKUP(test1[[#This Row],[Assignee]],lookup[#All],2,FALSE)</f>
        <v>#N/A</v>
      </c>
      <c r="AW192" s="25">
        <f ca="1">IF(test1[[#This Row],[Status]]&lt;&gt;"Closed", TODAY()-INT(test1[[#This Row],[Created]]),INT(test1[[#This Row],[Resolved]])-INT(test1[[#This Row],[Created]]))</f>
        <v>49</v>
      </c>
    </row>
    <row r="193" spans="1:49" ht="409.5" x14ac:dyDescent="0.2">
      <c r="A193" s="48" t="s">
        <v>86</v>
      </c>
      <c r="B193" s="29" t="s">
        <v>1107</v>
      </c>
      <c r="C193" s="27" t="s">
        <v>1108</v>
      </c>
      <c r="D193" s="22" t="s">
        <v>89</v>
      </c>
      <c r="E193" s="69" t="s">
        <v>193</v>
      </c>
      <c r="F193" s="27"/>
      <c r="G193" s="27" t="s">
        <v>510</v>
      </c>
      <c r="H193" s="27"/>
      <c r="I193" s="27"/>
      <c r="J193" s="14" t="s">
        <v>91</v>
      </c>
      <c r="K193" s="14" t="s">
        <v>59</v>
      </c>
      <c r="L193" s="14" t="s">
        <v>103</v>
      </c>
      <c r="M193" s="14" t="s">
        <v>132</v>
      </c>
      <c r="N193" s="18" t="s">
        <v>30</v>
      </c>
      <c r="O193" s="14" t="s">
        <v>22</v>
      </c>
      <c r="P193" s="19">
        <v>42779.48541666667</v>
      </c>
      <c r="Q193" s="19">
        <v>42787.723611111112</v>
      </c>
      <c r="R193" s="19">
        <v>42787.723611111112</v>
      </c>
      <c r="S193" s="14" t="s">
        <v>660</v>
      </c>
      <c r="T193" s="14" t="s">
        <v>510</v>
      </c>
      <c r="U193" s="14" t="s">
        <v>89</v>
      </c>
      <c r="V193" s="14"/>
      <c r="W193" s="14">
        <v>0</v>
      </c>
      <c r="X193" s="14">
        <v>0</v>
      </c>
      <c r="Y193" s="14"/>
      <c r="Z193" s="14"/>
      <c r="AA193" s="14"/>
      <c r="AB193" s="14"/>
      <c r="AC193" s="14"/>
      <c r="AD193" s="14"/>
      <c r="AE193" s="14"/>
      <c r="AF193" s="14"/>
      <c r="AG193" s="14" t="s">
        <v>1109</v>
      </c>
      <c r="AH193" s="14"/>
      <c r="AI193" s="14"/>
      <c r="AJ193" s="14"/>
      <c r="AK193" s="14"/>
      <c r="AL193" s="14"/>
      <c r="AM193" s="14"/>
      <c r="AN193" s="14" t="s">
        <v>193</v>
      </c>
      <c r="AO193" s="14" t="s">
        <v>1110</v>
      </c>
      <c r="AP193" s="14"/>
      <c r="AQ193" s="14"/>
      <c r="AR193" s="22"/>
      <c r="AS193" s="22" t="s">
        <v>89</v>
      </c>
      <c r="AT193" s="69" t="s">
        <v>193</v>
      </c>
      <c r="AU193" s="25" t="str">
        <f>VLOOKUP(O193,[1]Lookup!A:B,2,FALSE)</f>
        <v>Test-SIT</v>
      </c>
      <c r="AV193" s="25" t="str">
        <f>VLOOKUP(test1[[#This Row],[Assignee]],lookup[#All],2,FALSE)</f>
        <v>Test-SIT</v>
      </c>
      <c r="AW193" s="25">
        <f ca="1">IF(test1[[#This Row],[Status]]&lt;&gt;"Closed", TODAY()-INT(test1[[#This Row],[Created]]),INT(test1[[#This Row],[Resolved]])-INT(test1[[#This Row],[Created]]))</f>
        <v>49</v>
      </c>
    </row>
    <row r="194" spans="1:49" ht="409.5" x14ac:dyDescent="0.2">
      <c r="A194" s="48" t="s">
        <v>86</v>
      </c>
      <c r="B194" s="29" t="s">
        <v>1101</v>
      </c>
      <c r="C194" s="27" t="s">
        <v>1102</v>
      </c>
      <c r="D194" s="39" t="s">
        <v>89</v>
      </c>
      <c r="E194" s="27" t="s">
        <v>1103</v>
      </c>
      <c r="F194" s="27"/>
      <c r="G194" s="27"/>
      <c r="H194" s="27"/>
      <c r="I194" s="27"/>
      <c r="J194" s="14" t="s">
        <v>91</v>
      </c>
      <c r="K194" s="14" t="s">
        <v>59</v>
      </c>
      <c r="L194" s="14" t="s">
        <v>93</v>
      </c>
      <c r="M194" s="14" t="s">
        <v>132</v>
      </c>
      <c r="N194" s="18" t="s">
        <v>19</v>
      </c>
      <c r="O194" s="14" t="s">
        <v>19</v>
      </c>
      <c r="P194" s="19">
        <v>42779.61041666667</v>
      </c>
      <c r="Q194" s="19">
        <v>42781.618055555555</v>
      </c>
      <c r="R194" s="19">
        <v>42781.618055555555</v>
      </c>
      <c r="S194" s="14" t="s">
        <v>660</v>
      </c>
      <c r="T194" s="14"/>
      <c r="U194" s="14" t="s">
        <v>96</v>
      </c>
      <c r="V194" s="14"/>
      <c r="W194" s="14">
        <v>0</v>
      </c>
      <c r="X194" s="14">
        <v>0</v>
      </c>
      <c r="Y194" s="14"/>
      <c r="Z194" s="14"/>
      <c r="AA194" s="14"/>
      <c r="AB194" s="14"/>
      <c r="AC194" s="14"/>
      <c r="AD194" s="14"/>
      <c r="AE194" s="14"/>
      <c r="AF194" s="14" t="s">
        <v>1103</v>
      </c>
      <c r="AG194" s="14" t="s">
        <v>1104</v>
      </c>
      <c r="AH194" s="14"/>
      <c r="AI194" s="14"/>
      <c r="AJ194" s="14"/>
      <c r="AK194" s="14"/>
      <c r="AL194" s="14"/>
      <c r="AM194" s="14"/>
      <c r="AN194" s="14" t="s">
        <v>1105</v>
      </c>
      <c r="AO194" s="14" t="s">
        <v>1106</v>
      </c>
      <c r="AP194" s="14"/>
      <c r="AQ194" s="14"/>
      <c r="AR194" s="22"/>
      <c r="AS194" s="39" t="s">
        <v>89</v>
      </c>
      <c r="AT194" s="27" t="s">
        <v>1103</v>
      </c>
      <c r="AU194" s="25" t="str">
        <f>VLOOKUP(O194,[1]Lookup!A:B,2,FALSE)</f>
        <v>Test-SIT</v>
      </c>
      <c r="AV194" s="25" t="str">
        <f>VLOOKUP(test1[[#This Row],[Assignee]],lookup[#All],2,FALSE)</f>
        <v>Test-SIT</v>
      </c>
      <c r="AW194" s="25">
        <f ca="1">IF(test1[[#This Row],[Status]]&lt;&gt;"Closed", TODAY()-INT(test1[[#This Row],[Created]]),INT(test1[[#This Row],[Resolved]])-INT(test1[[#This Row],[Created]]))</f>
        <v>49</v>
      </c>
    </row>
    <row r="195" spans="1:49" s="42" customFormat="1" ht="299.25" x14ac:dyDescent="0.2">
      <c r="A195" s="48" t="s">
        <v>86</v>
      </c>
      <c r="B195" s="29" t="s">
        <v>1097</v>
      </c>
      <c r="C195" s="27" t="s">
        <v>1098</v>
      </c>
      <c r="D195" s="69" t="s">
        <v>96</v>
      </c>
      <c r="E195" s="22" t="s">
        <v>261</v>
      </c>
      <c r="F195" s="27"/>
      <c r="G195" s="27"/>
      <c r="H195" s="27"/>
      <c r="I195" s="27"/>
      <c r="J195" s="14" t="s">
        <v>91</v>
      </c>
      <c r="K195" s="14" t="s">
        <v>59</v>
      </c>
      <c r="L195" s="14" t="s">
        <v>93</v>
      </c>
      <c r="M195" s="14" t="s">
        <v>132</v>
      </c>
      <c r="N195" s="18" t="s">
        <v>19</v>
      </c>
      <c r="O195" s="14" t="s">
        <v>19</v>
      </c>
      <c r="P195" s="19">
        <v>42779.625694444447</v>
      </c>
      <c r="Q195" s="19">
        <v>42781.711111111108</v>
      </c>
      <c r="R195" s="19">
        <v>42781.711111111108</v>
      </c>
      <c r="S195" s="14" t="s">
        <v>660</v>
      </c>
      <c r="T195" s="14"/>
      <c r="U195" s="14" t="s">
        <v>96</v>
      </c>
      <c r="V195" s="14"/>
      <c r="W195" s="14">
        <v>0</v>
      </c>
      <c r="X195" s="14">
        <v>0</v>
      </c>
      <c r="Y195" s="14"/>
      <c r="Z195" s="14"/>
      <c r="AA195" s="14"/>
      <c r="AB195" s="14"/>
      <c r="AC195" s="14"/>
      <c r="AD195" s="14"/>
      <c r="AE195" s="14"/>
      <c r="AF195" s="14"/>
      <c r="AG195" s="14" t="s">
        <v>1099</v>
      </c>
      <c r="AH195" s="14"/>
      <c r="AI195" s="14"/>
      <c r="AJ195" s="14"/>
      <c r="AK195" s="14"/>
      <c r="AL195" s="14"/>
      <c r="AM195" s="14"/>
      <c r="AN195" s="14"/>
      <c r="AO195" s="14" t="s">
        <v>1100</v>
      </c>
      <c r="AP195" s="14"/>
      <c r="AQ195" s="14"/>
      <c r="AR195" s="53"/>
      <c r="AS195" s="69" t="s">
        <v>96</v>
      </c>
      <c r="AT195" s="69" t="s">
        <v>261</v>
      </c>
      <c r="AU195" s="25" t="str">
        <f>VLOOKUP(O195,[1]Lookup!A:B,2,FALSE)</f>
        <v>Test-SIT</v>
      </c>
      <c r="AV195" s="25" t="str">
        <f>VLOOKUP(test1[[#This Row],[Assignee]],lookup[#All],2,FALSE)</f>
        <v>Test-SIT</v>
      </c>
      <c r="AW195" s="25">
        <f ca="1">IF(test1[[#This Row],[Status]]&lt;&gt;"Closed", TODAY()-INT(test1[[#This Row],[Created]]),INT(test1[[#This Row],[Resolved]])-INT(test1[[#This Row],[Created]]))</f>
        <v>49</v>
      </c>
    </row>
    <row r="196" spans="1:49" ht="142.5" x14ac:dyDescent="0.2">
      <c r="A196" s="48" t="s">
        <v>86</v>
      </c>
      <c r="B196" s="29" t="s">
        <v>1088</v>
      </c>
      <c r="C196" s="27" t="s">
        <v>1089</v>
      </c>
      <c r="D196" s="22" t="s">
        <v>229</v>
      </c>
      <c r="E196" s="69" t="s">
        <v>229</v>
      </c>
      <c r="F196" s="27"/>
      <c r="G196" s="27" t="s">
        <v>204</v>
      </c>
      <c r="H196" s="27"/>
      <c r="I196" s="27"/>
      <c r="J196" s="14" t="s">
        <v>91</v>
      </c>
      <c r="K196" s="14" t="s">
        <v>59</v>
      </c>
      <c r="L196" s="14" t="s">
        <v>103</v>
      </c>
      <c r="M196" s="14" t="s">
        <v>132</v>
      </c>
      <c r="N196" s="18" t="s">
        <v>36</v>
      </c>
      <c r="O196" s="14" t="s">
        <v>36</v>
      </c>
      <c r="P196" s="19">
        <v>42779.685416666667</v>
      </c>
      <c r="Q196" s="19">
        <v>42808.601388888892</v>
      </c>
      <c r="R196" s="19">
        <v>42808.601388888892</v>
      </c>
      <c r="S196" s="14" t="s">
        <v>203</v>
      </c>
      <c r="T196" s="14" t="s">
        <v>204</v>
      </c>
      <c r="U196" s="14" t="s">
        <v>96</v>
      </c>
      <c r="V196" s="14"/>
      <c r="W196" s="14">
        <v>0</v>
      </c>
      <c r="X196" s="14">
        <v>0</v>
      </c>
      <c r="Y196" s="14" t="s">
        <v>1090</v>
      </c>
      <c r="Z196" s="14"/>
      <c r="AA196" s="14"/>
      <c r="AB196" s="14"/>
      <c r="AC196" s="14"/>
      <c r="AD196" s="14"/>
      <c r="AE196" s="14"/>
      <c r="AF196" s="14" t="s">
        <v>126</v>
      </c>
      <c r="AG196" s="14" t="s">
        <v>1091</v>
      </c>
      <c r="AH196" s="14"/>
      <c r="AI196" s="14"/>
      <c r="AJ196" s="14"/>
      <c r="AK196" s="14"/>
      <c r="AL196" s="14"/>
      <c r="AM196" s="14"/>
      <c r="AN196" s="14" t="s">
        <v>1092</v>
      </c>
      <c r="AO196" s="14" t="s">
        <v>1093</v>
      </c>
      <c r="AP196" s="14" t="s">
        <v>146</v>
      </c>
      <c r="AQ196" s="14"/>
      <c r="AR196" s="22"/>
      <c r="AS196" s="22" t="s">
        <v>96</v>
      </c>
      <c r="AT196" s="69" t="s">
        <v>381</v>
      </c>
      <c r="AU196" s="25" t="str">
        <f>VLOOKUP(O196,[1]Lookup!A:B,2,FALSE)</f>
        <v>DMO</v>
      </c>
      <c r="AV196" s="25" t="str">
        <f>VLOOKUP(test1[[#This Row],[Assignee]],lookup[#All],2,FALSE)</f>
        <v>DMO</v>
      </c>
      <c r="AW196" s="25">
        <f ca="1">IF(test1[[#This Row],[Status]]&lt;&gt;"Closed", TODAY()-INT(test1[[#This Row],[Created]]),INT(test1[[#This Row],[Resolved]])-INT(test1[[#This Row],[Created]]))</f>
        <v>49</v>
      </c>
    </row>
    <row r="197" spans="1:49" ht="142.5" x14ac:dyDescent="0.2">
      <c r="A197" s="47" t="s">
        <v>86</v>
      </c>
      <c r="B197" s="15" t="s">
        <v>1094</v>
      </c>
      <c r="C197" s="14" t="s">
        <v>1095</v>
      </c>
      <c r="D197" s="22" t="s">
        <v>96</v>
      </c>
      <c r="E197" s="69" t="s">
        <v>1096</v>
      </c>
      <c r="F197" s="27"/>
      <c r="G197" s="27"/>
      <c r="H197" s="27"/>
      <c r="I197" s="27"/>
      <c r="J197" s="14" t="s">
        <v>91</v>
      </c>
      <c r="K197" s="14" t="s">
        <v>59</v>
      </c>
      <c r="L197" s="14" t="s">
        <v>103</v>
      </c>
      <c r="M197" s="14" t="s">
        <v>132</v>
      </c>
      <c r="N197" s="18" t="s">
        <v>36</v>
      </c>
      <c r="O197" s="14" t="s">
        <v>36</v>
      </c>
      <c r="P197" s="19">
        <v>42779.685416666667</v>
      </c>
      <c r="Q197" s="19">
        <v>42808.601388888892</v>
      </c>
      <c r="R197" s="19">
        <v>42808.601388888892</v>
      </c>
      <c r="S197" s="14" t="s">
        <v>203</v>
      </c>
      <c r="T197" s="14" t="s">
        <v>204</v>
      </c>
      <c r="U197" s="14" t="s">
        <v>96</v>
      </c>
      <c r="V197" s="14"/>
      <c r="W197" s="14">
        <v>0</v>
      </c>
      <c r="X197" s="14">
        <v>0</v>
      </c>
      <c r="Y197" s="14" t="s">
        <v>1090</v>
      </c>
      <c r="Z197" s="14"/>
      <c r="AA197" s="14"/>
      <c r="AB197" s="14"/>
      <c r="AC197" s="14"/>
      <c r="AD197" s="14"/>
      <c r="AE197" s="14"/>
      <c r="AF197" s="14" t="s">
        <v>126</v>
      </c>
      <c r="AG197" s="14" t="s">
        <v>1091</v>
      </c>
      <c r="AH197" s="14"/>
      <c r="AI197" s="14"/>
      <c r="AJ197" s="14"/>
      <c r="AK197" s="14"/>
      <c r="AL197" s="14"/>
      <c r="AM197" s="14"/>
      <c r="AN197" s="14" t="s">
        <v>1092</v>
      </c>
      <c r="AO197" s="14" t="s">
        <v>1093</v>
      </c>
      <c r="AP197" s="14" t="s">
        <v>146</v>
      </c>
      <c r="AQ197" s="14"/>
      <c r="AR197" s="22"/>
      <c r="AS197" s="22"/>
      <c r="AT197" s="69"/>
      <c r="AU197" s="25"/>
      <c r="AV197" s="25" t="str">
        <f>VLOOKUP(test1[[#This Row],[Assignee]],lookup[#All],2,FALSE)</f>
        <v>DMO</v>
      </c>
      <c r="AW197" s="25">
        <f ca="1">IF(test1[[#This Row],[Status]]&lt;&gt;"Closed", TODAY()-INT(test1[[#This Row],[Created]]),INT(test1[[#This Row],[Resolved]])-INT(test1[[#This Row],[Created]]))</f>
        <v>49</v>
      </c>
    </row>
    <row r="198" spans="1:49" ht="356.25" x14ac:dyDescent="0.2">
      <c r="A198" s="48" t="s">
        <v>86</v>
      </c>
      <c r="B198" s="29" t="s">
        <v>1084</v>
      </c>
      <c r="C198" s="27" t="s">
        <v>1085</v>
      </c>
      <c r="D198" s="22" t="s">
        <v>229</v>
      </c>
      <c r="E198" s="69" t="s">
        <v>229</v>
      </c>
      <c r="F198" s="27"/>
      <c r="G198" s="27" t="s">
        <v>204</v>
      </c>
      <c r="H198" s="27"/>
      <c r="I198" s="27"/>
      <c r="J198" s="14" t="s">
        <v>91</v>
      </c>
      <c r="K198" s="14" t="s">
        <v>59</v>
      </c>
      <c r="L198" s="14" t="s">
        <v>167</v>
      </c>
      <c r="M198" s="14" t="s">
        <v>132</v>
      </c>
      <c r="N198" s="18" t="s">
        <v>22</v>
      </c>
      <c r="O198" s="14" t="s">
        <v>37</v>
      </c>
      <c r="P198" s="19">
        <v>42779.688194444447</v>
      </c>
      <c r="Q198" s="19">
        <v>42780.633333333331</v>
      </c>
      <c r="R198" s="19">
        <v>42780.626388888886</v>
      </c>
      <c r="S198" s="14" t="s">
        <v>203</v>
      </c>
      <c r="T198" s="14" t="s">
        <v>204</v>
      </c>
      <c r="U198" s="14" t="s">
        <v>242</v>
      </c>
      <c r="V198" s="14"/>
      <c r="W198" s="14">
        <v>0</v>
      </c>
      <c r="X198" s="14">
        <v>0</v>
      </c>
      <c r="Y198" s="20" t="s">
        <v>1086</v>
      </c>
      <c r="Z198" s="14"/>
      <c r="AA198" s="14"/>
      <c r="AB198" s="14"/>
      <c r="AC198" s="14"/>
      <c r="AD198" s="14"/>
      <c r="AE198" s="14"/>
      <c r="AF198" s="14" t="s">
        <v>126</v>
      </c>
      <c r="AG198" s="14" t="s">
        <v>1087</v>
      </c>
      <c r="AH198" s="14"/>
      <c r="AI198" s="14"/>
      <c r="AJ198" s="14"/>
      <c r="AK198" s="14"/>
      <c r="AL198" s="14"/>
      <c r="AM198" s="14"/>
      <c r="AN198" s="14" t="s">
        <v>229</v>
      </c>
      <c r="AO198" s="14" t="s">
        <v>381</v>
      </c>
      <c r="AP198" s="14" t="s">
        <v>146</v>
      </c>
      <c r="AQ198" s="14"/>
      <c r="AR198" s="22"/>
      <c r="AS198" s="22" t="s">
        <v>96</v>
      </c>
      <c r="AT198" s="69" t="s">
        <v>229</v>
      </c>
      <c r="AU198" s="25" t="str">
        <f>VLOOKUP(O198,[1]Lookup!A:B,2,FALSE)</f>
        <v>DMO</v>
      </c>
      <c r="AV198" s="25" t="str">
        <f>VLOOKUP(test1[[#This Row],[Assignee]],lookup[#All],2,FALSE)</f>
        <v>Test-SIT</v>
      </c>
      <c r="AW198" s="25">
        <f ca="1">IF(test1[[#This Row],[Status]]&lt;&gt;"Closed", TODAY()-INT(test1[[#This Row],[Created]]),INT(test1[[#This Row],[Resolved]])-INT(test1[[#This Row],[Created]]))</f>
        <v>49</v>
      </c>
    </row>
    <row r="199" spans="1:49" ht="99.75" x14ac:dyDescent="0.2">
      <c r="A199" s="48" t="s">
        <v>86</v>
      </c>
      <c r="B199" s="29" t="s">
        <v>622</v>
      </c>
      <c r="C199" s="26" t="s">
        <v>1080</v>
      </c>
      <c r="D199" s="22" t="s">
        <v>89</v>
      </c>
      <c r="E199" s="22" t="s">
        <v>1081</v>
      </c>
      <c r="F199" s="26" t="s">
        <v>627</v>
      </c>
      <c r="G199" s="26" t="s">
        <v>628</v>
      </c>
      <c r="H199" s="26" t="s">
        <v>526</v>
      </c>
      <c r="I199" s="26" t="s">
        <v>527</v>
      </c>
      <c r="J199" s="14" t="s">
        <v>91</v>
      </c>
      <c r="K199" s="14" t="s">
        <v>275</v>
      </c>
      <c r="L199" s="14" t="s">
        <v>103</v>
      </c>
      <c r="M199" s="14" t="s">
        <v>201</v>
      </c>
      <c r="N199" s="18" t="s">
        <v>202</v>
      </c>
      <c r="O199" s="14" t="s">
        <v>36</v>
      </c>
      <c r="P199" s="19">
        <v>42779.690972222219</v>
      </c>
      <c r="Q199" s="19">
        <v>42780.422222222223</v>
      </c>
      <c r="R199" s="19">
        <v>42780.422222222223</v>
      </c>
      <c r="S199" s="14" t="s">
        <v>203</v>
      </c>
      <c r="T199" s="14" t="s">
        <v>204</v>
      </c>
      <c r="U199" s="14" t="s">
        <v>96</v>
      </c>
      <c r="V199" s="14"/>
      <c r="W199" s="14">
        <v>0</v>
      </c>
      <c r="X199" s="14">
        <v>0</v>
      </c>
      <c r="Y199" s="20" t="s">
        <v>1082</v>
      </c>
      <c r="Z199" s="14"/>
      <c r="AA199" s="14"/>
      <c r="AB199" s="14"/>
      <c r="AC199" s="14"/>
      <c r="AD199" s="14"/>
      <c r="AE199" s="14"/>
      <c r="AF199" s="14" t="s">
        <v>126</v>
      </c>
      <c r="AG199" s="14" t="s">
        <v>1083</v>
      </c>
      <c r="AH199" s="14"/>
      <c r="AI199" s="14"/>
      <c r="AJ199" s="14"/>
      <c r="AK199" s="14"/>
      <c r="AL199" s="14"/>
      <c r="AM199" s="14"/>
      <c r="AN199" s="14"/>
      <c r="AO199" s="14"/>
      <c r="AP199" s="14" t="s">
        <v>146</v>
      </c>
      <c r="AQ199" s="14"/>
      <c r="AR199" s="22"/>
      <c r="AS199" s="22" t="s">
        <v>89</v>
      </c>
      <c r="AT199" s="22" t="s">
        <v>1081</v>
      </c>
      <c r="AU199" s="25" t="str">
        <f>VLOOKUP(O199,[1]Lookup!A:B,2,FALSE)</f>
        <v>DMO</v>
      </c>
      <c r="AV199" s="25" t="e">
        <f>VLOOKUP(test1[[#This Row],[Assignee]],lookup[#All],2,FALSE)</f>
        <v>#N/A</v>
      </c>
      <c r="AW199" s="25">
        <f ca="1">IF(test1[[#This Row],[Status]]&lt;&gt;"Closed", TODAY()-INT(test1[[#This Row],[Created]]),INT(test1[[#This Row],[Resolved]])-INT(test1[[#This Row],[Created]]))</f>
        <v>1</v>
      </c>
    </row>
    <row r="200" spans="1:49" ht="57" x14ac:dyDescent="0.2">
      <c r="A200" s="48" t="s">
        <v>86</v>
      </c>
      <c r="B200" s="29" t="s">
        <v>1074</v>
      </c>
      <c r="C200" s="26" t="s">
        <v>1075</v>
      </c>
      <c r="D200" s="22" t="s">
        <v>89</v>
      </c>
      <c r="E200" s="22" t="s">
        <v>1076</v>
      </c>
      <c r="F200" s="26" t="s">
        <v>1077</v>
      </c>
      <c r="G200" s="26" t="s">
        <v>312</v>
      </c>
      <c r="H200" s="26" t="s">
        <v>526</v>
      </c>
      <c r="I200" s="26" t="s">
        <v>527</v>
      </c>
      <c r="J200" s="14" t="s">
        <v>91</v>
      </c>
      <c r="K200" s="14" t="s">
        <v>323</v>
      </c>
      <c r="L200" s="14" t="s">
        <v>124</v>
      </c>
      <c r="M200" s="17" t="s">
        <v>94</v>
      </c>
      <c r="N200" s="18" t="s">
        <v>202</v>
      </c>
      <c r="O200" s="14" t="s">
        <v>39</v>
      </c>
      <c r="P200" s="19">
        <v>42779.743750000001</v>
      </c>
      <c r="Q200" s="19">
        <v>42809.470833333333</v>
      </c>
      <c r="R200" s="14"/>
      <c r="S200" s="14" t="s">
        <v>203</v>
      </c>
      <c r="T200" s="14" t="s">
        <v>466</v>
      </c>
      <c r="U200" s="14" t="s">
        <v>89</v>
      </c>
      <c r="V200" s="14"/>
      <c r="W200" s="14">
        <v>0</v>
      </c>
      <c r="X200" s="14">
        <v>0</v>
      </c>
      <c r="Y200" s="14"/>
      <c r="Z200" s="14"/>
      <c r="AA200" s="14"/>
      <c r="AB200" s="14"/>
      <c r="AC200" s="14"/>
      <c r="AD200" s="14"/>
      <c r="AE200" s="14" t="s">
        <v>625</v>
      </c>
      <c r="AF200" s="14" t="s">
        <v>851</v>
      </c>
      <c r="AG200" s="14" t="s">
        <v>1078</v>
      </c>
      <c r="AH200" s="14"/>
      <c r="AI200" s="14"/>
      <c r="AJ200" s="14"/>
      <c r="AK200" s="14"/>
      <c r="AL200" s="14"/>
      <c r="AM200" s="14"/>
      <c r="AN200" s="14" t="s">
        <v>1079</v>
      </c>
      <c r="AO200" s="14"/>
      <c r="AP200" s="14" t="s">
        <v>146</v>
      </c>
      <c r="AQ200" s="14"/>
      <c r="AR200" s="22"/>
      <c r="AS200" s="22" t="s">
        <v>89</v>
      </c>
      <c r="AT200" s="22" t="s">
        <v>1076</v>
      </c>
      <c r="AU200" s="25" t="str">
        <f>VLOOKUP(O200,[1]Lookup!A:B,2,FALSE)</f>
        <v>DMO</v>
      </c>
      <c r="AV200" s="25" t="e">
        <f>VLOOKUP(test1[[#This Row],[Assignee]],lookup[#All],2,FALSE)</f>
        <v>#N/A</v>
      </c>
      <c r="AW200" s="25">
        <f ca="1">IF(test1[[#This Row],[Status]]&lt;&gt;"Closed", TODAY()-INT(test1[[#This Row],[Created]]),INT(test1[[#This Row],[Resolved]])-INT(test1[[#This Row],[Created]]))</f>
        <v>49</v>
      </c>
    </row>
    <row r="201" spans="1:49" ht="142.5" x14ac:dyDescent="0.2">
      <c r="A201" s="48" t="s">
        <v>86</v>
      </c>
      <c r="B201" s="29" t="s">
        <v>1069</v>
      </c>
      <c r="C201" s="27" t="s">
        <v>1070</v>
      </c>
      <c r="D201" s="22" t="s">
        <v>130</v>
      </c>
      <c r="E201" s="22" t="s">
        <v>692</v>
      </c>
      <c r="F201" s="27"/>
      <c r="G201" s="27" t="s">
        <v>203</v>
      </c>
      <c r="H201" s="27"/>
      <c r="I201" s="27"/>
      <c r="J201" s="14" t="s">
        <v>91</v>
      </c>
      <c r="K201" s="14" t="s">
        <v>174</v>
      </c>
      <c r="L201" s="14" t="s">
        <v>124</v>
      </c>
      <c r="M201" s="17" t="s">
        <v>94</v>
      </c>
      <c r="N201" s="18" t="s">
        <v>18</v>
      </c>
      <c r="O201" s="14" t="s">
        <v>38</v>
      </c>
      <c r="P201" s="19">
        <v>42779.785416666666</v>
      </c>
      <c r="Q201" s="19">
        <v>42807.847222222219</v>
      </c>
      <c r="R201" s="14"/>
      <c r="S201" s="14" t="s">
        <v>203</v>
      </c>
      <c r="T201" s="14" t="s">
        <v>312</v>
      </c>
      <c r="U201" s="14" t="s">
        <v>89</v>
      </c>
      <c r="V201" s="14"/>
      <c r="W201" s="14">
        <v>0</v>
      </c>
      <c r="X201" s="14">
        <v>0</v>
      </c>
      <c r="Y201" s="14" t="s">
        <v>1071</v>
      </c>
      <c r="Z201" s="14"/>
      <c r="AA201" s="14"/>
      <c r="AB201" s="14"/>
      <c r="AC201" s="14"/>
      <c r="AD201" s="14"/>
      <c r="AE201" s="14"/>
      <c r="AF201" s="14"/>
      <c r="AG201" s="14" t="s">
        <v>1072</v>
      </c>
      <c r="AH201" s="14"/>
      <c r="AI201" s="14"/>
      <c r="AJ201" s="14"/>
      <c r="AK201" s="14"/>
      <c r="AL201" s="14"/>
      <c r="AM201" s="14"/>
      <c r="AN201" s="14"/>
      <c r="AO201" s="14" t="s">
        <v>1073</v>
      </c>
      <c r="AP201" s="14"/>
      <c r="AQ201" s="14"/>
      <c r="AR201" s="22"/>
      <c r="AS201" s="22" t="s">
        <v>130</v>
      </c>
      <c r="AT201" s="22" t="s">
        <v>692</v>
      </c>
      <c r="AU201" s="25" t="str">
        <f>VLOOKUP(O201,[1]Lookup!A:B,2,FALSE)</f>
        <v>DMO</v>
      </c>
      <c r="AV201" s="25" t="str">
        <f>VLOOKUP(test1[[#This Row],[Assignee]],lookup[#All],2,FALSE)</f>
        <v>TD-Dev</v>
      </c>
      <c r="AW201" s="25">
        <f ca="1">IF(test1[[#This Row],[Status]]&lt;&gt;"Closed", TODAY()-INT(test1[[#This Row],[Created]]),INT(test1[[#This Row],[Resolved]])-INT(test1[[#This Row],[Created]]))</f>
        <v>49</v>
      </c>
    </row>
    <row r="202" spans="1:49" ht="342" x14ac:dyDescent="0.2">
      <c r="A202" s="48" t="s">
        <v>86</v>
      </c>
      <c r="B202" s="29" t="s">
        <v>1065</v>
      </c>
      <c r="C202" s="27" t="s">
        <v>1066</v>
      </c>
      <c r="D202" s="22" t="s">
        <v>96</v>
      </c>
      <c r="E202" s="22" t="s">
        <v>166</v>
      </c>
      <c r="F202" s="27"/>
      <c r="G202" s="27" t="s">
        <v>203</v>
      </c>
      <c r="H202" s="27"/>
      <c r="I202" s="27"/>
      <c r="J202" s="14" t="s">
        <v>91</v>
      </c>
      <c r="K202" s="14" t="s">
        <v>59</v>
      </c>
      <c r="L202" s="14" t="s">
        <v>93</v>
      </c>
      <c r="M202" s="14" t="s">
        <v>132</v>
      </c>
      <c r="N202" s="18" t="s">
        <v>202</v>
      </c>
      <c r="O202" s="14" t="s">
        <v>39</v>
      </c>
      <c r="P202" s="19">
        <v>42779.790277777778</v>
      </c>
      <c r="Q202" s="19">
        <v>42790.772222222222</v>
      </c>
      <c r="R202" s="19">
        <v>42790.493055555555</v>
      </c>
      <c r="S202" s="14" t="s">
        <v>203</v>
      </c>
      <c r="T202" s="14" t="s">
        <v>203</v>
      </c>
      <c r="U202" s="14" t="s">
        <v>96</v>
      </c>
      <c r="V202" s="14"/>
      <c r="W202" s="14">
        <v>0</v>
      </c>
      <c r="X202" s="14">
        <v>0</v>
      </c>
      <c r="Y202" s="14"/>
      <c r="Z202" s="14"/>
      <c r="AA202" s="14"/>
      <c r="AB202" s="14"/>
      <c r="AC202" s="14"/>
      <c r="AD202" s="14"/>
      <c r="AE202" s="14"/>
      <c r="AF202" s="14" t="s">
        <v>851</v>
      </c>
      <c r="AG202" s="14" t="s">
        <v>1067</v>
      </c>
      <c r="AH202" s="14"/>
      <c r="AI202" s="14"/>
      <c r="AJ202" s="14"/>
      <c r="AK202" s="14"/>
      <c r="AL202" s="14"/>
      <c r="AM202" s="14"/>
      <c r="AN202" s="14" t="s">
        <v>408</v>
      </c>
      <c r="AO202" s="14" t="s">
        <v>1068</v>
      </c>
      <c r="AP202" s="14" t="s">
        <v>146</v>
      </c>
      <c r="AQ202" s="14"/>
      <c r="AR202" s="22"/>
      <c r="AS202" s="22" t="s">
        <v>96</v>
      </c>
      <c r="AT202" s="22" t="s">
        <v>261</v>
      </c>
      <c r="AU202" s="25" t="str">
        <f>VLOOKUP(O202,[1]Lookup!A:B,2,FALSE)</f>
        <v>DMO</v>
      </c>
      <c r="AV202" s="25" t="e">
        <f>VLOOKUP(test1[[#This Row],[Assignee]],lookup[#All],2,FALSE)</f>
        <v>#N/A</v>
      </c>
      <c r="AW202" s="25">
        <f ca="1">IF(test1[[#This Row],[Status]]&lt;&gt;"Closed", TODAY()-INT(test1[[#This Row],[Created]]),INT(test1[[#This Row],[Resolved]])-INT(test1[[#This Row],[Created]]))</f>
        <v>49</v>
      </c>
    </row>
    <row r="203" spans="1:49" ht="99.75" x14ac:dyDescent="0.2">
      <c r="A203" s="48" t="s">
        <v>86</v>
      </c>
      <c r="B203" s="29" t="s">
        <v>1060</v>
      </c>
      <c r="C203" s="27" t="s">
        <v>1061</v>
      </c>
      <c r="D203" s="22" t="s">
        <v>96</v>
      </c>
      <c r="E203" s="22" t="s">
        <v>166</v>
      </c>
      <c r="F203" s="27"/>
      <c r="G203" s="27" t="s">
        <v>203</v>
      </c>
      <c r="H203" s="27"/>
      <c r="I203" s="27"/>
      <c r="J203" s="14" t="s">
        <v>91</v>
      </c>
      <c r="K203" s="14" t="s">
        <v>59</v>
      </c>
      <c r="L203" s="14" t="s">
        <v>167</v>
      </c>
      <c r="M203" s="14" t="s">
        <v>132</v>
      </c>
      <c r="N203" s="18" t="s">
        <v>202</v>
      </c>
      <c r="O203" s="14" t="s">
        <v>36</v>
      </c>
      <c r="P203" s="19">
        <v>42779.82708333333</v>
      </c>
      <c r="Q203" s="19">
        <v>42799.82916666667</v>
      </c>
      <c r="R203" s="19">
        <v>42783.75</v>
      </c>
      <c r="S203" s="14" t="s">
        <v>203</v>
      </c>
      <c r="T203" s="14" t="s">
        <v>203</v>
      </c>
      <c r="U203" s="14" t="s">
        <v>96</v>
      </c>
      <c r="V203" s="14"/>
      <c r="W203" s="14">
        <v>0</v>
      </c>
      <c r="X203" s="14">
        <v>0</v>
      </c>
      <c r="Y203" s="20" t="s">
        <v>1062</v>
      </c>
      <c r="Z203" s="14"/>
      <c r="AA203" s="14"/>
      <c r="AB203" s="14"/>
      <c r="AC203" s="14"/>
      <c r="AD203" s="14"/>
      <c r="AE203" s="14"/>
      <c r="AF203" s="14" t="s">
        <v>126</v>
      </c>
      <c r="AG203" s="14" t="s">
        <v>1063</v>
      </c>
      <c r="AH203" s="14"/>
      <c r="AI203" s="14"/>
      <c r="AJ203" s="14"/>
      <c r="AK203" s="14"/>
      <c r="AL203" s="14"/>
      <c r="AM203" s="14"/>
      <c r="AN203" s="14" t="s">
        <v>904</v>
      </c>
      <c r="AO203" s="14" t="s">
        <v>1064</v>
      </c>
      <c r="AP203" s="14" t="s">
        <v>146</v>
      </c>
      <c r="AQ203" s="14"/>
      <c r="AR203" s="22"/>
      <c r="AS203" s="22" t="s">
        <v>96</v>
      </c>
      <c r="AT203" s="69" t="s">
        <v>166</v>
      </c>
      <c r="AU203" s="25" t="str">
        <f>VLOOKUP(O203,[1]Lookup!A:B,2,FALSE)</f>
        <v>DMO</v>
      </c>
      <c r="AV203" s="25" t="e">
        <f>VLOOKUP(test1[[#This Row],[Assignee]],lookup[#All],2,FALSE)</f>
        <v>#N/A</v>
      </c>
      <c r="AW203" s="25">
        <f ca="1">IF(test1[[#This Row],[Status]]&lt;&gt;"Closed", TODAY()-INT(test1[[#This Row],[Created]]),INT(test1[[#This Row],[Resolved]])-INT(test1[[#This Row],[Created]]))</f>
        <v>49</v>
      </c>
    </row>
    <row r="204" spans="1:49" ht="370.5" x14ac:dyDescent="0.2">
      <c r="A204" s="48" t="s">
        <v>86</v>
      </c>
      <c r="B204" s="29" t="s">
        <v>1053</v>
      </c>
      <c r="C204" s="27" t="s">
        <v>1054</v>
      </c>
      <c r="D204" s="22" t="s">
        <v>89</v>
      </c>
      <c r="E204" s="22" t="s">
        <v>1055</v>
      </c>
      <c r="F204" s="37" t="s">
        <v>104</v>
      </c>
      <c r="G204" s="27" t="s">
        <v>174</v>
      </c>
      <c r="H204" s="37" t="s">
        <v>104</v>
      </c>
      <c r="I204" s="37" t="s">
        <v>553</v>
      </c>
      <c r="J204" s="14" t="s">
        <v>91</v>
      </c>
      <c r="K204" s="14" t="s">
        <v>59</v>
      </c>
      <c r="L204" s="14" t="s">
        <v>93</v>
      </c>
      <c r="M204" s="14" t="s">
        <v>132</v>
      </c>
      <c r="N204" s="18" t="s">
        <v>21</v>
      </c>
      <c r="O204" s="14" t="s">
        <v>38</v>
      </c>
      <c r="P204" s="19">
        <v>42779.82916666667</v>
      </c>
      <c r="Q204" s="19">
        <v>42783.740277777775</v>
      </c>
      <c r="R204" s="19">
        <v>42783.740277777775</v>
      </c>
      <c r="S204" s="14" t="s">
        <v>203</v>
      </c>
      <c r="T204" s="14" t="s">
        <v>203</v>
      </c>
      <c r="U204" s="14" t="s">
        <v>96</v>
      </c>
      <c r="V204" s="14"/>
      <c r="W204" s="14">
        <v>0</v>
      </c>
      <c r="X204" s="14">
        <v>0</v>
      </c>
      <c r="Y204" s="20" t="s">
        <v>1056</v>
      </c>
      <c r="Z204" s="14"/>
      <c r="AA204" s="14"/>
      <c r="AB204" s="14"/>
      <c r="AC204" s="14"/>
      <c r="AD204" s="14"/>
      <c r="AE204" s="14"/>
      <c r="AF204" s="14" t="s">
        <v>1057</v>
      </c>
      <c r="AG204" s="14" t="s">
        <v>1058</v>
      </c>
      <c r="AH204" s="14"/>
      <c r="AI204" s="14"/>
      <c r="AJ204" s="14"/>
      <c r="AK204" s="14"/>
      <c r="AL204" s="14"/>
      <c r="AM204" s="14"/>
      <c r="AN204" s="14"/>
      <c r="AO204" s="14" t="s">
        <v>1059</v>
      </c>
      <c r="AP204" s="14" t="s">
        <v>146</v>
      </c>
      <c r="AQ204" s="14"/>
      <c r="AR204" s="22"/>
      <c r="AS204" s="22" t="s">
        <v>89</v>
      </c>
      <c r="AT204" s="69" t="s">
        <v>1055</v>
      </c>
      <c r="AU204" s="25" t="str">
        <f>VLOOKUP(O204,[1]Lookup!A:B,2,FALSE)</f>
        <v>DMO</v>
      </c>
      <c r="AV204" s="25" t="str">
        <f>VLOOKUP(test1[[#This Row],[Assignee]],lookup[#All],2,FALSE)</f>
        <v>Test-SIT</v>
      </c>
      <c r="AW204" s="25">
        <f ca="1">IF(test1[[#This Row],[Status]]&lt;&gt;"Closed", TODAY()-INT(test1[[#This Row],[Created]]),INT(test1[[#This Row],[Resolved]])-INT(test1[[#This Row],[Created]]))</f>
        <v>49</v>
      </c>
    </row>
    <row r="205" spans="1:49" ht="156.75" x14ac:dyDescent="0.2">
      <c r="A205" s="48" t="s">
        <v>86</v>
      </c>
      <c r="B205" s="29" t="s">
        <v>1047</v>
      </c>
      <c r="C205" s="27" t="s">
        <v>1048</v>
      </c>
      <c r="D205" s="22" t="s">
        <v>89</v>
      </c>
      <c r="E205" s="22" t="s">
        <v>193</v>
      </c>
      <c r="F205" s="30" t="s">
        <v>516</v>
      </c>
      <c r="G205" s="26" t="s">
        <v>373</v>
      </c>
      <c r="H205" s="30" t="s">
        <v>104</v>
      </c>
      <c r="I205" s="30" t="s">
        <v>836</v>
      </c>
      <c r="J205" s="14" t="s">
        <v>91</v>
      </c>
      <c r="K205" s="14" t="s">
        <v>59</v>
      </c>
      <c r="L205" s="14" t="s">
        <v>93</v>
      </c>
      <c r="M205" s="14" t="s">
        <v>132</v>
      </c>
      <c r="N205" s="18" t="s">
        <v>202</v>
      </c>
      <c r="O205" s="14" t="s">
        <v>38</v>
      </c>
      <c r="P205" s="19">
        <v>42779.840277777781</v>
      </c>
      <c r="Q205" s="19">
        <v>42801.740972222222</v>
      </c>
      <c r="R205" s="19">
        <v>42801.740972222222</v>
      </c>
      <c r="S205" s="14" t="s">
        <v>203</v>
      </c>
      <c r="T205" s="14" t="s">
        <v>924</v>
      </c>
      <c r="U205" s="14" t="s">
        <v>412</v>
      </c>
      <c r="V205" s="14"/>
      <c r="W205" s="14">
        <v>0</v>
      </c>
      <c r="X205" s="14">
        <v>0</v>
      </c>
      <c r="Y205" s="14" t="s">
        <v>1049</v>
      </c>
      <c r="Z205" s="14"/>
      <c r="AA205" s="14"/>
      <c r="AB205" s="14"/>
      <c r="AC205" s="14"/>
      <c r="AD205" s="14"/>
      <c r="AE205" s="14"/>
      <c r="AF205" s="14" t="s">
        <v>823</v>
      </c>
      <c r="AG205" s="14" t="s">
        <v>1050</v>
      </c>
      <c r="AH205" s="14"/>
      <c r="AI205" s="14"/>
      <c r="AJ205" s="14"/>
      <c r="AK205" s="14"/>
      <c r="AL205" s="14"/>
      <c r="AM205" s="14"/>
      <c r="AN205" s="14" t="s">
        <v>1051</v>
      </c>
      <c r="AO205" s="14" t="s">
        <v>1052</v>
      </c>
      <c r="AP205" s="14" t="s">
        <v>146</v>
      </c>
      <c r="AQ205" s="14"/>
      <c r="AR205" s="22"/>
      <c r="AS205" s="22" t="s">
        <v>89</v>
      </c>
      <c r="AT205" s="22" t="s">
        <v>193</v>
      </c>
      <c r="AU205" s="25" t="str">
        <f>VLOOKUP(O205,[1]Lookup!A:B,2,FALSE)</f>
        <v>DMO</v>
      </c>
      <c r="AV205" s="25" t="e">
        <f>VLOOKUP(test1[[#This Row],[Assignee]],lookup[#All],2,FALSE)</f>
        <v>#N/A</v>
      </c>
      <c r="AW205" s="25">
        <f ca="1">IF(test1[[#This Row],[Status]]&lt;&gt;"Closed", TODAY()-INT(test1[[#This Row],[Created]]),INT(test1[[#This Row],[Resolved]])-INT(test1[[#This Row],[Created]]))</f>
        <v>49</v>
      </c>
    </row>
    <row r="206" spans="1:49" ht="285" x14ac:dyDescent="0.2">
      <c r="A206" s="48" t="s">
        <v>86</v>
      </c>
      <c r="B206" s="29" t="s">
        <v>1042</v>
      </c>
      <c r="C206" s="27" t="s">
        <v>1043</v>
      </c>
      <c r="D206" s="22" t="s">
        <v>96</v>
      </c>
      <c r="E206" s="22" t="s">
        <v>166</v>
      </c>
      <c r="F206" s="27"/>
      <c r="G206" s="27" t="s">
        <v>203</v>
      </c>
      <c r="H206" s="27"/>
      <c r="I206" s="27"/>
      <c r="J206" s="14" t="s">
        <v>91</v>
      </c>
      <c r="K206" s="14" t="s">
        <v>59</v>
      </c>
      <c r="L206" s="14" t="s">
        <v>167</v>
      </c>
      <c r="M206" s="14" t="s">
        <v>132</v>
      </c>
      <c r="N206" s="18" t="s">
        <v>36</v>
      </c>
      <c r="O206" s="14" t="s">
        <v>36</v>
      </c>
      <c r="P206" s="19">
        <v>42779.84097222222</v>
      </c>
      <c r="Q206" s="19">
        <v>42808.636111111111</v>
      </c>
      <c r="R206" s="19">
        <v>42808.636111111111</v>
      </c>
      <c r="S206" s="14" t="s">
        <v>203</v>
      </c>
      <c r="T206" s="14" t="s">
        <v>438</v>
      </c>
      <c r="U206" s="14" t="s">
        <v>412</v>
      </c>
      <c r="V206" s="14"/>
      <c r="W206" s="14">
        <v>0</v>
      </c>
      <c r="X206" s="14">
        <v>0</v>
      </c>
      <c r="Y206" s="14" t="s">
        <v>1044</v>
      </c>
      <c r="Z206" s="14"/>
      <c r="AA206" s="14"/>
      <c r="AB206" s="14"/>
      <c r="AC206" s="14"/>
      <c r="AD206" s="14"/>
      <c r="AE206" s="14"/>
      <c r="AF206" s="14" t="s">
        <v>126</v>
      </c>
      <c r="AG206" s="14" t="s">
        <v>1045</v>
      </c>
      <c r="AH206" s="14"/>
      <c r="AI206" s="14"/>
      <c r="AJ206" s="14"/>
      <c r="AK206" s="14"/>
      <c r="AL206" s="14"/>
      <c r="AM206" s="14"/>
      <c r="AN206" s="14" t="s">
        <v>193</v>
      </c>
      <c r="AO206" s="14" t="s">
        <v>1046</v>
      </c>
      <c r="AP206" s="14" t="s">
        <v>146</v>
      </c>
      <c r="AQ206" s="14"/>
      <c r="AR206" s="22"/>
      <c r="AS206" s="22" t="s">
        <v>96</v>
      </c>
      <c r="AT206" s="22" t="s">
        <v>166</v>
      </c>
      <c r="AU206" s="25" t="str">
        <f>VLOOKUP(O206,[1]Lookup!A:B,2,FALSE)</f>
        <v>DMO</v>
      </c>
      <c r="AV206" s="25" t="str">
        <f>VLOOKUP(test1[[#This Row],[Assignee]],lookup[#All],2,FALSE)</f>
        <v>DMO</v>
      </c>
      <c r="AW206" s="25">
        <f ca="1">IF(test1[[#This Row],[Status]]&lt;&gt;"Closed", TODAY()-INT(test1[[#This Row],[Created]]),INT(test1[[#This Row],[Resolved]])-INT(test1[[#This Row],[Created]]))</f>
        <v>49</v>
      </c>
    </row>
    <row r="207" spans="1:49" ht="99.75" x14ac:dyDescent="0.2">
      <c r="A207" s="48" t="s">
        <v>86</v>
      </c>
      <c r="B207" s="29" t="s">
        <v>1038</v>
      </c>
      <c r="C207" s="27" t="s">
        <v>1039</v>
      </c>
      <c r="D207" s="22" t="s">
        <v>117</v>
      </c>
      <c r="E207" s="22" t="s">
        <v>748</v>
      </c>
      <c r="F207" s="27"/>
      <c r="G207" s="30" t="s">
        <v>538</v>
      </c>
      <c r="H207" s="27"/>
      <c r="I207" s="27"/>
      <c r="J207" s="14" t="s">
        <v>91</v>
      </c>
      <c r="K207" s="14" t="s">
        <v>59</v>
      </c>
      <c r="L207" s="14" t="s">
        <v>167</v>
      </c>
      <c r="M207" s="14" t="s">
        <v>132</v>
      </c>
      <c r="N207" s="18" t="s">
        <v>36</v>
      </c>
      <c r="O207" s="14" t="s">
        <v>36</v>
      </c>
      <c r="P207" s="19">
        <v>42779.915277777778</v>
      </c>
      <c r="Q207" s="19">
        <v>42786.407638888886</v>
      </c>
      <c r="R207" s="19">
        <v>42786.407638888886</v>
      </c>
      <c r="S207" s="14" t="s">
        <v>203</v>
      </c>
      <c r="T207" s="14" t="s">
        <v>203</v>
      </c>
      <c r="U207" s="14" t="s">
        <v>96</v>
      </c>
      <c r="V207" s="14"/>
      <c r="W207" s="14">
        <v>0</v>
      </c>
      <c r="X207" s="14">
        <v>0</v>
      </c>
      <c r="Y207" s="20" t="s">
        <v>1040</v>
      </c>
      <c r="Z207" s="14"/>
      <c r="AA207" s="14"/>
      <c r="AB207" s="14"/>
      <c r="AC207" s="14"/>
      <c r="AD207" s="14"/>
      <c r="AE207" s="14"/>
      <c r="AF207" s="14" t="s">
        <v>126</v>
      </c>
      <c r="AG207" s="14" t="s">
        <v>1041</v>
      </c>
      <c r="AH207" s="14"/>
      <c r="AI207" s="14"/>
      <c r="AJ207" s="14"/>
      <c r="AK207" s="14"/>
      <c r="AL207" s="14"/>
      <c r="AM207" s="14"/>
      <c r="AN207" s="14" t="s">
        <v>261</v>
      </c>
      <c r="AO207" s="14" t="s">
        <v>261</v>
      </c>
      <c r="AP207" s="14" t="s">
        <v>146</v>
      </c>
      <c r="AQ207" s="14"/>
      <c r="AR207" s="22"/>
      <c r="AS207" s="22" t="s">
        <v>117</v>
      </c>
      <c r="AT207" s="22" t="s">
        <v>748</v>
      </c>
      <c r="AU207" s="25" t="str">
        <f>VLOOKUP(O207,[1]Lookup!A:B,2,FALSE)</f>
        <v>DMO</v>
      </c>
      <c r="AV207" s="25" t="str">
        <f>VLOOKUP(test1[[#This Row],[Assignee]],lookup[#All],2,FALSE)</f>
        <v>DMO</v>
      </c>
      <c r="AW207" s="25">
        <f ca="1">IF(test1[[#This Row],[Status]]&lt;&gt;"Closed", TODAY()-INT(test1[[#This Row],[Created]]),INT(test1[[#This Row],[Resolved]])-INT(test1[[#This Row],[Created]]))</f>
        <v>49</v>
      </c>
    </row>
    <row r="208" spans="1:49" ht="409.5" x14ac:dyDescent="0.2">
      <c r="A208" s="48" t="s">
        <v>86</v>
      </c>
      <c r="B208" s="29" t="s">
        <v>1033</v>
      </c>
      <c r="C208" s="27" t="s">
        <v>1034</v>
      </c>
      <c r="D208" s="22" t="s">
        <v>241</v>
      </c>
      <c r="E208" s="22" t="s">
        <v>166</v>
      </c>
      <c r="F208" s="27"/>
      <c r="G208" s="27" t="s">
        <v>204</v>
      </c>
      <c r="H208" s="27"/>
      <c r="I208" s="27"/>
      <c r="J208" s="14" t="s">
        <v>91</v>
      </c>
      <c r="K208" s="14" t="s">
        <v>59</v>
      </c>
      <c r="L208" s="14" t="s">
        <v>93</v>
      </c>
      <c r="M208" s="14" t="s">
        <v>132</v>
      </c>
      <c r="N208" s="18" t="s">
        <v>24</v>
      </c>
      <c r="O208" s="14" t="s">
        <v>24</v>
      </c>
      <c r="P208" s="19">
        <v>42780.406944444447</v>
      </c>
      <c r="Q208" s="19">
        <v>42811.444444444445</v>
      </c>
      <c r="R208" s="19">
        <v>42803.423611111109</v>
      </c>
      <c r="S208" s="14" t="s">
        <v>139</v>
      </c>
      <c r="T208" s="14" t="s">
        <v>197</v>
      </c>
      <c r="U208" s="14" t="s">
        <v>117</v>
      </c>
      <c r="V208" s="14"/>
      <c r="W208" s="14">
        <v>0</v>
      </c>
      <c r="X208" s="14">
        <v>0</v>
      </c>
      <c r="Y208" s="14"/>
      <c r="Z208" s="14"/>
      <c r="AA208" s="14"/>
      <c r="AB208" s="14"/>
      <c r="AC208" s="14"/>
      <c r="AD208" s="14"/>
      <c r="AE208" s="14"/>
      <c r="AF208" s="14" t="s">
        <v>1035</v>
      </c>
      <c r="AG208" s="14" t="s">
        <v>1036</v>
      </c>
      <c r="AH208" s="14"/>
      <c r="AI208" s="14"/>
      <c r="AJ208" s="14"/>
      <c r="AK208" s="14"/>
      <c r="AL208" s="14"/>
      <c r="AM208" s="14"/>
      <c r="AN208" s="14" t="s">
        <v>120</v>
      </c>
      <c r="AO208" s="14" t="s">
        <v>1037</v>
      </c>
      <c r="AP208" s="14" t="s">
        <v>146</v>
      </c>
      <c r="AQ208" s="14"/>
      <c r="AR208" s="22"/>
      <c r="AS208" s="22" t="s">
        <v>241</v>
      </c>
      <c r="AT208" s="22" t="s">
        <v>166</v>
      </c>
      <c r="AU208" s="25" t="str">
        <f>VLOOKUP(O208,[1]Lookup!A:B,2,FALSE)</f>
        <v>Test-SIT</v>
      </c>
      <c r="AV208" s="25" t="str">
        <f>VLOOKUP(test1[[#This Row],[Assignee]],lookup[#All],2,FALSE)</f>
        <v>Test-SIT</v>
      </c>
      <c r="AW208" s="25">
        <f ca="1">IF(test1[[#This Row],[Status]]&lt;&gt;"Closed", TODAY()-INT(test1[[#This Row],[Created]]),INT(test1[[#This Row],[Resolved]])-INT(test1[[#This Row],[Created]]))</f>
        <v>48</v>
      </c>
    </row>
    <row r="209" spans="1:49" ht="128.25" x14ac:dyDescent="0.2">
      <c r="A209" s="48" t="s">
        <v>86</v>
      </c>
      <c r="B209" s="29" t="s">
        <v>1009</v>
      </c>
      <c r="C209" s="27" t="s">
        <v>1029</v>
      </c>
      <c r="D209" s="22" t="s">
        <v>229</v>
      </c>
      <c r="E209" s="22" t="s">
        <v>229</v>
      </c>
      <c r="F209" s="27"/>
      <c r="G209" s="27" t="s">
        <v>203</v>
      </c>
      <c r="H209" s="27"/>
      <c r="I209" s="27"/>
      <c r="J209" s="14" t="s">
        <v>91</v>
      </c>
      <c r="K209" s="14" t="s">
        <v>59</v>
      </c>
      <c r="L209" s="14" t="s">
        <v>167</v>
      </c>
      <c r="M209" s="14" t="s">
        <v>132</v>
      </c>
      <c r="N209" s="18" t="s">
        <v>37</v>
      </c>
      <c r="O209" s="14" t="s">
        <v>37</v>
      </c>
      <c r="P209" s="19">
        <v>42780.427777777775</v>
      </c>
      <c r="Q209" s="19">
        <v>42786.394444444442</v>
      </c>
      <c r="R209" s="19">
        <v>42786.394444444442</v>
      </c>
      <c r="S209" s="14" t="s">
        <v>203</v>
      </c>
      <c r="T209" s="14" t="s">
        <v>204</v>
      </c>
      <c r="U209" s="14" t="s">
        <v>242</v>
      </c>
      <c r="V209" s="14"/>
      <c r="W209" s="14">
        <v>0</v>
      </c>
      <c r="X209" s="14">
        <v>0</v>
      </c>
      <c r="Y209" s="20" t="s">
        <v>1030</v>
      </c>
      <c r="Z209" s="14"/>
      <c r="AA209" s="14"/>
      <c r="AB209" s="14"/>
      <c r="AC209" s="14"/>
      <c r="AD209" s="14"/>
      <c r="AE209" s="14"/>
      <c r="AF209" s="14" t="s">
        <v>126</v>
      </c>
      <c r="AG209" s="14" t="s">
        <v>1031</v>
      </c>
      <c r="AH209" s="14"/>
      <c r="AI209" s="14"/>
      <c r="AJ209" s="14"/>
      <c r="AK209" s="14"/>
      <c r="AL209" s="14"/>
      <c r="AM209" s="14"/>
      <c r="AN209" s="14" t="s">
        <v>261</v>
      </c>
      <c r="AO209" s="14" t="s">
        <v>1032</v>
      </c>
      <c r="AP209" s="14" t="s">
        <v>146</v>
      </c>
      <c r="AQ209" s="14"/>
      <c r="AR209" s="22"/>
      <c r="AS209" s="22" t="s">
        <v>96</v>
      </c>
      <c r="AT209" s="22" t="s">
        <v>229</v>
      </c>
      <c r="AU209" s="25" t="str">
        <f>VLOOKUP(O209,[1]Lookup!A:B,2,FALSE)</f>
        <v>DMO</v>
      </c>
      <c r="AV209" s="25" t="str">
        <f>VLOOKUP(test1[[#This Row],[Assignee]],lookup[#All],2,FALSE)</f>
        <v>DMO</v>
      </c>
      <c r="AW209" s="25">
        <f ca="1">IF(test1[[#This Row],[Status]]&lt;&gt;"Closed", TODAY()-INT(test1[[#This Row],[Created]]),INT(test1[[#This Row],[Resolved]])-INT(test1[[#This Row],[Created]]))</f>
        <v>48</v>
      </c>
    </row>
    <row r="210" spans="1:49" ht="299.25" x14ac:dyDescent="0.2">
      <c r="A210" s="48" t="s">
        <v>86</v>
      </c>
      <c r="B210" s="29" t="s">
        <v>1022</v>
      </c>
      <c r="C210" s="27" t="s">
        <v>1023</v>
      </c>
      <c r="D210" s="22" t="s">
        <v>241</v>
      </c>
      <c r="E210" s="22" t="s">
        <v>792</v>
      </c>
      <c r="F210" s="27"/>
      <c r="G210" s="27" t="s">
        <v>203</v>
      </c>
      <c r="H210" s="27"/>
      <c r="I210" s="27"/>
      <c r="J210" s="14" t="s">
        <v>91</v>
      </c>
      <c r="K210" s="14" t="s">
        <v>59</v>
      </c>
      <c r="L210" s="14" t="s">
        <v>93</v>
      </c>
      <c r="M210" s="14" t="s">
        <v>132</v>
      </c>
      <c r="N210" s="18" t="s">
        <v>202</v>
      </c>
      <c r="O210" s="14" t="s">
        <v>36</v>
      </c>
      <c r="P210" s="19">
        <v>42780.463194444441</v>
      </c>
      <c r="Q210" s="19">
        <v>42783.750694444447</v>
      </c>
      <c r="R210" s="19">
        <v>42783.750694444447</v>
      </c>
      <c r="S210" s="14" t="s">
        <v>203</v>
      </c>
      <c r="T210" s="14" t="s">
        <v>203</v>
      </c>
      <c r="U210" s="14" t="s">
        <v>96</v>
      </c>
      <c r="V210" s="14"/>
      <c r="W210" s="14">
        <v>0</v>
      </c>
      <c r="X210" s="14">
        <v>0</v>
      </c>
      <c r="Y210" s="14" t="s">
        <v>1024</v>
      </c>
      <c r="Z210" s="14"/>
      <c r="AA210" s="14"/>
      <c r="AB210" s="14"/>
      <c r="AC210" s="14"/>
      <c r="AD210" s="14"/>
      <c r="AE210" s="14" t="s">
        <v>1025</v>
      </c>
      <c r="AF210" s="14" t="s">
        <v>1026</v>
      </c>
      <c r="AG210" s="14" t="s">
        <v>1027</v>
      </c>
      <c r="AH210" s="14"/>
      <c r="AI210" s="14"/>
      <c r="AJ210" s="14"/>
      <c r="AK210" s="14"/>
      <c r="AL210" s="14"/>
      <c r="AM210" s="14"/>
      <c r="AN210" s="14"/>
      <c r="AO210" s="14" t="s">
        <v>1028</v>
      </c>
      <c r="AP210" s="14" t="s">
        <v>950</v>
      </c>
      <c r="AQ210" s="14"/>
      <c r="AR210" s="22"/>
      <c r="AS210" s="22" t="s">
        <v>241</v>
      </c>
      <c r="AT210" s="22" t="s">
        <v>792</v>
      </c>
      <c r="AU210" s="25" t="str">
        <f>VLOOKUP(O210,[1]Lookup!A:B,2,FALSE)</f>
        <v>DMO</v>
      </c>
      <c r="AV210" s="25" t="e">
        <f>VLOOKUP(test1[[#This Row],[Assignee]],lookup[#All],2,FALSE)</f>
        <v>#N/A</v>
      </c>
      <c r="AW210" s="25">
        <f ca="1">IF(test1[[#This Row],[Status]]&lt;&gt;"Closed", TODAY()-INT(test1[[#This Row],[Created]]),INT(test1[[#This Row],[Resolved]])-INT(test1[[#This Row],[Created]]))</f>
        <v>48</v>
      </c>
    </row>
    <row r="211" spans="1:49" ht="99.75" x14ac:dyDescent="0.2">
      <c r="A211" s="48" t="s">
        <v>86</v>
      </c>
      <c r="B211" s="29" t="s">
        <v>1017</v>
      </c>
      <c r="C211" s="27" t="s">
        <v>1018</v>
      </c>
      <c r="D211" s="22" t="s">
        <v>96</v>
      </c>
      <c r="E211" s="22" t="s">
        <v>166</v>
      </c>
      <c r="F211" s="27"/>
      <c r="G211" s="27" t="s">
        <v>203</v>
      </c>
      <c r="H211" s="27"/>
      <c r="I211" s="27"/>
      <c r="J211" s="14" t="s">
        <v>91</v>
      </c>
      <c r="K211" s="14" t="s">
        <v>59</v>
      </c>
      <c r="L211" s="14" t="s">
        <v>93</v>
      </c>
      <c r="M211" s="14" t="s">
        <v>132</v>
      </c>
      <c r="N211" s="18" t="s">
        <v>202</v>
      </c>
      <c r="O211" s="14" t="s">
        <v>36</v>
      </c>
      <c r="P211" s="19">
        <v>42780.474305555559</v>
      </c>
      <c r="Q211" s="19">
        <v>42790.470138888886</v>
      </c>
      <c r="R211" s="19">
        <v>42790.470138888886</v>
      </c>
      <c r="S211" s="14" t="s">
        <v>203</v>
      </c>
      <c r="T211" s="14" t="s">
        <v>203</v>
      </c>
      <c r="U211" s="14" t="s">
        <v>96</v>
      </c>
      <c r="V211" s="14"/>
      <c r="W211" s="14">
        <v>0</v>
      </c>
      <c r="X211" s="14">
        <v>0</v>
      </c>
      <c r="Y211" s="14" t="s">
        <v>1019</v>
      </c>
      <c r="Z211" s="14"/>
      <c r="AA211" s="14"/>
      <c r="AB211" s="14"/>
      <c r="AC211" s="14"/>
      <c r="AD211" s="14"/>
      <c r="AE211" s="14"/>
      <c r="AF211" s="14" t="s">
        <v>126</v>
      </c>
      <c r="AG211" s="14" t="s">
        <v>1020</v>
      </c>
      <c r="AH211" s="14"/>
      <c r="AI211" s="14"/>
      <c r="AJ211" s="14"/>
      <c r="AK211" s="14"/>
      <c r="AL211" s="14"/>
      <c r="AM211" s="14"/>
      <c r="AN211" s="14" t="s">
        <v>261</v>
      </c>
      <c r="AO211" s="14" t="s">
        <v>1021</v>
      </c>
      <c r="AP211" s="14"/>
      <c r="AQ211" s="14"/>
      <c r="AR211" s="22"/>
      <c r="AS211" s="22" t="s">
        <v>96</v>
      </c>
      <c r="AT211" s="22" t="s">
        <v>261</v>
      </c>
      <c r="AU211" s="25" t="str">
        <f>VLOOKUP(O211,[1]Lookup!A:B,2,FALSE)</f>
        <v>DMO</v>
      </c>
      <c r="AV211" s="25" t="e">
        <f>VLOOKUP(test1[[#This Row],[Assignee]],lookup[#All],2,FALSE)</f>
        <v>#N/A</v>
      </c>
      <c r="AW211" s="25">
        <f ca="1">IF(test1[[#This Row],[Status]]&lt;&gt;"Closed", TODAY()-INT(test1[[#This Row],[Created]]),INT(test1[[#This Row],[Resolved]])-INT(test1[[#This Row],[Created]]))</f>
        <v>48</v>
      </c>
    </row>
    <row r="212" spans="1:49" ht="342" x14ac:dyDescent="0.2">
      <c r="A212" s="48" t="s">
        <v>86</v>
      </c>
      <c r="B212" s="29" t="s">
        <v>1012</v>
      </c>
      <c r="C212" s="27" t="s">
        <v>1013</v>
      </c>
      <c r="D212" s="22" t="s">
        <v>96</v>
      </c>
      <c r="E212" s="22" t="s">
        <v>166</v>
      </c>
      <c r="F212" s="27"/>
      <c r="G212" s="27" t="s">
        <v>203</v>
      </c>
      <c r="H212" s="27"/>
      <c r="I212" s="27"/>
      <c r="J212" s="14" t="s">
        <v>91</v>
      </c>
      <c r="K212" s="14" t="s">
        <v>59</v>
      </c>
      <c r="L212" s="14" t="s">
        <v>93</v>
      </c>
      <c r="M212" s="14" t="s">
        <v>132</v>
      </c>
      <c r="N212" s="18" t="s">
        <v>202</v>
      </c>
      <c r="O212" s="14" t="s">
        <v>36</v>
      </c>
      <c r="P212" s="19">
        <v>42780.491666666669</v>
      </c>
      <c r="Q212" s="19">
        <v>42799.78125</v>
      </c>
      <c r="R212" s="19">
        <v>42783.750694444447</v>
      </c>
      <c r="S212" s="14" t="s">
        <v>203</v>
      </c>
      <c r="T212" s="14" t="s">
        <v>203</v>
      </c>
      <c r="U212" s="14" t="s">
        <v>96</v>
      </c>
      <c r="V212" s="14"/>
      <c r="W212" s="14">
        <v>0</v>
      </c>
      <c r="X212" s="14">
        <v>0</v>
      </c>
      <c r="Y212" s="14" t="s">
        <v>1014</v>
      </c>
      <c r="Z212" s="14"/>
      <c r="AA212" s="14"/>
      <c r="AB212" s="14"/>
      <c r="AC212" s="14"/>
      <c r="AD212" s="14"/>
      <c r="AE212" s="14" t="s">
        <v>1009</v>
      </c>
      <c r="AF212" s="14" t="s">
        <v>126</v>
      </c>
      <c r="AG212" s="14" t="s">
        <v>1015</v>
      </c>
      <c r="AH212" s="14"/>
      <c r="AI212" s="14"/>
      <c r="AJ212" s="14"/>
      <c r="AK212" s="14"/>
      <c r="AL212" s="14"/>
      <c r="AM212" s="14"/>
      <c r="AN212" s="14" t="s">
        <v>904</v>
      </c>
      <c r="AO212" s="14" t="s">
        <v>1016</v>
      </c>
      <c r="AP212" s="14" t="s">
        <v>163</v>
      </c>
      <c r="AQ212" s="14"/>
      <c r="AR212" s="22"/>
      <c r="AS212" s="22" t="s">
        <v>96</v>
      </c>
      <c r="AT212" s="22" t="s">
        <v>261</v>
      </c>
      <c r="AU212" s="25" t="str">
        <f>VLOOKUP(O212,[1]Lookup!A:B,2,FALSE)</f>
        <v>DMO</v>
      </c>
      <c r="AV212" s="25" t="e">
        <f>VLOOKUP(test1[[#This Row],[Assignee]],lookup[#All],2,FALSE)</f>
        <v>#N/A</v>
      </c>
      <c r="AW212" s="25">
        <f ca="1">IF(test1[[#This Row],[Status]]&lt;&gt;"Closed", TODAY()-INT(test1[[#This Row],[Created]]),INT(test1[[#This Row],[Resolved]])-INT(test1[[#This Row],[Created]]))</f>
        <v>48</v>
      </c>
    </row>
    <row r="213" spans="1:49" ht="384.75" x14ac:dyDescent="0.2">
      <c r="A213" s="48" t="s">
        <v>86</v>
      </c>
      <c r="B213" s="29" t="s">
        <v>1006</v>
      </c>
      <c r="C213" s="27" t="s">
        <v>1007</v>
      </c>
      <c r="D213" s="22" t="s">
        <v>241</v>
      </c>
      <c r="E213" s="22" t="s">
        <v>792</v>
      </c>
      <c r="F213" s="27"/>
      <c r="G213" s="27" t="s">
        <v>660</v>
      </c>
      <c r="H213" s="27"/>
      <c r="I213" s="27"/>
      <c r="J213" s="14" t="s">
        <v>91</v>
      </c>
      <c r="K213" s="14" t="s">
        <v>59</v>
      </c>
      <c r="L213" s="14" t="s">
        <v>93</v>
      </c>
      <c r="M213" s="14" t="s">
        <v>132</v>
      </c>
      <c r="N213" s="18" t="s">
        <v>202</v>
      </c>
      <c r="O213" s="14" t="s">
        <v>36</v>
      </c>
      <c r="P213" s="19">
        <v>42780.498611111114</v>
      </c>
      <c r="Q213" s="19">
        <v>42799.780555555553</v>
      </c>
      <c r="R213" s="19">
        <v>42783.751388888886</v>
      </c>
      <c r="S213" s="14" t="s">
        <v>203</v>
      </c>
      <c r="T213" s="14" t="s">
        <v>203</v>
      </c>
      <c r="U213" s="14" t="s">
        <v>96</v>
      </c>
      <c r="V213" s="14"/>
      <c r="W213" s="14">
        <v>0</v>
      </c>
      <c r="X213" s="14">
        <v>0</v>
      </c>
      <c r="Y213" s="14" t="s">
        <v>1008</v>
      </c>
      <c r="Z213" s="14"/>
      <c r="AA213" s="14"/>
      <c r="AB213" s="14"/>
      <c r="AC213" s="14"/>
      <c r="AD213" s="14"/>
      <c r="AE213" s="14" t="s">
        <v>1009</v>
      </c>
      <c r="AF213" s="14" t="s">
        <v>126</v>
      </c>
      <c r="AG213" s="14" t="s">
        <v>1010</v>
      </c>
      <c r="AH213" s="14"/>
      <c r="AI213" s="14"/>
      <c r="AJ213" s="14"/>
      <c r="AK213" s="14"/>
      <c r="AL213" s="14"/>
      <c r="AM213" s="14"/>
      <c r="AN213" s="14" t="s">
        <v>904</v>
      </c>
      <c r="AO213" s="14" t="s">
        <v>1011</v>
      </c>
      <c r="AP213" s="14" t="s">
        <v>250</v>
      </c>
      <c r="AQ213" s="14"/>
      <c r="AR213" s="22"/>
      <c r="AS213" s="22" t="s">
        <v>241</v>
      </c>
      <c r="AT213" s="22" t="s">
        <v>792</v>
      </c>
      <c r="AU213" s="25" t="str">
        <f>VLOOKUP(O213,[1]Lookup!A:B,2,FALSE)</f>
        <v>DMO</v>
      </c>
      <c r="AV213" s="25" t="e">
        <f>VLOOKUP(test1[[#This Row],[Assignee]],lookup[#All],2,FALSE)</f>
        <v>#N/A</v>
      </c>
      <c r="AW213" s="25">
        <f ca="1">IF(test1[[#This Row],[Status]]&lt;&gt;"Closed", TODAY()-INT(test1[[#This Row],[Created]]),INT(test1[[#This Row],[Resolved]])-INT(test1[[#This Row],[Created]]))</f>
        <v>48</v>
      </c>
    </row>
    <row r="214" spans="1:49" ht="270.75" x14ac:dyDescent="0.2">
      <c r="A214" s="48" t="s">
        <v>86</v>
      </c>
      <c r="B214" s="29" t="s">
        <v>1003</v>
      </c>
      <c r="C214" s="27" t="s">
        <v>1004</v>
      </c>
      <c r="D214" s="22" t="s">
        <v>241</v>
      </c>
      <c r="E214" s="22" t="s">
        <v>792</v>
      </c>
      <c r="F214" s="27"/>
      <c r="G214" s="27" t="s">
        <v>660</v>
      </c>
      <c r="H214" s="27"/>
      <c r="I214" s="27"/>
      <c r="J214" s="14" t="s">
        <v>91</v>
      </c>
      <c r="K214" s="14" t="s">
        <v>59</v>
      </c>
      <c r="L214" s="14" t="s">
        <v>93</v>
      </c>
      <c r="M214" s="14" t="s">
        <v>132</v>
      </c>
      <c r="N214" s="18" t="s">
        <v>21</v>
      </c>
      <c r="O214" s="14" t="s">
        <v>30</v>
      </c>
      <c r="P214" s="19">
        <v>42780.500694444447</v>
      </c>
      <c r="Q214" s="19">
        <v>42793.439583333333</v>
      </c>
      <c r="R214" s="19">
        <v>42793.439583333333</v>
      </c>
      <c r="S214" s="14" t="s">
        <v>660</v>
      </c>
      <c r="T214" s="14" t="s">
        <v>660</v>
      </c>
      <c r="U214" s="14" t="s">
        <v>242</v>
      </c>
      <c r="V214" s="14"/>
      <c r="W214" s="14">
        <v>0</v>
      </c>
      <c r="X214" s="14">
        <v>0</v>
      </c>
      <c r="Y214" s="14"/>
      <c r="Z214" s="14"/>
      <c r="AA214" s="14"/>
      <c r="AB214" s="14"/>
      <c r="AC214" s="14"/>
      <c r="AD214" s="14"/>
      <c r="AE214" s="14"/>
      <c r="AF214" s="14" t="s">
        <v>1000</v>
      </c>
      <c r="AG214" s="14" t="s">
        <v>1005</v>
      </c>
      <c r="AH214" s="14"/>
      <c r="AI214" s="14"/>
      <c r="AJ214" s="14"/>
      <c r="AK214" s="14"/>
      <c r="AL214" s="14"/>
      <c r="AM214" s="14"/>
      <c r="AN214" s="14"/>
      <c r="AO214" s="14" t="s">
        <v>792</v>
      </c>
      <c r="AP214" s="14"/>
      <c r="AQ214" s="14"/>
      <c r="AR214" s="22"/>
      <c r="AS214" s="22" t="s">
        <v>241</v>
      </c>
      <c r="AT214" s="22" t="s">
        <v>792</v>
      </c>
      <c r="AU214" s="25" t="str">
        <f>VLOOKUP(O214,[1]Lookup!A:B,2,FALSE)</f>
        <v>Test-SIT</v>
      </c>
      <c r="AV214" s="25" t="str">
        <f>VLOOKUP(test1[[#This Row],[Assignee]],lookup[#All],2,FALSE)</f>
        <v>Test-SIT</v>
      </c>
      <c r="AW214" s="25">
        <f ca="1">IF(test1[[#This Row],[Status]]&lt;&gt;"Closed", TODAY()-INT(test1[[#This Row],[Created]]),INT(test1[[#This Row],[Resolved]])-INT(test1[[#This Row],[Created]]))</f>
        <v>48</v>
      </c>
    </row>
    <row r="215" spans="1:49" ht="285" x14ac:dyDescent="0.2">
      <c r="A215" s="48" t="s">
        <v>86</v>
      </c>
      <c r="B215" s="29" t="s">
        <v>998</v>
      </c>
      <c r="C215" s="27" t="s">
        <v>999</v>
      </c>
      <c r="D215" s="22" t="s">
        <v>241</v>
      </c>
      <c r="E215" s="22" t="s">
        <v>792</v>
      </c>
      <c r="F215" s="27"/>
      <c r="G215" s="27" t="s">
        <v>203</v>
      </c>
      <c r="H215" s="27"/>
      <c r="I215" s="27"/>
      <c r="J215" s="14" t="s">
        <v>91</v>
      </c>
      <c r="K215" s="14" t="s">
        <v>59</v>
      </c>
      <c r="L215" s="14" t="s">
        <v>93</v>
      </c>
      <c r="M215" s="14" t="s">
        <v>132</v>
      </c>
      <c r="N215" s="18" t="s">
        <v>30</v>
      </c>
      <c r="O215" s="14" t="s">
        <v>30</v>
      </c>
      <c r="P215" s="19">
        <v>42780.502083333333</v>
      </c>
      <c r="Q215" s="19">
        <v>42788.790972222225</v>
      </c>
      <c r="R215" s="19">
        <v>42788.790972222225</v>
      </c>
      <c r="S215" s="14" t="s">
        <v>660</v>
      </c>
      <c r="T215" s="14" t="s">
        <v>660</v>
      </c>
      <c r="U215" s="14" t="s">
        <v>242</v>
      </c>
      <c r="V215" s="14"/>
      <c r="W215" s="14">
        <v>0</v>
      </c>
      <c r="X215" s="14">
        <v>0</v>
      </c>
      <c r="Y215" s="14"/>
      <c r="Z215" s="14"/>
      <c r="AA215" s="14"/>
      <c r="AB215" s="14"/>
      <c r="AC215" s="14"/>
      <c r="AD215" s="14"/>
      <c r="AE215" s="14"/>
      <c r="AF215" s="14" t="s">
        <v>1000</v>
      </c>
      <c r="AG215" s="14" t="s">
        <v>1001</v>
      </c>
      <c r="AH215" s="14"/>
      <c r="AI215" s="14"/>
      <c r="AJ215" s="14"/>
      <c r="AK215" s="14"/>
      <c r="AL215" s="14"/>
      <c r="AM215" s="14"/>
      <c r="AN215" s="14" t="s">
        <v>229</v>
      </c>
      <c r="AO215" s="14" t="s">
        <v>1002</v>
      </c>
      <c r="AP215" s="14"/>
      <c r="AQ215" s="14"/>
      <c r="AR215" s="22"/>
      <c r="AS215" s="22" t="s">
        <v>241</v>
      </c>
      <c r="AT215" s="22" t="s">
        <v>792</v>
      </c>
      <c r="AU215" s="25" t="str">
        <f>VLOOKUP(O215,[1]Lookup!A:B,2,FALSE)</f>
        <v>Test-SIT</v>
      </c>
      <c r="AV215" s="25" t="str">
        <f>VLOOKUP(test1[[#This Row],[Assignee]],lookup[#All],2,FALSE)</f>
        <v>Test-SIT</v>
      </c>
      <c r="AW215" s="25">
        <f ca="1">IF(test1[[#This Row],[Status]]&lt;&gt;"Closed", TODAY()-INT(test1[[#This Row],[Created]]),INT(test1[[#This Row],[Resolved]])-INT(test1[[#This Row],[Created]]))</f>
        <v>48</v>
      </c>
    </row>
    <row r="216" spans="1:49" ht="85.5" x14ac:dyDescent="0.2">
      <c r="A216" s="48" t="s">
        <v>86</v>
      </c>
      <c r="B216" s="29" t="s">
        <v>993</v>
      </c>
      <c r="C216" s="27" t="s">
        <v>994</v>
      </c>
      <c r="D216" s="22" t="s">
        <v>229</v>
      </c>
      <c r="E216" s="22" t="s">
        <v>229</v>
      </c>
      <c r="F216" s="27"/>
      <c r="G216" s="27" t="s">
        <v>204</v>
      </c>
      <c r="H216" s="27"/>
      <c r="I216" s="27"/>
      <c r="J216" s="14" t="s">
        <v>91</v>
      </c>
      <c r="K216" s="14" t="s">
        <v>59</v>
      </c>
      <c r="L216" s="14" t="s">
        <v>93</v>
      </c>
      <c r="M216" s="14" t="s">
        <v>132</v>
      </c>
      <c r="N216" s="18" t="s">
        <v>202</v>
      </c>
      <c r="O216" s="14" t="s">
        <v>36</v>
      </c>
      <c r="P216" s="19">
        <v>42780.559027777781</v>
      </c>
      <c r="Q216" s="19">
        <v>42790.457638888889</v>
      </c>
      <c r="R216" s="19">
        <v>42790.457638888889</v>
      </c>
      <c r="S216" s="14" t="s">
        <v>203</v>
      </c>
      <c r="T216" s="14" t="s">
        <v>203</v>
      </c>
      <c r="U216" s="14" t="s">
        <v>242</v>
      </c>
      <c r="V216" s="14"/>
      <c r="W216" s="14">
        <v>0</v>
      </c>
      <c r="X216" s="14">
        <v>0</v>
      </c>
      <c r="Y216" s="14" t="s">
        <v>995</v>
      </c>
      <c r="Z216" s="14"/>
      <c r="AA216" s="14"/>
      <c r="AB216" s="14"/>
      <c r="AC216" s="14"/>
      <c r="AD216" s="14"/>
      <c r="AE216" s="14"/>
      <c r="AF216" s="14" t="s">
        <v>126</v>
      </c>
      <c r="AG216" s="14" t="s">
        <v>996</v>
      </c>
      <c r="AH216" s="14"/>
      <c r="AI216" s="14"/>
      <c r="AJ216" s="14"/>
      <c r="AK216" s="14"/>
      <c r="AL216" s="14"/>
      <c r="AM216" s="14"/>
      <c r="AN216" s="14"/>
      <c r="AO216" s="14" t="s">
        <v>997</v>
      </c>
      <c r="AP216" s="14"/>
      <c r="AQ216" s="14"/>
      <c r="AR216" s="22"/>
      <c r="AS216" s="22" t="s">
        <v>89</v>
      </c>
      <c r="AT216" s="22" t="s">
        <v>229</v>
      </c>
      <c r="AU216" s="25" t="str">
        <f>VLOOKUP(O216,[1]Lookup!A:B,2,FALSE)</f>
        <v>DMO</v>
      </c>
      <c r="AV216" s="25" t="e">
        <f>VLOOKUP(test1[[#This Row],[Assignee]],lookup[#All],2,FALSE)</f>
        <v>#N/A</v>
      </c>
      <c r="AW216" s="25">
        <f ca="1">IF(test1[[#This Row],[Status]]&lt;&gt;"Closed", TODAY()-INT(test1[[#This Row],[Created]]),INT(test1[[#This Row],[Resolved]])-INT(test1[[#This Row],[Created]]))</f>
        <v>48</v>
      </c>
    </row>
    <row r="217" spans="1:49" ht="85.5" x14ac:dyDescent="0.2">
      <c r="A217" s="48" t="s">
        <v>86</v>
      </c>
      <c r="B217" s="29" t="s">
        <v>989</v>
      </c>
      <c r="C217" s="27" t="s">
        <v>990</v>
      </c>
      <c r="D217" s="22" t="s">
        <v>89</v>
      </c>
      <c r="E217" s="22" t="s">
        <v>90</v>
      </c>
      <c r="F217" s="27"/>
      <c r="G217" s="27" t="s">
        <v>203</v>
      </c>
      <c r="H217" s="27"/>
      <c r="I217" s="27"/>
      <c r="J217" s="14" t="s">
        <v>91</v>
      </c>
      <c r="K217" s="14" t="s">
        <v>59</v>
      </c>
      <c r="L217" s="14" t="s">
        <v>93</v>
      </c>
      <c r="M217" s="14" t="s">
        <v>132</v>
      </c>
      <c r="N217" s="18" t="s">
        <v>202</v>
      </c>
      <c r="O217" s="14" t="s">
        <v>36</v>
      </c>
      <c r="P217" s="19">
        <v>42780.576388888891</v>
      </c>
      <c r="Q217" s="19">
        <v>42790.468055555553</v>
      </c>
      <c r="R217" s="19">
        <v>42790.468055555553</v>
      </c>
      <c r="S217" s="14" t="s">
        <v>203</v>
      </c>
      <c r="T217" s="14" t="s">
        <v>204</v>
      </c>
      <c r="U217" s="14" t="s">
        <v>96</v>
      </c>
      <c r="V217" s="14"/>
      <c r="W217" s="14">
        <v>0</v>
      </c>
      <c r="X217" s="14">
        <v>0</v>
      </c>
      <c r="Y217" s="14" t="s">
        <v>991</v>
      </c>
      <c r="Z217" s="14"/>
      <c r="AA217" s="14"/>
      <c r="AB217" s="14"/>
      <c r="AC217" s="14"/>
      <c r="AD217" s="14"/>
      <c r="AE217" s="14"/>
      <c r="AF217" s="14" t="s">
        <v>126</v>
      </c>
      <c r="AG217" s="14" t="s">
        <v>992</v>
      </c>
      <c r="AH217" s="14"/>
      <c r="AI217" s="14"/>
      <c r="AJ217" s="14"/>
      <c r="AK217" s="14"/>
      <c r="AL217" s="14"/>
      <c r="AM217" s="14"/>
      <c r="AN217" s="14" t="s">
        <v>229</v>
      </c>
      <c r="AO217" s="14" t="s">
        <v>229</v>
      </c>
      <c r="AP217" s="14"/>
      <c r="AQ217" s="14"/>
      <c r="AR217" s="22"/>
      <c r="AS217" s="22" t="s">
        <v>89</v>
      </c>
      <c r="AT217" s="22" t="s">
        <v>90</v>
      </c>
      <c r="AU217" s="25" t="str">
        <f>VLOOKUP(O217,[1]Lookup!A:B,2,FALSE)</f>
        <v>DMO</v>
      </c>
      <c r="AV217" s="25" t="e">
        <f>VLOOKUP(test1[[#This Row],[Assignee]],lookup[#All],2,FALSE)</f>
        <v>#N/A</v>
      </c>
      <c r="AW217" s="25">
        <f ca="1">IF(test1[[#This Row],[Status]]&lt;&gt;"Closed", TODAY()-INT(test1[[#This Row],[Created]]),INT(test1[[#This Row],[Resolved]])-INT(test1[[#This Row],[Created]]))</f>
        <v>48</v>
      </c>
    </row>
    <row r="218" spans="1:49" ht="171" x14ac:dyDescent="0.2">
      <c r="A218" s="48" t="s">
        <v>86</v>
      </c>
      <c r="B218" s="29" t="s">
        <v>984</v>
      </c>
      <c r="C218" s="27" t="s">
        <v>985</v>
      </c>
      <c r="D218" s="22" t="s">
        <v>89</v>
      </c>
      <c r="E218" s="22" t="s">
        <v>90</v>
      </c>
      <c r="F218" s="27"/>
      <c r="G218" s="27" t="s">
        <v>203</v>
      </c>
      <c r="H218" s="27"/>
      <c r="I218" s="27"/>
      <c r="J218" s="14" t="s">
        <v>91</v>
      </c>
      <c r="K218" s="14" t="s">
        <v>59</v>
      </c>
      <c r="L218" s="14" t="s">
        <v>93</v>
      </c>
      <c r="M218" s="14" t="s">
        <v>132</v>
      </c>
      <c r="N218" s="18" t="s">
        <v>202</v>
      </c>
      <c r="O218" s="14" t="s">
        <v>37</v>
      </c>
      <c r="P218" s="19">
        <v>42780.580555555556</v>
      </c>
      <c r="Q218" s="19">
        <v>42786.38958333333</v>
      </c>
      <c r="R218" s="19">
        <v>42786.38958333333</v>
      </c>
      <c r="S218" s="14" t="s">
        <v>203</v>
      </c>
      <c r="T218" s="14" t="s">
        <v>203</v>
      </c>
      <c r="U218" s="14" t="s">
        <v>96</v>
      </c>
      <c r="V218" s="14"/>
      <c r="W218" s="14">
        <v>0</v>
      </c>
      <c r="X218" s="14">
        <v>0</v>
      </c>
      <c r="Y218" s="20" t="s">
        <v>986</v>
      </c>
      <c r="Z218" s="14"/>
      <c r="AA218" s="14"/>
      <c r="AB218" s="14"/>
      <c r="AC218" s="14"/>
      <c r="AD218" s="14"/>
      <c r="AE218" s="14"/>
      <c r="AF218" s="14"/>
      <c r="AG218" s="14" t="s">
        <v>987</v>
      </c>
      <c r="AH218" s="14"/>
      <c r="AI218" s="14"/>
      <c r="AJ218" s="14"/>
      <c r="AK218" s="14"/>
      <c r="AL218" s="14"/>
      <c r="AM218" s="14"/>
      <c r="AN218" s="14"/>
      <c r="AO218" s="14" t="s">
        <v>988</v>
      </c>
      <c r="AP218" s="14" t="s">
        <v>146</v>
      </c>
      <c r="AQ218" s="14"/>
      <c r="AR218" s="22"/>
      <c r="AS218" s="22" t="s">
        <v>89</v>
      </c>
      <c r="AT218" s="22" t="s">
        <v>90</v>
      </c>
      <c r="AU218" s="25" t="str">
        <f>VLOOKUP(O218,[1]Lookup!A:B,2,FALSE)</f>
        <v>DMO</v>
      </c>
      <c r="AV218" s="25" t="e">
        <f>VLOOKUP(test1[[#This Row],[Assignee]],lookup[#All],2,FALSE)</f>
        <v>#N/A</v>
      </c>
      <c r="AW218" s="25">
        <f ca="1">IF(test1[[#This Row],[Status]]&lt;&gt;"Closed", TODAY()-INT(test1[[#This Row],[Created]]),INT(test1[[#This Row],[Resolved]])-INT(test1[[#This Row],[Created]]))</f>
        <v>48</v>
      </c>
    </row>
    <row r="219" spans="1:49" ht="185.25" x14ac:dyDescent="0.2">
      <c r="A219" s="48" t="s">
        <v>86</v>
      </c>
      <c r="B219" s="29" t="s">
        <v>885</v>
      </c>
      <c r="C219" s="27" t="s">
        <v>980</v>
      </c>
      <c r="D219" s="22" t="s">
        <v>241</v>
      </c>
      <c r="E219" s="22" t="s">
        <v>792</v>
      </c>
      <c r="F219" s="27"/>
      <c r="G219" s="27" t="s">
        <v>203</v>
      </c>
      <c r="H219" s="27"/>
      <c r="I219" s="27"/>
      <c r="J219" s="14" t="s">
        <v>91</v>
      </c>
      <c r="K219" s="14" t="s">
        <v>59</v>
      </c>
      <c r="L219" s="14" t="s">
        <v>103</v>
      </c>
      <c r="M219" s="14" t="s">
        <v>132</v>
      </c>
      <c r="N219" s="18" t="s">
        <v>202</v>
      </c>
      <c r="O219" s="14" t="s">
        <v>37</v>
      </c>
      <c r="P219" s="19">
        <v>42780.586805555555</v>
      </c>
      <c r="Q219" s="19">
        <v>42782.429861111108</v>
      </c>
      <c r="R219" s="19">
        <v>42782.429861111108</v>
      </c>
      <c r="S219" s="14" t="s">
        <v>203</v>
      </c>
      <c r="T219" s="14" t="s">
        <v>203</v>
      </c>
      <c r="U219" s="14" t="s">
        <v>96</v>
      </c>
      <c r="V219" s="14"/>
      <c r="W219" s="14">
        <v>0</v>
      </c>
      <c r="X219" s="14">
        <v>0</v>
      </c>
      <c r="Y219" s="20" t="s">
        <v>981</v>
      </c>
      <c r="Z219" s="14"/>
      <c r="AA219" s="14"/>
      <c r="AB219" s="14"/>
      <c r="AC219" s="14"/>
      <c r="AD219" s="14"/>
      <c r="AE219" s="14"/>
      <c r="AF219" s="14" t="s">
        <v>126</v>
      </c>
      <c r="AG219" s="14" t="s">
        <v>982</v>
      </c>
      <c r="AH219" s="14"/>
      <c r="AI219" s="14"/>
      <c r="AJ219" s="14"/>
      <c r="AK219" s="14"/>
      <c r="AL219" s="14"/>
      <c r="AM219" s="14"/>
      <c r="AN219" s="14"/>
      <c r="AO219" s="14" t="s">
        <v>983</v>
      </c>
      <c r="AP219" s="14" t="s">
        <v>163</v>
      </c>
      <c r="AQ219" s="14"/>
      <c r="AR219" s="22"/>
      <c r="AS219" s="22" t="s">
        <v>241</v>
      </c>
      <c r="AT219" s="22" t="s">
        <v>792</v>
      </c>
      <c r="AU219" s="25" t="str">
        <f>VLOOKUP(O219,[1]Lookup!A:B,2,FALSE)</f>
        <v>DMO</v>
      </c>
      <c r="AV219" s="25" t="e">
        <f>VLOOKUP(test1[[#This Row],[Assignee]],lookup[#All],2,FALSE)</f>
        <v>#N/A</v>
      </c>
      <c r="AW219" s="25">
        <f ca="1">IF(test1[[#This Row],[Status]]&lt;&gt;"Closed", TODAY()-INT(test1[[#This Row],[Created]]),INT(test1[[#This Row],[Resolved]])-INT(test1[[#This Row],[Created]]))</f>
        <v>48</v>
      </c>
    </row>
    <row r="220" spans="1:49" ht="85.5" x14ac:dyDescent="0.2">
      <c r="A220" s="48" t="s">
        <v>86</v>
      </c>
      <c r="B220" s="29" t="s">
        <v>975</v>
      </c>
      <c r="C220" s="27" t="s">
        <v>976</v>
      </c>
      <c r="D220" s="22" t="s">
        <v>96</v>
      </c>
      <c r="E220" s="22" t="s">
        <v>166</v>
      </c>
      <c r="F220" s="27"/>
      <c r="G220" s="27" t="s">
        <v>203</v>
      </c>
      <c r="H220" s="27"/>
      <c r="I220" s="27"/>
      <c r="J220" s="14" t="s">
        <v>91</v>
      </c>
      <c r="K220" s="14" t="s">
        <v>59</v>
      </c>
      <c r="L220" s="14" t="s">
        <v>93</v>
      </c>
      <c r="M220" s="14" t="s">
        <v>132</v>
      </c>
      <c r="N220" s="18" t="s">
        <v>21</v>
      </c>
      <c r="O220" s="14" t="s">
        <v>38</v>
      </c>
      <c r="P220" s="19">
        <v>42780.595138888886</v>
      </c>
      <c r="Q220" s="19">
        <v>42793.581944444442</v>
      </c>
      <c r="R220" s="19">
        <v>42793.581944444442</v>
      </c>
      <c r="S220" s="14" t="s">
        <v>203</v>
      </c>
      <c r="T220" s="14" t="s">
        <v>203</v>
      </c>
      <c r="U220" s="14" t="s">
        <v>96</v>
      </c>
      <c r="V220" s="14"/>
      <c r="W220" s="14">
        <v>0</v>
      </c>
      <c r="X220" s="14">
        <v>0</v>
      </c>
      <c r="Y220" s="14" t="s">
        <v>977</v>
      </c>
      <c r="Z220" s="14"/>
      <c r="AA220" s="14"/>
      <c r="AB220" s="14"/>
      <c r="AC220" s="14"/>
      <c r="AD220" s="14"/>
      <c r="AE220" s="14" t="s">
        <v>888</v>
      </c>
      <c r="AF220" s="14"/>
      <c r="AG220" s="14" t="s">
        <v>978</v>
      </c>
      <c r="AH220" s="14"/>
      <c r="AI220" s="14"/>
      <c r="AJ220" s="14"/>
      <c r="AK220" s="14"/>
      <c r="AL220" s="14"/>
      <c r="AM220" s="14"/>
      <c r="AN220" s="14"/>
      <c r="AO220" s="14" t="s">
        <v>979</v>
      </c>
      <c r="AP220" s="14"/>
      <c r="AQ220" s="14"/>
      <c r="AR220" s="22"/>
      <c r="AS220" s="22" t="s">
        <v>96</v>
      </c>
      <c r="AT220" s="22" t="s">
        <v>166</v>
      </c>
      <c r="AU220" s="25" t="str">
        <f>VLOOKUP(O220,[1]Lookup!A:B,2,FALSE)</f>
        <v>DMO</v>
      </c>
      <c r="AV220" s="25" t="str">
        <f>VLOOKUP(test1[[#This Row],[Assignee]],lookup[#All],2,FALSE)</f>
        <v>Test-SIT</v>
      </c>
      <c r="AW220" s="25">
        <f ca="1">IF(test1[[#This Row],[Status]]&lt;&gt;"Closed", TODAY()-INT(test1[[#This Row],[Created]]),INT(test1[[#This Row],[Resolved]])-INT(test1[[#This Row],[Created]]))</f>
        <v>48</v>
      </c>
    </row>
    <row r="221" spans="1:49" ht="185.25" x14ac:dyDescent="0.2">
      <c r="A221" s="48" t="s">
        <v>86</v>
      </c>
      <c r="B221" s="29" t="s">
        <v>971</v>
      </c>
      <c r="C221" s="27" t="s">
        <v>972</v>
      </c>
      <c r="D221" s="22" t="s">
        <v>229</v>
      </c>
      <c r="E221" s="22" t="s">
        <v>229</v>
      </c>
      <c r="F221" s="27"/>
      <c r="G221" s="27" t="s">
        <v>204</v>
      </c>
      <c r="H221" s="27"/>
      <c r="I221" s="27"/>
      <c r="J221" s="14" t="s">
        <v>91</v>
      </c>
      <c r="K221" s="14" t="s">
        <v>59</v>
      </c>
      <c r="L221" s="14" t="s">
        <v>103</v>
      </c>
      <c r="M221" s="14" t="s">
        <v>132</v>
      </c>
      <c r="N221" s="18" t="s">
        <v>21</v>
      </c>
      <c r="O221" s="14" t="s">
        <v>37</v>
      </c>
      <c r="P221" s="19">
        <v>42780.606249999997</v>
      </c>
      <c r="Q221" s="19">
        <v>42783.775000000001</v>
      </c>
      <c r="R221" s="19">
        <v>42783.775000000001</v>
      </c>
      <c r="S221" s="14" t="s">
        <v>203</v>
      </c>
      <c r="T221" s="14" t="s">
        <v>203</v>
      </c>
      <c r="U221" s="14" t="s">
        <v>96</v>
      </c>
      <c r="V221" s="14"/>
      <c r="W221" s="14">
        <v>0</v>
      </c>
      <c r="X221" s="14">
        <v>0</v>
      </c>
      <c r="Y221" s="14" t="s">
        <v>973</v>
      </c>
      <c r="Z221" s="14"/>
      <c r="AA221" s="14"/>
      <c r="AB221" s="14"/>
      <c r="AC221" s="14"/>
      <c r="AD221" s="14"/>
      <c r="AE221" s="14"/>
      <c r="AF221" s="14" t="s">
        <v>126</v>
      </c>
      <c r="AG221" s="14" t="s">
        <v>974</v>
      </c>
      <c r="AH221" s="14"/>
      <c r="AI221" s="14"/>
      <c r="AJ221" s="14"/>
      <c r="AK221" s="14"/>
      <c r="AL221" s="14"/>
      <c r="AM221" s="14"/>
      <c r="AN221" s="14"/>
      <c r="AO221" s="14" t="s">
        <v>261</v>
      </c>
      <c r="AP221" s="14"/>
      <c r="AQ221" s="14"/>
      <c r="AR221" s="22"/>
      <c r="AS221" s="22" t="s">
        <v>241</v>
      </c>
      <c r="AT221" s="22" t="s">
        <v>229</v>
      </c>
      <c r="AU221" s="25" t="str">
        <f>VLOOKUP(O221,[1]Lookup!A:B,2,FALSE)</f>
        <v>DMO</v>
      </c>
      <c r="AV221" s="25" t="str">
        <f>VLOOKUP(test1[[#This Row],[Assignee]],lookup[#All],2,FALSE)</f>
        <v>Test-SIT</v>
      </c>
      <c r="AW221" s="25">
        <f ca="1">IF(test1[[#This Row],[Status]]&lt;&gt;"Closed", TODAY()-INT(test1[[#This Row],[Created]]),INT(test1[[#This Row],[Resolved]])-INT(test1[[#This Row],[Created]]))</f>
        <v>48</v>
      </c>
    </row>
    <row r="222" spans="1:49" ht="242.25" x14ac:dyDescent="0.2">
      <c r="A222" s="48" t="s">
        <v>86</v>
      </c>
      <c r="B222" s="29" t="s">
        <v>968</v>
      </c>
      <c r="C222" s="27" t="s">
        <v>969</v>
      </c>
      <c r="D222" s="22" t="s">
        <v>89</v>
      </c>
      <c r="E222" s="22" t="s">
        <v>729</v>
      </c>
      <c r="F222" s="37" t="s">
        <v>104</v>
      </c>
      <c r="G222" s="27" t="s">
        <v>174</v>
      </c>
      <c r="H222" s="37" t="s">
        <v>104</v>
      </c>
      <c r="I222" s="37" t="s">
        <v>553</v>
      </c>
      <c r="J222" s="14" t="s">
        <v>91</v>
      </c>
      <c r="K222" s="14" t="s">
        <v>59</v>
      </c>
      <c r="L222" s="14" t="s">
        <v>167</v>
      </c>
      <c r="M222" s="14" t="s">
        <v>132</v>
      </c>
      <c r="N222" s="18" t="s">
        <v>21</v>
      </c>
      <c r="O222" s="14" t="s">
        <v>38</v>
      </c>
      <c r="P222" s="19">
        <v>42780.618055555555</v>
      </c>
      <c r="Q222" s="19">
        <v>42783.734722222223</v>
      </c>
      <c r="R222" s="19">
        <v>42783.734722222223</v>
      </c>
      <c r="S222" s="14" t="s">
        <v>203</v>
      </c>
      <c r="T222" s="14" t="s">
        <v>204</v>
      </c>
      <c r="U222" s="14" t="s">
        <v>242</v>
      </c>
      <c r="V222" s="14"/>
      <c r="W222" s="14">
        <v>0</v>
      </c>
      <c r="X222" s="14">
        <v>0</v>
      </c>
      <c r="Y222" s="14"/>
      <c r="Z222" s="14"/>
      <c r="AA222" s="14"/>
      <c r="AB222" s="14"/>
      <c r="AC222" s="14"/>
      <c r="AD222" s="14"/>
      <c r="AE222" s="14"/>
      <c r="AF222" s="14" t="s">
        <v>823</v>
      </c>
      <c r="AG222" s="14" t="s">
        <v>970</v>
      </c>
      <c r="AH222" s="14"/>
      <c r="AI222" s="14"/>
      <c r="AJ222" s="14"/>
      <c r="AK222" s="14"/>
      <c r="AL222" s="14"/>
      <c r="AM222" s="14"/>
      <c r="AN222" s="14"/>
      <c r="AO222" s="14" t="s">
        <v>229</v>
      </c>
      <c r="AP222" s="14"/>
      <c r="AQ222" s="14"/>
      <c r="AR222" s="22"/>
      <c r="AS222" s="22" t="s">
        <v>89</v>
      </c>
      <c r="AT222" s="22" t="s">
        <v>729</v>
      </c>
      <c r="AU222" s="25" t="str">
        <f>VLOOKUP(O222,[1]Lookup!A:B,2,FALSE)</f>
        <v>DMO</v>
      </c>
      <c r="AV222" s="25" t="str">
        <f>VLOOKUP(test1[[#This Row],[Assignee]],lookup[#All],2,FALSE)</f>
        <v>Test-SIT</v>
      </c>
      <c r="AW222" s="25">
        <f ca="1">IF(test1[[#This Row],[Status]]&lt;&gt;"Closed", TODAY()-INT(test1[[#This Row],[Created]]),INT(test1[[#This Row],[Resolved]])-INT(test1[[#This Row],[Created]]))</f>
        <v>48</v>
      </c>
    </row>
    <row r="223" spans="1:49" ht="171" x14ac:dyDescent="0.2">
      <c r="A223" s="48" t="s">
        <v>86</v>
      </c>
      <c r="B223" s="29" t="s">
        <v>960</v>
      </c>
      <c r="C223" s="27" t="s">
        <v>961</v>
      </c>
      <c r="D223" s="22" t="s">
        <v>229</v>
      </c>
      <c r="E223" s="22" t="s">
        <v>229</v>
      </c>
      <c r="F223" s="27"/>
      <c r="G223" s="27" t="s">
        <v>174</v>
      </c>
      <c r="H223" s="27"/>
      <c r="I223" s="27"/>
      <c r="J223" s="14" t="s">
        <v>91</v>
      </c>
      <c r="K223" s="14" t="s">
        <v>59</v>
      </c>
      <c r="L223" s="14" t="s">
        <v>124</v>
      </c>
      <c r="M223" s="14" t="s">
        <v>132</v>
      </c>
      <c r="N223" s="18" t="s">
        <v>37</v>
      </c>
      <c r="O223" s="14" t="s">
        <v>37</v>
      </c>
      <c r="P223" s="19">
        <v>42780.620138888888</v>
      </c>
      <c r="Q223" s="19">
        <v>42802.677083333336</v>
      </c>
      <c r="R223" s="19">
        <v>42802.674305555556</v>
      </c>
      <c r="S223" s="14" t="s">
        <v>203</v>
      </c>
      <c r="T223" s="14" t="s">
        <v>962</v>
      </c>
      <c r="U223" s="14" t="s">
        <v>412</v>
      </c>
      <c r="V223" s="14"/>
      <c r="W223" s="14">
        <v>0</v>
      </c>
      <c r="X223" s="14">
        <v>0</v>
      </c>
      <c r="Y223" s="14" t="s">
        <v>963</v>
      </c>
      <c r="Z223" s="14"/>
      <c r="AA223" s="14"/>
      <c r="AB223" s="14"/>
      <c r="AC223" s="14"/>
      <c r="AD223" s="14"/>
      <c r="AE223" s="14" t="s">
        <v>964</v>
      </c>
      <c r="AF223" s="14" t="s">
        <v>126</v>
      </c>
      <c r="AG223" s="14" t="s">
        <v>965</v>
      </c>
      <c r="AH223" s="14"/>
      <c r="AI223" s="14"/>
      <c r="AJ223" s="14"/>
      <c r="AK223" s="14"/>
      <c r="AL223" s="14"/>
      <c r="AM223" s="14"/>
      <c r="AN223" s="14" t="s">
        <v>966</v>
      </c>
      <c r="AO223" s="14" t="s">
        <v>967</v>
      </c>
      <c r="AP223" s="14"/>
      <c r="AQ223" s="14"/>
      <c r="AR223" s="22"/>
      <c r="AS223" s="22" t="s">
        <v>241</v>
      </c>
      <c r="AT223" s="22" t="s">
        <v>229</v>
      </c>
      <c r="AU223" s="25" t="str">
        <f>VLOOKUP(O223,[1]Lookup!A:B,2,FALSE)</f>
        <v>DMO</v>
      </c>
      <c r="AV223" s="25" t="str">
        <f>VLOOKUP(test1[[#This Row],[Assignee]],lookup[#All],2,FALSE)</f>
        <v>DMO</v>
      </c>
      <c r="AW223" s="25">
        <f ca="1">IF(test1[[#This Row],[Status]]&lt;&gt;"Closed", TODAY()-INT(test1[[#This Row],[Created]]),INT(test1[[#This Row],[Resolved]])-INT(test1[[#This Row],[Created]]))</f>
        <v>48</v>
      </c>
    </row>
    <row r="224" spans="1:49" ht="370.5" x14ac:dyDescent="0.2">
      <c r="A224" s="48" t="s">
        <v>86</v>
      </c>
      <c r="B224" s="29" t="s">
        <v>955</v>
      </c>
      <c r="C224" s="27" t="s">
        <v>956</v>
      </c>
      <c r="D224" s="22" t="s">
        <v>96</v>
      </c>
      <c r="E224" s="22" t="s">
        <v>166</v>
      </c>
      <c r="F224" s="27"/>
      <c r="G224" s="27" t="s">
        <v>203</v>
      </c>
      <c r="H224" s="27"/>
      <c r="I224" s="27"/>
      <c r="J224" s="14" t="s">
        <v>91</v>
      </c>
      <c r="K224" s="14" t="s">
        <v>59</v>
      </c>
      <c r="L224" s="14" t="s">
        <v>103</v>
      </c>
      <c r="M224" s="14" t="s">
        <v>132</v>
      </c>
      <c r="N224" s="18" t="s">
        <v>202</v>
      </c>
      <c r="O224" s="14" t="s">
        <v>37</v>
      </c>
      <c r="P224" s="19">
        <v>42780.637499999997</v>
      </c>
      <c r="Q224" s="19">
        <v>42801.609027777777</v>
      </c>
      <c r="R224" s="19">
        <v>42801.609027777777</v>
      </c>
      <c r="S224" s="14" t="s">
        <v>203</v>
      </c>
      <c r="T224" s="14" t="s">
        <v>204</v>
      </c>
      <c r="U224" s="14" t="s">
        <v>96</v>
      </c>
      <c r="V224" s="14"/>
      <c r="W224" s="14">
        <v>0</v>
      </c>
      <c r="X224" s="14">
        <v>0</v>
      </c>
      <c r="Y224" s="20" t="s">
        <v>957</v>
      </c>
      <c r="Z224" s="14"/>
      <c r="AA224" s="14"/>
      <c r="AB224" s="14"/>
      <c r="AC224" s="14"/>
      <c r="AD224" s="14"/>
      <c r="AE224" s="14"/>
      <c r="AF224" s="14" t="s">
        <v>126</v>
      </c>
      <c r="AG224" s="14" t="s">
        <v>958</v>
      </c>
      <c r="AH224" s="14"/>
      <c r="AI224" s="14"/>
      <c r="AJ224" s="14"/>
      <c r="AK224" s="14"/>
      <c r="AL224" s="14"/>
      <c r="AM224" s="14"/>
      <c r="AN224" s="14" t="s">
        <v>229</v>
      </c>
      <c r="AO224" s="14" t="s">
        <v>229</v>
      </c>
      <c r="AP224" s="14"/>
      <c r="AQ224" s="14"/>
      <c r="AR224" s="22"/>
      <c r="AS224" s="22" t="s">
        <v>96</v>
      </c>
      <c r="AT224" s="22" t="s">
        <v>959</v>
      </c>
      <c r="AU224" s="25" t="str">
        <f>VLOOKUP(O224,[1]Lookup!A:B,2,FALSE)</f>
        <v>DMO</v>
      </c>
      <c r="AV224" s="25" t="e">
        <f>VLOOKUP(test1[[#This Row],[Assignee]],lookup[#All],2,FALSE)</f>
        <v>#N/A</v>
      </c>
      <c r="AW224" s="25">
        <f ca="1">IF(test1[[#This Row],[Status]]&lt;&gt;"Closed", TODAY()-INT(test1[[#This Row],[Created]]),INT(test1[[#This Row],[Resolved]])-INT(test1[[#This Row],[Created]]))</f>
        <v>48</v>
      </c>
    </row>
    <row r="225" spans="1:49" ht="171" x14ac:dyDescent="0.2">
      <c r="A225" s="48" t="s">
        <v>86</v>
      </c>
      <c r="B225" s="29" t="s">
        <v>951</v>
      </c>
      <c r="C225" s="27" t="s">
        <v>952</v>
      </c>
      <c r="D225" s="22" t="s">
        <v>229</v>
      </c>
      <c r="E225" s="22" t="s">
        <v>229</v>
      </c>
      <c r="F225" s="27"/>
      <c r="G225" s="27" t="s">
        <v>204</v>
      </c>
      <c r="H225" s="27"/>
      <c r="I225" s="27"/>
      <c r="J225" s="14" t="s">
        <v>91</v>
      </c>
      <c r="K225" s="14" t="s">
        <v>59</v>
      </c>
      <c r="L225" s="14" t="s">
        <v>167</v>
      </c>
      <c r="M225" s="14" t="s">
        <v>132</v>
      </c>
      <c r="N225" s="18" t="s">
        <v>202</v>
      </c>
      <c r="O225" s="14" t="s">
        <v>36</v>
      </c>
      <c r="P225" s="19">
        <v>42780.645833333336</v>
      </c>
      <c r="Q225" s="19">
        <v>42786.411111111112</v>
      </c>
      <c r="R225" s="19">
        <v>42786.411111111112</v>
      </c>
      <c r="S225" s="14" t="s">
        <v>203</v>
      </c>
      <c r="T225" s="14" t="s">
        <v>203</v>
      </c>
      <c r="U225" s="14" t="s">
        <v>96</v>
      </c>
      <c r="V225" s="14"/>
      <c r="W225" s="14">
        <v>0</v>
      </c>
      <c r="X225" s="14">
        <v>0</v>
      </c>
      <c r="Y225" s="20" t="s">
        <v>953</v>
      </c>
      <c r="Z225" s="14"/>
      <c r="AA225" s="14"/>
      <c r="AB225" s="14"/>
      <c r="AC225" s="14"/>
      <c r="AD225" s="14"/>
      <c r="AE225" s="14"/>
      <c r="AF225" s="14"/>
      <c r="AG225" s="14" t="s">
        <v>954</v>
      </c>
      <c r="AH225" s="14"/>
      <c r="AI225" s="14"/>
      <c r="AJ225" s="14"/>
      <c r="AK225" s="14"/>
      <c r="AL225" s="14"/>
      <c r="AM225" s="14"/>
      <c r="AN225" s="14"/>
      <c r="AO225" s="14" t="s">
        <v>261</v>
      </c>
      <c r="AP225" s="14"/>
      <c r="AQ225" s="14"/>
      <c r="AR225" s="22"/>
      <c r="AS225" s="22" t="s">
        <v>241</v>
      </c>
      <c r="AT225" s="22" t="s">
        <v>229</v>
      </c>
      <c r="AU225" s="25" t="str">
        <f>VLOOKUP(O225,[1]Lookup!A:B,2,FALSE)</f>
        <v>DMO</v>
      </c>
      <c r="AV225" s="25" t="e">
        <f>VLOOKUP(test1[[#This Row],[Assignee]],lookup[#All],2,FALSE)</f>
        <v>#N/A</v>
      </c>
      <c r="AW225" s="25">
        <f ca="1">IF(test1[[#This Row],[Status]]&lt;&gt;"Closed", TODAY()-INT(test1[[#This Row],[Created]]),INT(test1[[#This Row],[Resolved]])-INT(test1[[#This Row],[Created]]))</f>
        <v>48</v>
      </c>
    </row>
    <row r="226" spans="1:49" ht="356.25" x14ac:dyDescent="0.2">
      <c r="A226" s="48" t="s">
        <v>86</v>
      </c>
      <c r="B226" s="29" t="s">
        <v>947</v>
      </c>
      <c r="C226" s="27" t="s">
        <v>948</v>
      </c>
      <c r="D226" s="22" t="s">
        <v>229</v>
      </c>
      <c r="E226" s="22" t="s">
        <v>229</v>
      </c>
      <c r="F226" s="27"/>
      <c r="G226" s="27" t="s">
        <v>204</v>
      </c>
      <c r="H226" s="27"/>
      <c r="I226" s="27"/>
      <c r="J226" s="14" t="s">
        <v>91</v>
      </c>
      <c r="K226" s="14" t="s">
        <v>59</v>
      </c>
      <c r="L226" s="14" t="s">
        <v>103</v>
      </c>
      <c r="M226" s="14" t="s">
        <v>132</v>
      </c>
      <c r="N226" s="18" t="s">
        <v>202</v>
      </c>
      <c r="O226" s="14" t="s">
        <v>37</v>
      </c>
      <c r="P226" s="19">
        <v>42780.663888888892</v>
      </c>
      <c r="Q226" s="19">
        <v>42783.46875</v>
      </c>
      <c r="R226" s="19">
        <v>42783.46875</v>
      </c>
      <c r="S226" s="14" t="s">
        <v>203</v>
      </c>
      <c r="T226" s="14" t="s">
        <v>204</v>
      </c>
      <c r="U226" s="14" t="s">
        <v>242</v>
      </c>
      <c r="V226" s="14"/>
      <c r="W226" s="14">
        <v>0</v>
      </c>
      <c r="X226" s="14">
        <v>0</v>
      </c>
      <c r="Y226" s="14"/>
      <c r="Z226" s="14"/>
      <c r="AA226" s="14"/>
      <c r="AB226" s="14"/>
      <c r="AC226" s="14"/>
      <c r="AD226" s="14"/>
      <c r="AE226" s="14"/>
      <c r="AF226" s="14" t="s">
        <v>126</v>
      </c>
      <c r="AG226" s="14" t="s">
        <v>949</v>
      </c>
      <c r="AH226" s="14"/>
      <c r="AI226" s="14"/>
      <c r="AJ226" s="14"/>
      <c r="AK226" s="14"/>
      <c r="AL226" s="14"/>
      <c r="AM226" s="14"/>
      <c r="AN226" s="14"/>
      <c r="AO226" s="14"/>
      <c r="AP226" s="14" t="s">
        <v>950</v>
      </c>
      <c r="AQ226" s="14"/>
      <c r="AR226" s="22"/>
      <c r="AS226" s="22" t="s">
        <v>241</v>
      </c>
      <c r="AT226" s="22" t="s">
        <v>229</v>
      </c>
      <c r="AU226" s="25" t="str">
        <f>VLOOKUP(O226,[1]Lookup!A:B,2,FALSE)</f>
        <v>DMO</v>
      </c>
      <c r="AV226" s="25" t="e">
        <f>VLOOKUP(test1[[#This Row],[Assignee]],lookup[#All],2,FALSE)</f>
        <v>#N/A</v>
      </c>
      <c r="AW226" s="25">
        <f ca="1">IF(test1[[#This Row],[Status]]&lt;&gt;"Closed", TODAY()-INT(test1[[#This Row],[Created]]),INT(test1[[#This Row],[Resolved]])-INT(test1[[#This Row],[Created]]))</f>
        <v>48</v>
      </c>
    </row>
    <row r="227" spans="1:49" ht="142.5" x14ac:dyDescent="0.2">
      <c r="A227" s="48" t="s">
        <v>86</v>
      </c>
      <c r="B227" s="29" t="s">
        <v>943</v>
      </c>
      <c r="C227" s="27" t="s">
        <v>944</v>
      </c>
      <c r="D227" s="22" t="s">
        <v>241</v>
      </c>
      <c r="E227" s="22" t="s">
        <v>792</v>
      </c>
      <c r="F227" s="27"/>
      <c r="G227" s="27" t="s">
        <v>203</v>
      </c>
      <c r="H227" s="27"/>
      <c r="I227" s="27"/>
      <c r="J227" s="14" t="s">
        <v>91</v>
      </c>
      <c r="K227" s="14" t="s">
        <v>59</v>
      </c>
      <c r="L227" s="14" t="s">
        <v>167</v>
      </c>
      <c r="M227" s="14" t="s">
        <v>132</v>
      </c>
      <c r="N227" s="18" t="s">
        <v>202</v>
      </c>
      <c r="O227" s="14" t="s">
        <v>37</v>
      </c>
      <c r="P227" s="19">
        <v>42780.689583333333</v>
      </c>
      <c r="Q227" s="19">
        <v>42783.479166666664</v>
      </c>
      <c r="R227" s="19">
        <v>42783.479166666664</v>
      </c>
      <c r="S227" s="14" t="s">
        <v>203</v>
      </c>
      <c r="T227" s="14" t="s">
        <v>204</v>
      </c>
      <c r="U227" s="14" t="s">
        <v>96</v>
      </c>
      <c r="V227" s="14"/>
      <c r="W227" s="14">
        <v>0</v>
      </c>
      <c r="X227" s="14">
        <v>0</v>
      </c>
      <c r="Y227" s="20" t="s">
        <v>945</v>
      </c>
      <c r="Z227" s="14"/>
      <c r="AA227" s="14"/>
      <c r="AB227" s="14"/>
      <c r="AC227" s="14"/>
      <c r="AD227" s="14"/>
      <c r="AE227" s="14"/>
      <c r="AF227" s="14" t="s">
        <v>126</v>
      </c>
      <c r="AG227" s="14" t="s">
        <v>946</v>
      </c>
      <c r="AH227" s="14"/>
      <c r="AI227" s="14"/>
      <c r="AJ227" s="14"/>
      <c r="AK227" s="14"/>
      <c r="AL227" s="14"/>
      <c r="AM227" s="14"/>
      <c r="AN227" s="14" t="s">
        <v>235</v>
      </c>
      <c r="AO227" s="14" t="s">
        <v>229</v>
      </c>
      <c r="AP227" s="14"/>
      <c r="AQ227" s="14"/>
      <c r="AR227" s="22"/>
      <c r="AS227" s="22" t="s">
        <v>241</v>
      </c>
      <c r="AT227" s="22" t="s">
        <v>792</v>
      </c>
      <c r="AU227" s="25" t="str">
        <f>VLOOKUP(O227,[1]Lookup!A:B,2,FALSE)</f>
        <v>DMO</v>
      </c>
      <c r="AV227" s="25" t="e">
        <f>VLOOKUP(test1[[#This Row],[Assignee]],lookup[#All],2,FALSE)</f>
        <v>#N/A</v>
      </c>
      <c r="AW227" s="25">
        <f ca="1">IF(test1[[#This Row],[Status]]&lt;&gt;"Closed", TODAY()-INT(test1[[#This Row],[Created]]),INT(test1[[#This Row],[Resolved]])-INT(test1[[#This Row],[Created]]))</f>
        <v>48</v>
      </c>
    </row>
    <row r="228" spans="1:49" ht="199.5" x14ac:dyDescent="0.2">
      <c r="A228" s="48" t="s">
        <v>86</v>
      </c>
      <c r="B228" s="29" t="s">
        <v>938</v>
      </c>
      <c r="C228" s="27" t="s">
        <v>939</v>
      </c>
      <c r="D228" s="22" t="s">
        <v>241</v>
      </c>
      <c r="E228" s="22" t="s">
        <v>302</v>
      </c>
      <c r="F228" s="27"/>
      <c r="G228" s="27" t="s">
        <v>204</v>
      </c>
      <c r="H228" s="27"/>
      <c r="I228" s="27"/>
      <c r="J228" s="14" t="s">
        <v>91</v>
      </c>
      <c r="K228" s="14" t="s">
        <v>59</v>
      </c>
      <c r="L228" s="14" t="s">
        <v>103</v>
      </c>
      <c r="M228" s="14" t="s">
        <v>132</v>
      </c>
      <c r="N228" s="18" t="s">
        <v>202</v>
      </c>
      <c r="O228" s="14" t="s">
        <v>37</v>
      </c>
      <c r="P228" s="19">
        <v>42780.724999999999</v>
      </c>
      <c r="Q228" s="19">
        <v>42790.567361111112</v>
      </c>
      <c r="R228" s="19">
        <v>42790.567361111112</v>
      </c>
      <c r="S228" s="14" t="s">
        <v>203</v>
      </c>
      <c r="T228" s="14" t="s">
        <v>203</v>
      </c>
      <c r="U228" s="14" t="s">
        <v>242</v>
      </c>
      <c r="V228" s="14"/>
      <c r="W228" s="14">
        <v>0</v>
      </c>
      <c r="X228" s="14">
        <v>0</v>
      </c>
      <c r="Y228" s="14" t="s">
        <v>940</v>
      </c>
      <c r="Z228" s="14"/>
      <c r="AA228" s="14"/>
      <c r="AB228" s="14"/>
      <c r="AC228" s="14"/>
      <c r="AD228" s="14"/>
      <c r="AE228" s="14"/>
      <c r="AF228" s="14" t="s">
        <v>126</v>
      </c>
      <c r="AG228" s="14" t="s">
        <v>941</v>
      </c>
      <c r="AH228" s="14"/>
      <c r="AI228" s="14"/>
      <c r="AJ228" s="14"/>
      <c r="AK228" s="14"/>
      <c r="AL228" s="14"/>
      <c r="AM228" s="14"/>
      <c r="AN228" s="14" t="s">
        <v>909</v>
      </c>
      <c r="AO228" s="14" t="s">
        <v>942</v>
      </c>
      <c r="AP228" s="14" t="s">
        <v>779</v>
      </c>
      <c r="AQ228" s="14"/>
      <c r="AR228" s="22"/>
      <c r="AS228" s="22" t="s">
        <v>241</v>
      </c>
      <c r="AT228" s="22" t="s">
        <v>302</v>
      </c>
      <c r="AU228" s="25" t="str">
        <f>VLOOKUP(O228,[1]Lookup!A:B,2,FALSE)</f>
        <v>DMO</v>
      </c>
      <c r="AV228" s="25" t="e">
        <f>VLOOKUP(test1[[#This Row],[Assignee]],lookup[#All],2,FALSE)</f>
        <v>#N/A</v>
      </c>
      <c r="AW228" s="25">
        <f ca="1">IF(test1[[#This Row],[Status]]&lt;&gt;"Closed", TODAY()-INT(test1[[#This Row],[Created]]),INT(test1[[#This Row],[Resolved]])-INT(test1[[#This Row],[Created]]))</f>
        <v>48</v>
      </c>
    </row>
    <row r="229" spans="1:49" ht="342" x14ac:dyDescent="0.2">
      <c r="A229" s="48" t="s">
        <v>86</v>
      </c>
      <c r="B229" s="29" t="s">
        <v>934</v>
      </c>
      <c r="C229" s="27" t="s">
        <v>935</v>
      </c>
      <c r="D229" s="22" t="s">
        <v>229</v>
      </c>
      <c r="E229" s="22" t="s">
        <v>229</v>
      </c>
      <c r="F229" s="27"/>
      <c r="G229" s="27" t="s">
        <v>510</v>
      </c>
      <c r="H229" s="27"/>
      <c r="I229" s="27"/>
      <c r="J229" s="14" t="s">
        <v>91</v>
      </c>
      <c r="K229" s="14" t="s">
        <v>59</v>
      </c>
      <c r="L229" s="14" t="s">
        <v>103</v>
      </c>
      <c r="M229" s="14" t="s">
        <v>132</v>
      </c>
      <c r="N229" s="18" t="s">
        <v>202</v>
      </c>
      <c r="O229" s="14" t="s">
        <v>37</v>
      </c>
      <c r="P229" s="19">
        <v>42780.73541666667</v>
      </c>
      <c r="Q229" s="19">
        <v>42783.489583333336</v>
      </c>
      <c r="R229" s="19">
        <v>42783.489583333336</v>
      </c>
      <c r="S229" s="14" t="s">
        <v>203</v>
      </c>
      <c r="T229" s="14" t="s">
        <v>204</v>
      </c>
      <c r="U229" s="14" t="s">
        <v>242</v>
      </c>
      <c r="V229" s="14"/>
      <c r="W229" s="14">
        <v>0</v>
      </c>
      <c r="X229" s="14">
        <v>0</v>
      </c>
      <c r="Y229" s="14"/>
      <c r="Z229" s="14"/>
      <c r="AA229" s="14"/>
      <c r="AB229" s="14"/>
      <c r="AC229" s="14"/>
      <c r="AD229" s="14"/>
      <c r="AE229" s="14"/>
      <c r="AF229" s="14" t="s">
        <v>126</v>
      </c>
      <c r="AG229" s="14" t="s">
        <v>936</v>
      </c>
      <c r="AH229" s="14"/>
      <c r="AI229" s="14"/>
      <c r="AJ229" s="14"/>
      <c r="AK229" s="14"/>
      <c r="AL229" s="14"/>
      <c r="AM229" s="14"/>
      <c r="AN229" s="14" t="s">
        <v>937</v>
      </c>
      <c r="AO229" s="14"/>
      <c r="AP229" s="14"/>
      <c r="AQ229" s="14"/>
      <c r="AR229" s="22"/>
      <c r="AS229" s="22" t="s">
        <v>241</v>
      </c>
      <c r="AT229" s="22" t="s">
        <v>229</v>
      </c>
      <c r="AU229" s="25" t="str">
        <f>VLOOKUP(O229,[1]Lookup!A:B,2,FALSE)</f>
        <v>DMO</v>
      </c>
      <c r="AV229" s="25" t="e">
        <f>VLOOKUP(test1[[#This Row],[Assignee]],lookup[#All],2,FALSE)</f>
        <v>#N/A</v>
      </c>
      <c r="AW229" s="25">
        <f ca="1">IF(test1[[#This Row],[Status]]&lt;&gt;"Closed", TODAY()-INT(test1[[#This Row],[Created]]),INT(test1[[#This Row],[Resolved]])-INT(test1[[#This Row],[Created]]))</f>
        <v>48</v>
      </c>
    </row>
    <row r="230" spans="1:49" ht="228" x14ac:dyDescent="0.2">
      <c r="A230" s="48" t="s">
        <v>86</v>
      </c>
      <c r="B230" s="29" t="s">
        <v>929</v>
      </c>
      <c r="C230" s="27" t="s">
        <v>930</v>
      </c>
      <c r="D230" s="22" t="s">
        <v>89</v>
      </c>
      <c r="E230" s="22" t="s">
        <v>193</v>
      </c>
      <c r="F230" s="37" t="s">
        <v>104</v>
      </c>
      <c r="G230" s="37" t="s">
        <v>174</v>
      </c>
      <c r="H230" s="37" t="s">
        <v>104</v>
      </c>
      <c r="I230" s="37" t="s">
        <v>553</v>
      </c>
      <c r="J230" s="14" t="s">
        <v>91</v>
      </c>
      <c r="K230" s="14" t="s">
        <v>59</v>
      </c>
      <c r="L230" s="14" t="s">
        <v>103</v>
      </c>
      <c r="M230" s="14" t="s">
        <v>132</v>
      </c>
      <c r="N230" s="18" t="s">
        <v>21</v>
      </c>
      <c r="O230" s="14" t="s">
        <v>38</v>
      </c>
      <c r="P230" s="19">
        <v>42781.40347222222</v>
      </c>
      <c r="Q230" s="19">
        <v>42783.731944444444</v>
      </c>
      <c r="R230" s="19">
        <v>42783.731944444444</v>
      </c>
      <c r="S230" s="14" t="s">
        <v>203</v>
      </c>
      <c r="T230" s="14" t="s">
        <v>510</v>
      </c>
      <c r="U230" s="14" t="s">
        <v>96</v>
      </c>
      <c r="V230" s="14"/>
      <c r="W230" s="14">
        <v>0</v>
      </c>
      <c r="X230" s="14">
        <v>0</v>
      </c>
      <c r="Y230" s="14"/>
      <c r="Z230" s="14"/>
      <c r="AA230" s="14"/>
      <c r="AB230" s="14"/>
      <c r="AC230" s="14"/>
      <c r="AD230" s="14"/>
      <c r="AE230" s="14" t="s">
        <v>931</v>
      </c>
      <c r="AF230" s="14"/>
      <c r="AG230" s="14" t="s">
        <v>932</v>
      </c>
      <c r="AH230" s="14"/>
      <c r="AI230" s="14"/>
      <c r="AJ230" s="14"/>
      <c r="AK230" s="14"/>
      <c r="AL230" s="14"/>
      <c r="AM230" s="14"/>
      <c r="AN230" s="14" t="s">
        <v>229</v>
      </c>
      <c r="AO230" s="14" t="s">
        <v>933</v>
      </c>
      <c r="AP230" s="14"/>
      <c r="AQ230" s="14"/>
      <c r="AR230" s="22"/>
      <c r="AS230" s="22" t="s">
        <v>89</v>
      </c>
      <c r="AT230" s="22" t="s">
        <v>193</v>
      </c>
      <c r="AU230" s="25" t="str">
        <f>VLOOKUP(O230,[1]Lookup!A:B,2,FALSE)</f>
        <v>DMO</v>
      </c>
      <c r="AV230" s="25" t="str">
        <f>VLOOKUP(test1[[#This Row],[Assignee]],lookup[#All],2,FALSE)</f>
        <v>Test-SIT</v>
      </c>
      <c r="AW230" s="25">
        <f ca="1">IF(test1[[#This Row],[Status]]&lt;&gt;"Closed", TODAY()-INT(test1[[#This Row],[Created]]),INT(test1[[#This Row],[Resolved]])-INT(test1[[#This Row],[Created]]))</f>
        <v>47</v>
      </c>
    </row>
    <row r="231" spans="1:49" ht="370.5" x14ac:dyDescent="0.2">
      <c r="A231" s="48" t="s">
        <v>86</v>
      </c>
      <c r="B231" s="29" t="s">
        <v>922</v>
      </c>
      <c r="C231" s="27" t="s">
        <v>923</v>
      </c>
      <c r="D231" s="22" t="s">
        <v>241</v>
      </c>
      <c r="E231" s="22" t="s">
        <v>166</v>
      </c>
      <c r="F231" s="27"/>
      <c r="G231" s="27" t="s">
        <v>204</v>
      </c>
      <c r="H231" s="27"/>
      <c r="I231" s="27"/>
      <c r="J231" s="14" t="s">
        <v>91</v>
      </c>
      <c r="K231" s="14" t="s">
        <v>59</v>
      </c>
      <c r="L231" s="14" t="s">
        <v>93</v>
      </c>
      <c r="M231" s="14" t="s">
        <v>132</v>
      </c>
      <c r="N231" s="18" t="s">
        <v>202</v>
      </c>
      <c r="O231" s="14" t="s">
        <v>37</v>
      </c>
      <c r="P231" s="19">
        <v>42781.412499999999</v>
      </c>
      <c r="Q231" s="19">
        <v>42804.640277777777</v>
      </c>
      <c r="R231" s="19">
        <v>42804.640277777777</v>
      </c>
      <c r="S231" s="14" t="s">
        <v>203</v>
      </c>
      <c r="T231" s="14" t="s">
        <v>924</v>
      </c>
      <c r="U231" s="14" t="s">
        <v>96</v>
      </c>
      <c r="V231" s="14"/>
      <c r="W231" s="14">
        <v>0</v>
      </c>
      <c r="X231" s="14">
        <v>0</v>
      </c>
      <c r="Y231" s="20" t="s">
        <v>925</v>
      </c>
      <c r="Z231" s="14"/>
      <c r="AA231" s="14"/>
      <c r="AB231" s="14"/>
      <c r="AC231" s="14"/>
      <c r="AD231" s="14"/>
      <c r="AE231" s="14" t="s">
        <v>926</v>
      </c>
      <c r="AF231" s="14" t="s">
        <v>126</v>
      </c>
      <c r="AG231" s="14" t="s">
        <v>927</v>
      </c>
      <c r="AH231" s="14"/>
      <c r="AI231" s="14"/>
      <c r="AJ231" s="14"/>
      <c r="AK231" s="14"/>
      <c r="AL231" s="14"/>
      <c r="AM231" s="14"/>
      <c r="AN231" s="14" t="s">
        <v>216</v>
      </c>
      <c r="AO231" s="14" t="s">
        <v>928</v>
      </c>
      <c r="AP231" s="14"/>
      <c r="AQ231" s="14"/>
      <c r="AR231" s="22"/>
      <c r="AS231" s="22" t="s">
        <v>241</v>
      </c>
      <c r="AT231" s="22" t="s">
        <v>235</v>
      </c>
      <c r="AU231" s="25" t="str">
        <f>VLOOKUP(O231,[1]Lookup!A:B,2,FALSE)</f>
        <v>DMO</v>
      </c>
      <c r="AV231" s="25" t="e">
        <f>VLOOKUP(test1[[#This Row],[Assignee]],lookup[#All],2,FALSE)</f>
        <v>#N/A</v>
      </c>
      <c r="AW231" s="25">
        <f ca="1">IF(test1[[#This Row],[Status]]&lt;&gt;"Closed", TODAY()-INT(test1[[#This Row],[Created]]),INT(test1[[#This Row],[Resolved]])-INT(test1[[#This Row],[Created]]))</f>
        <v>47</v>
      </c>
    </row>
    <row r="232" spans="1:49" ht="342" x14ac:dyDescent="0.2">
      <c r="A232" s="48" t="s">
        <v>86</v>
      </c>
      <c r="B232" s="29" t="s">
        <v>917</v>
      </c>
      <c r="C232" s="27" t="s">
        <v>918</v>
      </c>
      <c r="D232" s="22" t="s">
        <v>241</v>
      </c>
      <c r="E232" s="22" t="s">
        <v>166</v>
      </c>
      <c r="F232" s="27"/>
      <c r="G232" s="27" t="s">
        <v>203</v>
      </c>
      <c r="H232" s="27"/>
      <c r="I232" s="27"/>
      <c r="J232" s="14" t="s">
        <v>91</v>
      </c>
      <c r="K232" s="14" t="s">
        <v>275</v>
      </c>
      <c r="L232" s="14" t="s">
        <v>103</v>
      </c>
      <c r="M232" s="14" t="s">
        <v>132</v>
      </c>
      <c r="N232" s="18" t="s">
        <v>202</v>
      </c>
      <c r="O232" s="14" t="s">
        <v>38</v>
      </c>
      <c r="P232" s="19">
        <v>42781.572222222225</v>
      </c>
      <c r="Q232" s="19">
        <v>42804.527777777781</v>
      </c>
      <c r="R232" s="19">
        <v>42790.477777777778</v>
      </c>
      <c r="S232" s="14" t="s">
        <v>203</v>
      </c>
      <c r="T232" s="14" t="s">
        <v>204</v>
      </c>
      <c r="U232" s="14" t="s">
        <v>241</v>
      </c>
      <c r="V232" s="14"/>
      <c r="W232" s="14">
        <v>0</v>
      </c>
      <c r="X232" s="14">
        <v>0</v>
      </c>
      <c r="Y232" s="14" t="s">
        <v>919</v>
      </c>
      <c r="Z232" s="14"/>
      <c r="AA232" s="14"/>
      <c r="AB232" s="14"/>
      <c r="AC232" s="14"/>
      <c r="AD232" s="14"/>
      <c r="AE232" s="14"/>
      <c r="AF232" s="14"/>
      <c r="AG232" s="14" t="s">
        <v>920</v>
      </c>
      <c r="AH232" s="14"/>
      <c r="AI232" s="14"/>
      <c r="AJ232" s="14"/>
      <c r="AK232" s="14"/>
      <c r="AL232" s="14"/>
      <c r="AM232" s="14"/>
      <c r="AN232" s="14" t="s">
        <v>261</v>
      </c>
      <c r="AO232" s="14" t="s">
        <v>921</v>
      </c>
      <c r="AP232" s="14"/>
      <c r="AQ232" s="14"/>
      <c r="AR232" s="22"/>
      <c r="AS232" s="22" t="s">
        <v>241</v>
      </c>
      <c r="AT232" s="22" t="s">
        <v>261</v>
      </c>
      <c r="AU232" s="25" t="str">
        <f>VLOOKUP(O232,[1]Lookup!A:B,2,FALSE)</f>
        <v>DMO</v>
      </c>
      <c r="AV232" s="25" t="e">
        <f>VLOOKUP(test1[[#This Row],[Assignee]],lookup[#All],2,FALSE)</f>
        <v>#N/A</v>
      </c>
      <c r="AW232" s="25">
        <f ca="1">IF(test1[[#This Row],[Status]]&lt;&gt;"Closed", TODAY()-INT(test1[[#This Row],[Created]]),INT(test1[[#This Row],[Resolved]])-INT(test1[[#This Row],[Created]]))</f>
        <v>9</v>
      </c>
    </row>
    <row r="233" spans="1:49" ht="142.5" x14ac:dyDescent="0.2">
      <c r="A233" s="48" t="s">
        <v>86</v>
      </c>
      <c r="B233" s="29" t="s">
        <v>913</v>
      </c>
      <c r="C233" s="27" t="s">
        <v>914</v>
      </c>
      <c r="D233" s="22" t="s">
        <v>241</v>
      </c>
      <c r="E233" s="22" t="s">
        <v>890</v>
      </c>
      <c r="F233" s="27"/>
      <c r="G233" s="27" t="s">
        <v>203</v>
      </c>
      <c r="H233" s="27"/>
      <c r="I233" s="27"/>
      <c r="J233" s="14" t="s">
        <v>91</v>
      </c>
      <c r="K233" s="14" t="s">
        <v>59</v>
      </c>
      <c r="L233" s="14" t="s">
        <v>93</v>
      </c>
      <c r="M233" s="14" t="s">
        <v>132</v>
      </c>
      <c r="N233" s="18" t="s">
        <v>21</v>
      </c>
      <c r="O233" s="14" t="s">
        <v>37</v>
      </c>
      <c r="P233" s="19">
        <v>42781.573611111111</v>
      </c>
      <c r="Q233" s="19">
        <v>42799.779861111114</v>
      </c>
      <c r="R233" s="19">
        <v>42781.854166666664</v>
      </c>
      <c r="S233" s="14" t="s">
        <v>203</v>
      </c>
      <c r="T233" s="14" t="s">
        <v>203</v>
      </c>
      <c r="U233" s="14" t="s">
        <v>96</v>
      </c>
      <c r="V233" s="14"/>
      <c r="W233" s="14">
        <v>0</v>
      </c>
      <c r="X233" s="14">
        <v>0</v>
      </c>
      <c r="Y233" s="14" t="s">
        <v>915</v>
      </c>
      <c r="Z233" s="14"/>
      <c r="AA233" s="14"/>
      <c r="AB233" s="14"/>
      <c r="AC233" s="14"/>
      <c r="AD233" s="14"/>
      <c r="AE233" s="14"/>
      <c r="AF233" s="14" t="s">
        <v>126</v>
      </c>
      <c r="AG233" s="14" t="s">
        <v>916</v>
      </c>
      <c r="AH233" s="14"/>
      <c r="AI233" s="14"/>
      <c r="AJ233" s="14"/>
      <c r="AK233" s="14"/>
      <c r="AL233" s="14"/>
      <c r="AM233" s="14"/>
      <c r="AN233" s="14" t="s">
        <v>904</v>
      </c>
      <c r="AO233" s="14"/>
      <c r="AP233" s="14" t="s">
        <v>250</v>
      </c>
      <c r="AQ233" s="14"/>
      <c r="AR233" s="22"/>
      <c r="AS233" s="22" t="s">
        <v>241</v>
      </c>
      <c r="AT233" s="22" t="s">
        <v>890</v>
      </c>
      <c r="AU233" s="25" t="str">
        <f>VLOOKUP(O233,[1]Lookup!A:B,2,FALSE)</f>
        <v>DMO</v>
      </c>
      <c r="AV233" s="25" t="str">
        <f>VLOOKUP(test1[[#This Row],[Assignee]],lookup[#All],2,FALSE)</f>
        <v>Test-SIT</v>
      </c>
      <c r="AW233" s="25">
        <f ca="1">IF(test1[[#This Row],[Status]]&lt;&gt;"Closed", TODAY()-INT(test1[[#This Row],[Created]]),INT(test1[[#This Row],[Resolved]])-INT(test1[[#This Row],[Created]]))</f>
        <v>47</v>
      </c>
    </row>
    <row r="234" spans="1:49" ht="185.25" x14ac:dyDescent="0.2">
      <c r="A234" s="48" t="s">
        <v>86</v>
      </c>
      <c r="B234" s="29" t="s">
        <v>910</v>
      </c>
      <c r="C234" s="27" t="s">
        <v>911</v>
      </c>
      <c r="D234" s="22" t="s">
        <v>241</v>
      </c>
      <c r="E234" s="22" t="s">
        <v>792</v>
      </c>
      <c r="F234" s="27"/>
      <c r="G234" s="27" t="s">
        <v>510</v>
      </c>
      <c r="H234" s="27"/>
      <c r="I234" s="27"/>
      <c r="J234" s="14" t="s">
        <v>91</v>
      </c>
      <c r="K234" s="14" t="s">
        <v>59</v>
      </c>
      <c r="L234" s="14" t="s">
        <v>93</v>
      </c>
      <c r="M234" s="14" t="s">
        <v>132</v>
      </c>
      <c r="N234" s="18" t="s">
        <v>21</v>
      </c>
      <c r="O234" s="14" t="s">
        <v>21</v>
      </c>
      <c r="P234" s="19">
        <v>42781.575694444444</v>
      </c>
      <c r="Q234" s="19">
        <v>42781.964583333334</v>
      </c>
      <c r="R234" s="19">
        <v>42781.767361111109</v>
      </c>
      <c r="S234" s="14" t="s">
        <v>203</v>
      </c>
      <c r="T234" s="14" t="s">
        <v>203</v>
      </c>
      <c r="U234" s="14" t="s">
        <v>89</v>
      </c>
      <c r="V234" s="28">
        <v>42781</v>
      </c>
      <c r="W234" s="14">
        <v>0</v>
      </c>
      <c r="X234" s="14">
        <v>0</v>
      </c>
      <c r="Y234" s="14"/>
      <c r="Z234" s="14"/>
      <c r="AA234" s="14"/>
      <c r="AB234" s="14"/>
      <c r="AC234" s="14"/>
      <c r="AD234" s="14"/>
      <c r="AE234" s="14"/>
      <c r="AF234" s="14"/>
      <c r="AG234" s="14" t="s">
        <v>912</v>
      </c>
      <c r="AH234" s="14"/>
      <c r="AI234" s="14"/>
      <c r="AJ234" s="14"/>
      <c r="AK234" s="14"/>
      <c r="AL234" s="14"/>
      <c r="AM234" s="14"/>
      <c r="AN234" s="14" t="s">
        <v>99</v>
      </c>
      <c r="AO234" s="14" t="s">
        <v>890</v>
      </c>
      <c r="AP234" s="14" t="s">
        <v>146</v>
      </c>
      <c r="AQ234" s="14"/>
      <c r="AR234" s="22"/>
      <c r="AS234" s="22" t="s">
        <v>241</v>
      </c>
      <c r="AT234" s="22" t="s">
        <v>792</v>
      </c>
      <c r="AU234" s="25" t="str">
        <f>VLOOKUP(O234,[1]Lookup!A:B,2,FALSE)</f>
        <v>Test-SIT</v>
      </c>
      <c r="AV234" s="25" t="str">
        <f>VLOOKUP(test1[[#This Row],[Assignee]],lookup[#All],2,FALSE)</f>
        <v>Test-SIT</v>
      </c>
      <c r="AW234" s="25">
        <f ca="1">IF(test1[[#This Row],[Status]]&lt;&gt;"Closed", TODAY()-INT(test1[[#This Row],[Created]]),INT(test1[[#This Row],[Resolved]])-INT(test1[[#This Row],[Created]]))</f>
        <v>47</v>
      </c>
    </row>
    <row r="235" spans="1:49" ht="270.75" x14ac:dyDescent="0.2">
      <c r="A235" s="48" t="s">
        <v>86</v>
      </c>
      <c r="B235" s="29" t="s">
        <v>905</v>
      </c>
      <c r="C235" s="27" t="s">
        <v>906</v>
      </c>
      <c r="D235" s="22" t="s">
        <v>241</v>
      </c>
      <c r="E235" s="22" t="s">
        <v>166</v>
      </c>
      <c r="F235" s="27"/>
      <c r="G235" s="27" t="s">
        <v>203</v>
      </c>
      <c r="H235" s="27"/>
      <c r="I235" s="27"/>
      <c r="J235" s="14" t="s">
        <v>91</v>
      </c>
      <c r="K235" s="14" t="s">
        <v>59</v>
      </c>
      <c r="L235" s="14" t="s">
        <v>93</v>
      </c>
      <c r="M235" s="14" t="s">
        <v>132</v>
      </c>
      <c r="N235" s="18" t="s">
        <v>21</v>
      </c>
      <c r="O235" s="14" t="s">
        <v>30</v>
      </c>
      <c r="P235" s="19">
        <v>42781.57916666667</v>
      </c>
      <c r="Q235" s="19">
        <v>42793.458333333336</v>
      </c>
      <c r="R235" s="19">
        <v>42793.458333333336</v>
      </c>
      <c r="S235" s="14" t="s">
        <v>660</v>
      </c>
      <c r="T235" s="14" t="s">
        <v>510</v>
      </c>
      <c r="U235" s="14" t="s">
        <v>96</v>
      </c>
      <c r="V235" s="14"/>
      <c r="W235" s="14">
        <v>0</v>
      </c>
      <c r="X235" s="14">
        <v>0</v>
      </c>
      <c r="Y235" s="14"/>
      <c r="Z235" s="14"/>
      <c r="AA235" s="14"/>
      <c r="AB235" s="14"/>
      <c r="AC235" s="14"/>
      <c r="AD235" s="14"/>
      <c r="AE235" s="14"/>
      <c r="AF235" s="14" t="s">
        <v>907</v>
      </c>
      <c r="AG235" s="14" t="s">
        <v>908</v>
      </c>
      <c r="AH235" s="14"/>
      <c r="AI235" s="14"/>
      <c r="AJ235" s="14"/>
      <c r="AK235" s="14"/>
      <c r="AL235" s="14"/>
      <c r="AM235" s="14"/>
      <c r="AN235" s="14" t="s">
        <v>909</v>
      </c>
      <c r="AO235" s="14" t="s">
        <v>789</v>
      </c>
      <c r="AP235" s="14"/>
      <c r="AQ235" s="14"/>
      <c r="AR235" s="22"/>
      <c r="AS235" s="22" t="s">
        <v>241</v>
      </c>
      <c r="AT235" s="22" t="s">
        <v>261</v>
      </c>
      <c r="AU235" s="25" t="str">
        <f>VLOOKUP(O235,[1]Lookup!A:B,2,FALSE)</f>
        <v>Test-SIT</v>
      </c>
      <c r="AV235" s="25" t="str">
        <f>VLOOKUP(test1[[#This Row],[Assignee]],lookup[#All],2,FALSE)</f>
        <v>Test-SIT</v>
      </c>
      <c r="AW235" s="25">
        <f ca="1">IF(test1[[#This Row],[Status]]&lt;&gt;"Closed", TODAY()-INT(test1[[#This Row],[Created]]),INT(test1[[#This Row],[Resolved]])-INT(test1[[#This Row],[Created]]))</f>
        <v>47</v>
      </c>
    </row>
    <row r="236" spans="1:49" ht="142.5" x14ac:dyDescent="0.2">
      <c r="A236" s="48" t="s">
        <v>86</v>
      </c>
      <c r="B236" s="29" t="s">
        <v>900</v>
      </c>
      <c r="C236" s="27" t="s">
        <v>901</v>
      </c>
      <c r="D236" s="22" t="s">
        <v>229</v>
      </c>
      <c r="E236" s="22" t="s">
        <v>229</v>
      </c>
      <c r="F236" s="27"/>
      <c r="G236" s="27" t="s">
        <v>204</v>
      </c>
      <c r="H236" s="27"/>
      <c r="I236" s="27"/>
      <c r="J236" s="14" t="s">
        <v>91</v>
      </c>
      <c r="K236" s="14" t="s">
        <v>59</v>
      </c>
      <c r="L236" s="14" t="s">
        <v>103</v>
      </c>
      <c r="M236" s="14" t="s">
        <v>132</v>
      </c>
      <c r="N236" s="18" t="s">
        <v>21</v>
      </c>
      <c r="O236" s="14" t="s">
        <v>37</v>
      </c>
      <c r="P236" s="19">
        <v>42781.581250000003</v>
      </c>
      <c r="Q236" s="19">
        <v>42799.779166666667</v>
      </c>
      <c r="R236" s="19">
        <v>42781.852083333331</v>
      </c>
      <c r="S236" s="14" t="s">
        <v>203</v>
      </c>
      <c r="T236" s="14" t="s">
        <v>203</v>
      </c>
      <c r="U236" s="14" t="s">
        <v>96</v>
      </c>
      <c r="V236" s="14"/>
      <c r="W236" s="14">
        <v>0</v>
      </c>
      <c r="X236" s="14">
        <v>0</v>
      </c>
      <c r="Y236" s="14" t="s">
        <v>902</v>
      </c>
      <c r="Z236" s="14"/>
      <c r="AA236" s="14"/>
      <c r="AB236" s="14"/>
      <c r="AC236" s="14"/>
      <c r="AD236" s="14"/>
      <c r="AE236" s="14"/>
      <c r="AF236" s="14" t="s">
        <v>126</v>
      </c>
      <c r="AG236" s="14" t="s">
        <v>903</v>
      </c>
      <c r="AH236" s="14"/>
      <c r="AI236" s="14"/>
      <c r="AJ236" s="14"/>
      <c r="AK236" s="14"/>
      <c r="AL236" s="14"/>
      <c r="AM236" s="14"/>
      <c r="AN236" s="14" t="s">
        <v>904</v>
      </c>
      <c r="AO236" s="14"/>
      <c r="AP236" s="14" t="s">
        <v>779</v>
      </c>
      <c r="AQ236" s="14"/>
      <c r="AR236" s="22"/>
      <c r="AS236" s="22" t="s">
        <v>241</v>
      </c>
      <c r="AT236" s="22" t="s">
        <v>229</v>
      </c>
      <c r="AU236" s="25" t="str">
        <f>VLOOKUP(O236,[1]Lookup!A:B,2,FALSE)</f>
        <v>DMO</v>
      </c>
      <c r="AV236" s="25" t="str">
        <f>VLOOKUP(test1[[#This Row],[Assignee]],lookup[#All],2,FALSE)</f>
        <v>Test-SIT</v>
      </c>
      <c r="AW236" s="25">
        <f ca="1">IF(test1[[#This Row],[Status]]&lt;&gt;"Closed", TODAY()-INT(test1[[#This Row],[Created]]),INT(test1[[#This Row],[Resolved]])-INT(test1[[#This Row],[Created]]))</f>
        <v>47</v>
      </c>
    </row>
    <row r="237" spans="1:49" ht="114" x14ac:dyDescent="0.2">
      <c r="A237" s="48" t="s">
        <v>86</v>
      </c>
      <c r="B237" s="29" t="s">
        <v>895</v>
      </c>
      <c r="C237" s="27" t="s">
        <v>896</v>
      </c>
      <c r="D237" s="22" t="s">
        <v>241</v>
      </c>
      <c r="E237" s="22" t="s">
        <v>302</v>
      </c>
      <c r="F237" s="27"/>
      <c r="G237" s="27" t="s">
        <v>204</v>
      </c>
      <c r="H237" s="27"/>
      <c r="I237" s="27"/>
      <c r="J237" s="14" t="s">
        <v>91</v>
      </c>
      <c r="K237" s="14" t="s">
        <v>59</v>
      </c>
      <c r="L237" s="14" t="s">
        <v>103</v>
      </c>
      <c r="M237" s="14" t="s">
        <v>132</v>
      </c>
      <c r="N237" s="18" t="s">
        <v>202</v>
      </c>
      <c r="O237" s="14" t="s">
        <v>36</v>
      </c>
      <c r="P237" s="19">
        <v>42781.619444444441</v>
      </c>
      <c r="Q237" s="19">
        <v>42796.62777777778</v>
      </c>
      <c r="R237" s="19">
        <v>42786.739583333336</v>
      </c>
      <c r="S237" s="14" t="s">
        <v>203</v>
      </c>
      <c r="T237" s="14" t="s">
        <v>204</v>
      </c>
      <c r="U237" s="14" t="s">
        <v>241</v>
      </c>
      <c r="V237" s="14"/>
      <c r="W237" s="14">
        <v>0</v>
      </c>
      <c r="X237" s="14">
        <v>0</v>
      </c>
      <c r="Y237" s="14" t="s">
        <v>897</v>
      </c>
      <c r="Z237" s="14"/>
      <c r="AA237" s="14"/>
      <c r="AB237" s="14"/>
      <c r="AC237" s="14"/>
      <c r="AD237" s="14"/>
      <c r="AE237" s="14"/>
      <c r="AF237" s="14" t="s">
        <v>126</v>
      </c>
      <c r="AG237" s="14" t="s">
        <v>898</v>
      </c>
      <c r="AH237" s="14"/>
      <c r="AI237" s="14"/>
      <c r="AJ237" s="14"/>
      <c r="AK237" s="14"/>
      <c r="AL237" s="14"/>
      <c r="AM237" s="14"/>
      <c r="AN237" s="14" t="s">
        <v>229</v>
      </c>
      <c r="AO237" s="14" t="s">
        <v>899</v>
      </c>
      <c r="AP237" s="14" t="s">
        <v>146</v>
      </c>
      <c r="AQ237" s="14"/>
      <c r="AR237" s="22"/>
      <c r="AS237" s="22" t="s">
        <v>241</v>
      </c>
      <c r="AT237" s="22" t="s">
        <v>302</v>
      </c>
      <c r="AU237" s="25" t="str">
        <f>VLOOKUP(O237,[1]Lookup!A:B,2,FALSE)</f>
        <v>DMO</v>
      </c>
      <c r="AV237" s="25" t="e">
        <f>VLOOKUP(test1[[#This Row],[Assignee]],lookup[#All],2,FALSE)</f>
        <v>#N/A</v>
      </c>
      <c r="AW237" s="25">
        <f ca="1">IF(test1[[#This Row],[Status]]&lt;&gt;"Closed", TODAY()-INT(test1[[#This Row],[Created]]),INT(test1[[#This Row],[Resolved]])-INT(test1[[#This Row],[Created]]))</f>
        <v>47</v>
      </c>
    </row>
    <row r="238" spans="1:49" ht="142.5" x14ac:dyDescent="0.2">
      <c r="A238" s="48" t="s">
        <v>86</v>
      </c>
      <c r="B238" s="29" t="s">
        <v>888</v>
      </c>
      <c r="C238" s="27" t="s">
        <v>889</v>
      </c>
      <c r="D238" s="22" t="s">
        <v>241</v>
      </c>
      <c r="E238" s="22" t="s">
        <v>890</v>
      </c>
      <c r="F238" s="27"/>
      <c r="G238" s="27" t="s">
        <v>203</v>
      </c>
      <c r="H238" s="27"/>
      <c r="I238" s="27"/>
      <c r="J238" s="14" t="s">
        <v>91</v>
      </c>
      <c r="K238" s="14" t="s">
        <v>59</v>
      </c>
      <c r="L238" s="14" t="s">
        <v>167</v>
      </c>
      <c r="M238" s="14" t="s">
        <v>132</v>
      </c>
      <c r="N238" s="18" t="s">
        <v>202</v>
      </c>
      <c r="O238" s="14" t="s">
        <v>37</v>
      </c>
      <c r="P238" s="19">
        <v>42781.625</v>
      </c>
      <c r="Q238" s="19">
        <v>42783.482638888891</v>
      </c>
      <c r="R238" s="19">
        <v>42783.482638888891</v>
      </c>
      <c r="S238" s="14" t="s">
        <v>203</v>
      </c>
      <c r="T238" s="14" t="s">
        <v>204</v>
      </c>
      <c r="U238" s="14" t="s">
        <v>96</v>
      </c>
      <c r="V238" s="14"/>
      <c r="W238" s="14">
        <v>0</v>
      </c>
      <c r="X238" s="14">
        <v>0</v>
      </c>
      <c r="Y238" s="20" t="s">
        <v>891</v>
      </c>
      <c r="Z238" s="14"/>
      <c r="AA238" s="14"/>
      <c r="AB238" s="14"/>
      <c r="AC238" s="14"/>
      <c r="AD238" s="14"/>
      <c r="AE238" s="14"/>
      <c r="AF238" s="14" t="s">
        <v>126</v>
      </c>
      <c r="AG238" s="14" t="s">
        <v>892</v>
      </c>
      <c r="AH238" s="14"/>
      <c r="AI238" s="14"/>
      <c r="AJ238" s="14"/>
      <c r="AK238" s="14"/>
      <c r="AL238" s="14"/>
      <c r="AM238" s="14"/>
      <c r="AN238" s="14" t="s">
        <v>123</v>
      </c>
      <c r="AO238" s="14" t="s">
        <v>893</v>
      </c>
      <c r="AP238" s="14" t="s">
        <v>146</v>
      </c>
      <c r="AQ238" s="14"/>
      <c r="AR238" s="22"/>
      <c r="AS238" s="22" t="s">
        <v>241</v>
      </c>
      <c r="AT238" s="22" t="s">
        <v>894</v>
      </c>
      <c r="AU238" s="25" t="str">
        <f>VLOOKUP(O238,[1]Lookup!A:B,2,FALSE)</f>
        <v>DMO</v>
      </c>
      <c r="AV238" s="25" t="e">
        <f>VLOOKUP(test1[[#This Row],[Assignee]],lookup[#All],2,FALSE)</f>
        <v>#N/A</v>
      </c>
      <c r="AW238" s="25">
        <f ca="1">IF(test1[[#This Row],[Status]]&lt;&gt;"Closed", TODAY()-INT(test1[[#This Row],[Created]]),INT(test1[[#This Row],[Resolved]])-INT(test1[[#This Row],[Created]]))</f>
        <v>47</v>
      </c>
    </row>
    <row r="239" spans="1:49" ht="128.25" x14ac:dyDescent="0.2">
      <c r="A239" s="48" t="s">
        <v>86</v>
      </c>
      <c r="B239" s="29" t="s">
        <v>882</v>
      </c>
      <c r="C239" s="27" t="s">
        <v>883</v>
      </c>
      <c r="D239" s="22" t="s">
        <v>229</v>
      </c>
      <c r="E239" s="22" t="s">
        <v>229</v>
      </c>
      <c r="F239" s="27"/>
      <c r="G239" s="27" t="s">
        <v>204</v>
      </c>
      <c r="H239" s="27"/>
      <c r="I239" s="27"/>
      <c r="J239" s="14" t="s">
        <v>91</v>
      </c>
      <c r="K239" s="14" t="s">
        <v>59</v>
      </c>
      <c r="L239" s="14" t="s">
        <v>167</v>
      </c>
      <c r="M239" s="14" t="s">
        <v>132</v>
      </c>
      <c r="N239" s="18" t="s">
        <v>202</v>
      </c>
      <c r="O239" s="14" t="s">
        <v>39</v>
      </c>
      <c r="P239" s="19">
        <v>42781.68472222222</v>
      </c>
      <c r="Q239" s="19">
        <v>42790.732638888891</v>
      </c>
      <c r="R239" s="19">
        <v>42790.732638888891</v>
      </c>
      <c r="S239" s="14" t="s">
        <v>203</v>
      </c>
      <c r="T239" s="14" t="s">
        <v>203</v>
      </c>
      <c r="U239" s="14" t="s">
        <v>96</v>
      </c>
      <c r="V239" s="14"/>
      <c r="W239" s="14">
        <v>0</v>
      </c>
      <c r="X239" s="14">
        <v>0</v>
      </c>
      <c r="Y239" s="14" t="s">
        <v>884</v>
      </c>
      <c r="Z239" s="14"/>
      <c r="AA239" s="14"/>
      <c r="AB239" s="14"/>
      <c r="AC239" s="14"/>
      <c r="AD239" s="14"/>
      <c r="AE239" s="14" t="s">
        <v>885</v>
      </c>
      <c r="AF239" s="14" t="s">
        <v>126</v>
      </c>
      <c r="AG239" s="14" t="s">
        <v>886</v>
      </c>
      <c r="AH239" s="14"/>
      <c r="AI239" s="14"/>
      <c r="AJ239" s="14"/>
      <c r="AK239" s="14"/>
      <c r="AL239" s="14"/>
      <c r="AM239" s="14"/>
      <c r="AN239" s="14" t="s">
        <v>123</v>
      </c>
      <c r="AO239" s="14" t="s">
        <v>887</v>
      </c>
      <c r="AP239" s="14" t="s">
        <v>146</v>
      </c>
      <c r="AQ239" s="14"/>
      <c r="AR239" s="22"/>
      <c r="AS239" s="22" t="s">
        <v>241</v>
      </c>
      <c r="AT239" s="22" t="s">
        <v>229</v>
      </c>
      <c r="AU239" s="25" t="str">
        <f>VLOOKUP(O239,[1]Lookup!A:B,2,FALSE)</f>
        <v>DMO</v>
      </c>
      <c r="AV239" s="25" t="e">
        <f>VLOOKUP(test1[[#This Row],[Assignee]],lookup[#All],2,FALSE)</f>
        <v>#N/A</v>
      </c>
      <c r="AW239" s="25">
        <f ca="1">IF(test1[[#This Row],[Status]]&lt;&gt;"Closed", TODAY()-INT(test1[[#This Row],[Created]]),INT(test1[[#This Row],[Resolved]])-INT(test1[[#This Row],[Created]]))</f>
        <v>47</v>
      </c>
    </row>
    <row r="240" spans="1:49" ht="128.25" x14ac:dyDescent="0.2">
      <c r="A240" s="48" t="s">
        <v>86</v>
      </c>
      <c r="B240" s="29" t="s">
        <v>877</v>
      </c>
      <c r="C240" s="27" t="s">
        <v>878</v>
      </c>
      <c r="D240" s="22" t="s">
        <v>229</v>
      </c>
      <c r="E240" s="22" t="s">
        <v>229</v>
      </c>
      <c r="F240" s="27"/>
      <c r="G240" s="27" t="s">
        <v>204</v>
      </c>
      <c r="H240" s="27"/>
      <c r="I240" s="27"/>
      <c r="J240" s="14" t="s">
        <v>91</v>
      </c>
      <c r="K240" s="14" t="s">
        <v>59</v>
      </c>
      <c r="L240" s="14" t="s">
        <v>103</v>
      </c>
      <c r="M240" s="14" t="s">
        <v>132</v>
      </c>
      <c r="N240" s="18" t="s">
        <v>202</v>
      </c>
      <c r="O240" s="14" t="s">
        <v>36</v>
      </c>
      <c r="P240" s="19">
        <v>42781.731249999997</v>
      </c>
      <c r="Q240" s="19">
        <v>42796.62777777778</v>
      </c>
      <c r="R240" s="19">
        <v>42790.444444444445</v>
      </c>
      <c r="S240" s="14" t="s">
        <v>203</v>
      </c>
      <c r="T240" s="14" t="s">
        <v>204</v>
      </c>
      <c r="U240" s="14" t="s">
        <v>241</v>
      </c>
      <c r="V240" s="14"/>
      <c r="W240" s="14">
        <v>0</v>
      </c>
      <c r="X240" s="14">
        <v>0</v>
      </c>
      <c r="Y240" s="14" t="s">
        <v>879</v>
      </c>
      <c r="Z240" s="14"/>
      <c r="AA240" s="14"/>
      <c r="AB240" s="14"/>
      <c r="AC240" s="14"/>
      <c r="AD240" s="14"/>
      <c r="AE240" s="14"/>
      <c r="AF240" s="14" t="s">
        <v>126</v>
      </c>
      <c r="AG240" s="14" t="s">
        <v>880</v>
      </c>
      <c r="AH240" s="14"/>
      <c r="AI240" s="14"/>
      <c r="AJ240" s="14"/>
      <c r="AK240" s="14"/>
      <c r="AL240" s="14"/>
      <c r="AM240" s="14"/>
      <c r="AN240" s="14" t="s">
        <v>229</v>
      </c>
      <c r="AO240" s="14" t="s">
        <v>881</v>
      </c>
      <c r="AP240" s="14" t="s">
        <v>146</v>
      </c>
      <c r="AQ240" s="14"/>
      <c r="AR240" s="22"/>
      <c r="AS240" s="22" t="s">
        <v>241</v>
      </c>
      <c r="AT240" s="22" t="s">
        <v>229</v>
      </c>
      <c r="AU240" s="25" t="str">
        <f>VLOOKUP(O240,[1]Lookup!A:B,2,FALSE)</f>
        <v>DMO</v>
      </c>
      <c r="AV240" s="25" t="e">
        <f>VLOOKUP(test1[[#This Row],[Assignee]],lookup[#All],2,FALSE)</f>
        <v>#N/A</v>
      </c>
      <c r="AW240" s="25">
        <f ca="1">IF(test1[[#This Row],[Status]]&lt;&gt;"Closed", TODAY()-INT(test1[[#This Row],[Created]]),INT(test1[[#This Row],[Resolved]])-INT(test1[[#This Row],[Created]]))</f>
        <v>47</v>
      </c>
    </row>
    <row r="241" spans="1:49" ht="242.25" x14ac:dyDescent="0.2">
      <c r="A241" s="48" t="s">
        <v>86</v>
      </c>
      <c r="B241" s="29" t="s">
        <v>871</v>
      </c>
      <c r="C241" s="26" t="s">
        <v>872</v>
      </c>
      <c r="D241" s="22" t="s">
        <v>89</v>
      </c>
      <c r="E241" s="22" t="s">
        <v>507</v>
      </c>
      <c r="F241" s="26" t="s">
        <v>873</v>
      </c>
      <c r="G241" s="26" t="s">
        <v>312</v>
      </c>
      <c r="H241" s="40" t="s">
        <v>526</v>
      </c>
      <c r="I241" s="40" t="s">
        <v>874</v>
      </c>
      <c r="J241" s="14" t="s">
        <v>91</v>
      </c>
      <c r="K241" s="14" t="s">
        <v>59</v>
      </c>
      <c r="L241" s="14" t="s">
        <v>103</v>
      </c>
      <c r="M241" s="14" t="s">
        <v>132</v>
      </c>
      <c r="N241" s="18" t="s">
        <v>38</v>
      </c>
      <c r="O241" s="14" t="s">
        <v>38</v>
      </c>
      <c r="P241" s="19">
        <v>42782.378472222219</v>
      </c>
      <c r="Q241" s="19">
        <v>42796.627083333333</v>
      </c>
      <c r="R241" s="19">
        <v>42790.450694444444</v>
      </c>
      <c r="S241" s="14" t="s">
        <v>203</v>
      </c>
      <c r="T241" s="14" t="s">
        <v>204</v>
      </c>
      <c r="U241" s="14" t="s">
        <v>241</v>
      </c>
      <c r="V241" s="14"/>
      <c r="W241" s="14">
        <v>0</v>
      </c>
      <c r="X241" s="14">
        <v>0</v>
      </c>
      <c r="Y241" s="14"/>
      <c r="Z241" s="14"/>
      <c r="AA241" s="14"/>
      <c r="AB241" s="14"/>
      <c r="AC241" s="14"/>
      <c r="AD241" s="14"/>
      <c r="AE241" s="14"/>
      <c r="AF241" s="14" t="s">
        <v>823</v>
      </c>
      <c r="AG241" s="14" t="s">
        <v>875</v>
      </c>
      <c r="AH241" s="14"/>
      <c r="AI241" s="14"/>
      <c r="AJ241" s="14"/>
      <c r="AK241" s="14"/>
      <c r="AL241" s="14"/>
      <c r="AM241" s="14"/>
      <c r="AN241" s="14" t="s">
        <v>229</v>
      </c>
      <c r="AO241" s="14" t="s">
        <v>876</v>
      </c>
      <c r="AP241" s="14"/>
      <c r="AQ241" s="14"/>
      <c r="AR241" s="22"/>
      <c r="AS241" s="22" t="s">
        <v>89</v>
      </c>
      <c r="AT241" s="22" t="s">
        <v>513</v>
      </c>
      <c r="AU241" s="25" t="str">
        <f>VLOOKUP(O241,[1]Lookup!A:B,2,FALSE)</f>
        <v>DMO</v>
      </c>
      <c r="AV241" s="25" t="str">
        <f>VLOOKUP(test1[[#This Row],[Assignee]],lookup[#All],2,FALSE)</f>
        <v>DMO</v>
      </c>
      <c r="AW241" s="25">
        <f ca="1">IF(test1[[#This Row],[Status]]&lt;&gt;"Closed", TODAY()-INT(test1[[#This Row],[Created]]),INT(test1[[#This Row],[Resolved]])-INT(test1[[#This Row],[Created]]))</f>
        <v>46</v>
      </c>
    </row>
    <row r="242" spans="1:49" ht="128.25" x14ac:dyDescent="0.2">
      <c r="A242" s="48" t="s">
        <v>86</v>
      </c>
      <c r="B242" s="29" t="s">
        <v>866</v>
      </c>
      <c r="C242" s="27" t="s">
        <v>867</v>
      </c>
      <c r="D242" s="22" t="s">
        <v>96</v>
      </c>
      <c r="E242" s="22" t="s">
        <v>166</v>
      </c>
      <c r="F242" s="27"/>
      <c r="G242" s="27" t="s">
        <v>203</v>
      </c>
      <c r="H242" s="27"/>
      <c r="I242" s="27"/>
      <c r="J242" s="14" t="s">
        <v>91</v>
      </c>
      <c r="K242" s="14" t="s">
        <v>323</v>
      </c>
      <c r="L242" s="14" t="s">
        <v>103</v>
      </c>
      <c r="M242" s="17" t="s">
        <v>94</v>
      </c>
      <c r="N242" s="18" t="s">
        <v>22</v>
      </c>
      <c r="O242" s="14" t="s">
        <v>36</v>
      </c>
      <c r="P242" s="19">
        <v>42782.431250000001</v>
      </c>
      <c r="Q242" s="19">
        <v>42808.597222222219</v>
      </c>
      <c r="R242" s="14"/>
      <c r="S242" s="14" t="s">
        <v>203</v>
      </c>
      <c r="T242" s="14"/>
      <c r="U242" s="14" t="s">
        <v>241</v>
      </c>
      <c r="V242" s="14"/>
      <c r="W242" s="14">
        <v>0</v>
      </c>
      <c r="X242" s="14">
        <v>0</v>
      </c>
      <c r="Y242" s="14" t="s">
        <v>868</v>
      </c>
      <c r="Z242" s="14"/>
      <c r="AA242" s="14"/>
      <c r="AB242" s="14"/>
      <c r="AC242" s="14"/>
      <c r="AD242" s="14"/>
      <c r="AE242" s="14"/>
      <c r="AF242" s="14" t="s">
        <v>126</v>
      </c>
      <c r="AG242" s="14" t="s">
        <v>869</v>
      </c>
      <c r="AH242" s="14"/>
      <c r="AI242" s="14"/>
      <c r="AJ242" s="14"/>
      <c r="AK242" s="14"/>
      <c r="AL242" s="14"/>
      <c r="AM242" s="14"/>
      <c r="AN242" s="14" t="s">
        <v>662</v>
      </c>
      <c r="AO242" s="14" t="s">
        <v>870</v>
      </c>
      <c r="AP242" s="14"/>
      <c r="AQ242" s="14"/>
      <c r="AR242" s="22"/>
      <c r="AS242" s="22" t="s">
        <v>96</v>
      </c>
      <c r="AT242" s="22" t="s">
        <v>261</v>
      </c>
      <c r="AU242" s="25" t="str">
        <f>VLOOKUP(O242,[1]Lookup!A:B,2,FALSE)</f>
        <v>DMO</v>
      </c>
      <c r="AV242" s="25" t="str">
        <f>VLOOKUP(test1[[#This Row],[Assignee]],lookup[#All],2,FALSE)</f>
        <v>Test-SIT</v>
      </c>
      <c r="AW242" s="25">
        <f ca="1">IF(test1[[#This Row],[Status]]&lt;&gt;"Closed", TODAY()-INT(test1[[#This Row],[Created]]),INT(test1[[#This Row],[Resolved]])-INT(test1[[#This Row],[Created]]))</f>
        <v>46</v>
      </c>
    </row>
    <row r="243" spans="1:49" ht="99.75" x14ac:dyDescent="0.2">
      <c r="A243" s="48" t="s">
        <v>86</v>
      </c>
      <c r="B243" s="29" t="s">
        <v>859</v>
      </c>
      <c r="C243" s="27" t="s">
        <v>860</v>
      </c>
      <c r="D243" s="22" t="s">
        <v>241</v>
      </c>
      <c r="E243" s="22" t="s">
        <v>166</v>
      </c>
      <c r="F243" s="27"/>
      <c r="G243" s="27" t="s">
        <v>203</v>
      </c>
      <c r="H243" s="27"/>
      <c r="I243" s="27"/>
      <c r="J243" s="14" t="s">
        <v>91</v>
      </c>
      <c r="K243" s="14" t="s">
        <v>59</v>
      </c>
      <c r="L243" s="14" t="s">
        <v>93</v>
      </c>
      <c r="M243" s="14" t="s">
        <v>132</v>
      </c>
      <c r="N243" s="18" t="s">
        <v>202</v>
      </c>
      <c r="O243" s="14" t="s">
        <v>36</v>
      </c>
      <c r="P243" s="19">
        <v>42782.448611111111</v>
      </c>
      <c r="Q243" s="19">
        <v>42799.779861111114</v>
      </c>
      <c r="R243" s="19">
        <v>42790.418055555558</v>
      </c>
      <c r="S243" s="14" t="s">
        <v>203</v>
      </c>
      <c r="T243" s="14" t="s">
        <v>203</v>
      </c>
      <c r="U243" s="14" t="s">
        <v>96</v>
      </c>
      <c r="V243" s="14"/>
      <c r="W243" s="14">
        <v>0</v>
      </c>
      <c r="X243" s="14">
        <v>0</v>
      </c>
      <c r="Y243" s="20" t="s">
        <v>861</v>
      </c>
      <c r="Z243" s="14"/>
      <c r="AA243" s="14"/>
      <c r="AB243" s="14"/>
      <c r="AC243" s="14"/>
      <c r="AD243" s="14"/>
      <c r="AE243" s="14"/>
      <c r="AF243" s="14" t="s">
        <v>126</v>
      </c>
      <c r="AG243" s="14" t="s">
        <v>862</v>
      </c>
      <c r="AH243" s="14"/>
      <c r="AI243" s="14"/>
      <c r="AJ243" s="14"/>
      <c r="AK243" s="14"/>
      <c r="AL243" s="14"/>
      <c r="AM243" s="14"/>
      <c r="AN243" s="14" t="s">
        <v>863</v>
      </c>
      <c r="AO243" s="14" t="s">
        <v>864</v>
      </c>
      <c r="AP243" s="14" t="s">
        <v>865</v>
      </c>
      <c r="AQ243" s="14"/>
      <c r="AR243" s="22"/>
      <c r="AS243" s="22" t="s">
        <v>241</v>
      </c>
      <c r="AT243" s="22" t="s">
        <v>166</v>
      </c>
      <c r="AU243" s="25" t="str">
        <f>VLOOKUP(O243,[1]Lookup!A:B,2,FALSE)</f>
        <v>DMO</v>
      </c>
      <c r="AV243" s="25" t="e">
        <f>VLOOKUP(test1[[#This Row],[Assignee]],lookup[#All],2,FALSE)</f>
        <v>#N/A</v>
      </c>
      <c r="AW243" s="25">
        <f ca="1">IF(test1[[#This Row],[Status]]&lt;&gt;"Closed", TODAY()-INT(test1[[#This Row],[Created]]),INT(test1[[#This Row],[Resolved]])-INT(test1[[#This Row],[Created]]))</f>
        <v>46</v>
      </c>
    </row>
    <row r="244" spans="1:49" ht="185.25" x14ac:dyDescent="0.2">
      <c r="A244" s="48" t="s">
        <v>86</v>
      </c>
      <c r="B244" s="29" t="s">
        <v>854</v>
      </c>
      <c r="C244" s="27" t="s">
        <v>855</v>
      </c>
      <c r="D244" s="22" t="s">
        <v>241</v>
      </c>
      <c r="E244" s="22" t="s">
        <v>166</v>
      </c>
      <c r="F244" s="27"/>
      <c r="G244" s="27" t="s">
        <v>204</v>
      </c>
      <c r="H244" s="27"/>
      <c r="I244" s="27"/>
      <c r="J244" s="14" t="s">
        <v>91</v>
      </c>
      <c r="K244" s="14" t="s">
        <v>59</v>
      </c>
      <c r="L244" s="14" t="s">
        <v>103</v>
      </c>
      <c r="M244" s="14" t="s">
        <v>132</v>
      </c>
      <c r="N244" s="18" t="s">
        <v>202</v>
      </c>
      <c r="O244" s="14" t="s">
        <v>37</v>
      </c>
      <c r="P244" s="19">
        <v>42782.504861111112</v>
      </c>
      <c r="Q244" s="19">
        <v>42786.386805555558</v>
      </c>
      <c r="R244" s="19">
        <v>42786.386805555558</v>
      </c>
      <c r="S244" s="14" t="s">
        <v>203</v>
      </c>
      <c r="T244" s="14" t="s">
        <v>203</v>
      </c>
      <c r="U244" s="14" t="s">
        <v>96</v>
      </c>
      <c r="V244" s="14"/>
      <c r="W244" s="14">
        <v>0</v>
      </c>
      <c r="X244" s="14">
        <v>0</v>
      </c>
      <c r="Y244" s="14" t="s">
        <v>856</v>
      </c>
      <c r="Z244" s="14"/>
      <c r="AA244" s="14"/>
      <c r="AB244" s="14"/>
      <c r="AC244" s="14"/>
      <c r="AD244" s="14"/>
      <c r="AE244" s="14"/>
      <c r="AF244" s="14" t="s">
        <v>126</v>
      </c>
      <c r="AG244" s="14" t="s">
        <v>857</v>
      </c>
      <c r="AH244" s="14"/>
      <c r="AI244" s="14"/>
      <c r="AJ244" s="14"/>
      <c r="AK244" s="14"/>
      <c r="AL244" s="14"/>
      <c r="AM244" s="14"/>
      <c r="AN244" s="14"/>
      <c r="AO244" s="14" t="s">
        <v>858</v>
      </c>
      <c r="AP244" s="14" t="s">
        <v>556</v>
      </c>
      <c r="AQ244" s="14"/>
      <c r="AR244" s="22"/>
      <c r="AS244" s="22" t="s">
        <v>241</v>
      </c>
      <c r="AT244" s="22" t="s">
        <v>166</v>
      </c>
      <c r="AU244" s="25" t="str">
        <f>VLOOKUP(O244,[1]Lookup!A:B,2,FALSE)</f>
        <v>DMO</v>
      </c>
      <c r="AV244" s="25" t="e">
        <f>VLOOKUP(test1[[#This Row],[Assignee]],lookup[#All],2,FALSE)</f>
        <v>#N/A</v>
      </c>
      <c r="AW244" s="25">
        <f ca="1">IF(test1[[#This Row],[Status]]&lt;&gt;"Closed", TODAY()-INT(test1[[#This Row],[Created]]),INT(test1[[#This Row],[Resolved]])-INT(test1[[#This Row],[Created]]))</f>
        <v>46</v>
      </c>
    </row>
    <row r="245" spans="1:49" ht="99.75" x14ac:dyDescent="0.2">
      <c r="A245" s="48" t="s">
        <v>86</v>
      </c>
      <c r="B245" s="29" t="s">
        <v>224</v>
      </c>
      <c r="C245" s="27" t="s">
        <v>849</v>
      </c>
      <c r="D245" s="22" t="s">
        <v>89</v>
      </c>
      <c r="E245" s="22" t="s">
        <v>507</v>
      </c>
      <c r="F245" s="30" t="s">
        <v>516</v>
      </c>
      <c r="G245" s="26" t="s">
        <v>373</v>
      </c>
      <c r="H245" s="30" t="s">
        <v>104</v>
      </c>
      <c r="I245" s="30" t="s">
        <v>509</v>
      </c>
      <c r="J245" s="14" t="s">
        <v>91</v>
      </c>
      <c r="K245" s="14" t="s">
        <v>59</v>
      </c>
      <c r="L245" s="14" t="s">
        <v>103</v>
      </c>
      <c r="M245" s="14" t="s">
        <v>132</v>
      </c>
      <c r="N245" s="18" t="s">
        <v>202</v>
      </c>
      <c r="O245" s="14" t="s">
        <v>39</v>
      </c>
      <c r="P245" s="19">
        <v>42782.570138888892</v>
      </c>
      <c r="Q245" s="19">
        <v>42790.586805555555</v>
      </c>
      <c r="R245" s="19">
        <v>42790.586805555555</v>
      </c>
      <c r="S245" s="14" t="s">
        <v>203</v>
      </c>
      <c r="T245" s="14" t="s">
        <v>204</v>
      </c>
      <c r="U245" s="14" t="s">
        <v>242</v>
      </c>
      <c r="V245" s="14"/>
      <c r="W245" s="14">
        <v>0</v>
      </c>
      <c r="X245" s="14">
        <v>0</v>
      </c>
      <c r="Y245" s="14" t="s">
        <v>850</v>
      </c>
      <c r="Z245" s="14"/>
      <c r="AA245" s="14"/>
      <c r="AB245" s="14"/>
      <c r="AC245" s="14"/>
      <c r="AD245" s="14"/>
      <c r="AE245" s="14"/>
      <c r="AF245" s="14" t="s">
        <v>851</v>
      </c>
      <c r="AG245" s="14" t="s">
        <v>852</v>
      </c>
      <c r="AH245" s="14"/>
      <c r="AI245" s="14"/>
      <c r="AJ245" s="14"/>
      <c r="AK245" s="14"/>
      <c r="AL245" s="14"/>
      <c r="AM245" s="14"/>
      <c r="AN245" s="14" t="s">
        <v>235</v>
      </c>
      <c r="AO245" s="14" t="s">
        <v>853</v>
      </c>
      <c r="AP245" s="14" t="s">
        <v>146</v>
      </c>
      <c r="AQ245" s="14"/>
      <c r="AR245" s="22"/>
      <c r="AS245" s="22" t="s">
        <v>89</v>
      </c>
      <c r="AT245" s="22" t="s">
        <v>513</v>
      </c>
      <c r="AU245" s="25" t="str">
        <f>VLOOKUP(O245,[1]Lookup!A:B,2,FALSE)</f>
        <v>DMO</v>
      </c>
      <c r="AV245" s="25" t="e">
        <f>VLOOKUP(test1[[#This Row],[Assignee]],lookup[#All],2,FALSE)</f>
        <v>#N/A</v>
      </c>
      <c r="AW245" s="25">
        <f ca="1">IF(test1[[#This Row],[Status]]&lt;&gt;"Closed", TODAY()-INT(test1[[#This Row],[Created]]),INT(test1[[#This Row],[Resolved]])-INT(test1[[#This Row],[Created]]))</f>
        <v>46</v>
      </c>
    </row>
    <row r="246" spans="1:49" ht="409.5" x14ac:dyDescent="0.2">
      <c r="A246" s="48" t="s">
        <v>86</v>
      </c>
      <c r="B246" s="29" t="s">
        <v>844</v>
      </c>
      <c r="C246" s="27" t="s">
        <v>845</v>
      </c>
      <c r="D246" s="22" t="s">
        <v>89</v>
      </c>
      <c r="E246" s="39" t="s">
        <v>193</v>
      </c>
      <c r="F246" s="30" t="s">
        <v>516</v>
      </c>
      <c r="G246" s="26" t="s">
        <v>373</v>
      </c>
      <c r="H246" s="30" t="s">
        <v>104</v>
      </c>
      <c r="I246" s="30" t="s">
        <v>836</v>
      </c>
      <c r="J246" s="14" t="s">
        <v>91</v>
      </c>
      <c r="K246" s="14" t="s">
        <v>59</v>
      </c>
      <c r="L246" s="14" t="s">
        <v>103</v>
      </c>
      <c r="M246" s="14" t="s">
        <v>132</v>
      </c>
      <c r="N246" s="18" t="s">
        <v>202</v>
      </c>
      <c r="O246" s="14" t="s">
        <v>37</v>
      </c>
      <c r="P246" s="19">
        <v>42782.592361111114</v>
      </c>
      <c r="Q246" s="19">
        <v>42808.494444444441</v>
      </c>
      <c r="R246" s="19">
        <v>42808.494444444441</v>
      </c>
      <c r="S246" s="14" t="s">
        <v>203</v>
      </c>
      <c r="T246" s="14" t="s">
        <v>219</v>
      </c>
      <c r="U246" s="14" t="s">
        <v>846</v>
      </c>
      <c r="V246" s="14"/>
      <c r="W246" s="14">
        <v>0</v>
      </c>
      <c r="X246" s="14">
        <v>0</v>
      </c>
      <c r="Y246" s="14" t="s">
        <v>847</v>
      </c>
      <c r="Z246" s="14"/>
      <c r="AA246" s="14"/>
      <c r="AB246" s="14"/>
      <c r="AC246" s="14"/>
      <c r="AD246" s="14"/>
      <c r="AE246" s="14" t="s">
        <v>222</v>
      </c>
      <c r="AF246" s="14"/>
      <c r="AG246" s="14" t="s">
        <v>848</v>
      </c>
      <c r="AH246" s="14"/>
      <c r="AI246" s="14"/>
      <c r="AJ246" s="14"/>
      <c r="AK246" s="14"/>
      <c r="AL246" s="14"/>
      <c r="AM246" s="14"/>
      <c r="AN246" s="14" t="s">
        <v>594</v>
      </c>
      <c r="AO246" s="14" t="s">
        <v>638</v>
      </c>
      <c r="AP246" s="14" t="s">
        <v>163</v>
      </c>
      <c r="AQ246" s="14"/>
      <c r="AR246" s="22"/>
      <c r="AS246" s="22" t="s">
        <v>89</v>
      </c>
      <c r="AT246" s="39" t="s">
        <v>193</v>
      </c>
      <c r="AU246" s="25" t="str">
        <f>VLOOKUP(O246,[1]Lookup!A:B,2,FALSE)</f>
        <v>DMO</v>
      </c>
      <c r="AV246" s="25" t="e">
        <f>VLOOKUP(test1[[#This Row],[Assignee]],lookup[#All],2,FALSE)</f>
        <v>#N/A</v>
      </c>
      <c r="AW246" s="25">
        <f ca="1">IF(test1[[#This Row],[Status]]&lt;&gt;"Closed", TODAY()-INT(test1[[#This Row],[Created]]),INT(test1[[#This Row],[Resolved]])-INT(test1[[#This Row],[Created]]))</f>
        <v>46</v>
      </c>
    </row>
    <row r="247" spans="1:49" ht="409.5" x14ac:dyDescent="0.2">
      <c r="A247" s="48" t="s">
        <v>86</v>
      </c>
      <c r="B247" s="29" t="s">
        <v>838</v>
      </c>
      <c r="C247" s="27" t="s">
        <v>839</v>
      </c>
      <c r="D247" s="22" t="s">
        <v>241</v>
      </c>
      <c r="E247" s="22" t="s">
        <v>166</v>
      </c>
      <c r="F247" s="27"/>
      <c r="G247" s="27"/>
      <c r="H247" s="27"/>
      <c r="I247" s="27"/>
      <c r="J247" s="14" t="s">
        <v>91</v>
      </c>
      <c r="K247" s="14" t="s">
        <v>59</v>
      </c>
      <c r="L247" s="14" t="s">
        <v>103</v>
      </c>
      <c r="M247" s="14" t="s">
        <v>132</v>
      </c>
      <c r="N247" s="18" t="s">
        <v>202</v>
      </c>
      <c r="O247" s="14" t="s">
        <v>37</v>
      </c>
      <c r="P247" s="19">
        <v>42782.604861111111</v>
      </c>
      <c r="Q247" s="19">
        <v>42807.618055555555</v>
      </c>
      <c r="R247" s="19">
        <v>42807.618055555555</v>
      </c>
      <c r="S247" s="14" t="s">
        <v>203</v>
      </c>
      <c r="T247" s="14" t="s">
        <v>373</v>
      </c>
      <c r="U247" s="14" t="s">
        <v>840</v>
      </c>
      <c r="V247" s="14"/>
      <c r="W247" s="14">
        <v>0</v>
      </c>
      <c r="X247" s="14">
        <v>0</v>
      </c>
      <c r="Y247" s="20" t="s">
        <v>841</v>
      </c>
      <c r="Z247" s="14"/>
      <c r="AA247" s="14"/>
      <c r="AB247" s="14"/>
      <c r="AC247" s="14"/>
      <c r="AD247" s="14"/>
      <c r="AE247" s="14"/>
      <c r="AF247" s="14" t="s">
        <v>126</v>
      </c>
      <c r="AG247" s="14" t="s">
        <v>842</v>
      </c>
      <c r="AH247" s="14"/>
      <c r="AI247" s="14"/>
      <c r="AJ247" s="14"/>
      <c r="AK247" s="14"/>
      <c r="AL247" s="14"/>
      <c r="AM247" s="14"/>
      <c r="AN247" s="14" t="s">
        <v>834</v>
      </c>
      <c r="AO247" s="14" t="s">
        <v>843</v>
      </c>
      <c r="AP247" s="14"/>
      <c r="AQ247" s="14"/>
      <c r="AR247" s="22"/>
      <c r="AS247" s="22" t="s">
        <v>241</v>
      </c>
      <c r="AT247" s="22" t="s">
        <v>166</v>
      </c>
      <c r="AU247" s="25" t="str">
        <f>VLOOKUP(O247,[1]Lookup!A:B,2,FALSE)</f>
        <v>DMO</v>
      </c>
      <c r="AV247" s="25" t="e">
        <f>VLOOKUP(test1[[#This Row],[Assignee]],lookup[#All],2,FALSE)</f>
        <v>#N/A</v>
      </c>
      <c r="AW247" s="25">
        <f ca="1">IF(test1[[#This Row],[Status]]&lt;&gt;"Closed", TODAY()-INT(test1[[#This Row],[Created]]),INT(test1[[#This Row],[Resolved]])-INT(test1[[#This Row],[Created]]))</f>
        <v>46</v>
      </c>
    </row>
    <row r="248" spans="1:49" ht="114" x14ac:dyDescent="0.2">
      <c r="A248" s="48" t="s">
        <v>86</v>
      </c>
      <c r="B248" s="29" t="s">
        <v>374</v>
      </c>
      <c r="C248" s="27" t="s">
        <v>835</v>
      </c>
      <c r="D248" s="22" t="s">
        <v>89</v>
      </c>
      <c r="E248" s="22" t="s">
        <v>193</v>
      </c>
      <c r="F248" s="30" t="s">
        <v>516</v>
      </c>
      <c r="G248" s="26" t="s">
        <v>373</v>
      </c>
      <c r="H248" s="30" t="s">
        <v>104</v>
      </c>
      <c r="I248" s="30" t="s">
        <v>836</v>
      </c>
      <c r="J248" s="14" t="s">
        <v>91</v>
      </c>
      <c r="K248" s="14" t="s">
        <v>59</v>
      </c>
      <c r="L248" s="14" t="s">
        <v>103</v>
      </c>
      <c r="M248" s="14" t="s">
        <v>132</v>
      </c>
      <c r="N248" s="18" t="s">
        <v>202</v>
      </c>
      <c r="O248" s="14" t="s">
        <v>37</v>
      </c>
      <c r="P248" s="19">
        <v>42782.658333333333</v>
      </c>
      <c r="Q248" s="19">
        <v>42786.386111111111</v>
      </c>
      <c r="R248" s="19">
        <v>42786.386111111111</v>
      </c>
      <c r="S248" s="14" t="s">
        <v>203</v>
      </c>
      <c r="T248" s="14"/>
      <c r="U248" s="14" t="s">
        <v>96</v>
      </c>
      <c r="V248" s="14"/>
      <c r="W248" s="14">
        <v>0</v>
      </c>
      <c r="X248" s="14">
        <v>0</v>
      </c>
      <c r="Y248" s="14"/>
      <c r="Z248" s="14"/>
      <c r="AA248" s="14"/>
      <c r="AB248" s="14"/>
      <c r="AC248" s="14"/>
      <c r="AD248" s="14"/>
      <c r="AE248" s="14"/>
      <c r="AF248" s="14" t="s">
        <v>126</v>
      </c>
      <c r="AG248" s="14" t="s">
        <v>837</v>
      </c>
      <c r="AH248" s="14"/>
      <c r="AI248" s="14"/>
      <c r="AJ248" s="14"/>
      <c r="AK248" s="14"/>
      <c r="AL248" s="14"/>
      <c r="AM248" s="14"/>
      <c r="AN248" s="14"/>
      <c r="AO248" s="14" t="s">
        <v>624</v>
      </c>
      <c r="AP248" s="14" t="s">
        <v>779</v>
      </c>
      <c r="AQ248" s="14"/>
      <c r="AR248" s="22"/>
      <c r="AS248" s="22" t="s">
        <v>89</v>
      </c>
      <c r="AT248" s="22" t="s">
        <v>193</v>
      </c>
      <c r="AU248" s="25" t="str">
        <f>VLOOKUP(O248,[1]Lookup!A:B,2,FALSE)</f>
        <v>DMO</v>
      </c>
      <c r="AV248" s="25" t="e">
        <f>VLOOKUP(test1[[#This Row],[Assignee]],lookup[#All],2,FALSE)</f>
        <v>#N/A</v>
      </c>
      <c r="AW248" s="25">
        <f ca="1">IF(test1[[#This Row],[Status]]&lt;&gt;"Closed", TODAY()-INT(test1[[#This Row],[Created]]),INT(test1[[#This Row],[Resolved]])-INT(test1[[#This Row],[Created]]))</f>
        <v>46</v>
      </c>
    </row>
    <row r="249" spans="1:49" ht="409.5" x14ac:dyDescent="0.2">
      <c r="A249" s="48" t="s">
        <v>86</v>
      </c>
      <c r="B249" s="29" t="s">
        <v>829</v>
      </c>
      <c r="C249" s="27" t="s">
        <v>830</v>
      </c>
      <c r="D249" s="22" t="s">
        <v>89</v>
      </c>
      <c r="E249" s="22" t="s">
        <v>398</v>
      </c>
      <c r="F249" s="27"/>
      <c r="G249" s="27" t="s">
        <v>203</v>
      </c>
      <c r="H249" s="27"/>
      <c r="I249" s="27"/>
      <c r="J249" s="14" t="s">
        <v>91</v>
      </c>
      <c r="K249" s="14" t="s">
        <v>110</v>
      </c>
      <c r="L249" s="14" t="s">
        <v>103</v>
      </c>
      <c r="M249" s="17" t="s">
        <v>94</v>
      </c>
      <c r="N249" s="18" t="s">
        <v>111</v>
      </c>
      <c r="O249" s="14" t="s">
        <v>37</v>
      </c>
      <c r="P249" s="19">
        <v>42782.72152777778</v>
      </c>
      <c r="Q249" s="19">
        <v>42809.470833333333</v>
      </c>
      <c r="R249" s="14"/>
      <c r="S249" s="14" t="s">
        <v>203</v>
      </c>
      <c r="T249" s="14" t="s">
        <v>373</v>
      </c>
      <c r="U249" s="14" t="s">
        <v>241</v>
      </c>
      <c r="V249" s="14"/>
      <c r="W249" s="14">
        <v>0</v>
      </c>
      <c r="X249" s="14">
        <v>0</v>
      </c>
      <c r="Y249" s="14" t="s">
        <v>831</v>
      </c>
      <c r="Z249" s="14"/>
      <c r="AA249" s="14"/>
      <c r="AB249" s="14"/>
      <c r="AC249" s="14"/>
      <c r="AD249" s="14"/>
      <c r="AE249" s="14" t="s">
        <v>832</v>
      </c>
      <c r="AF249" s="14" t="s">
        <v>126</v>
      </c>
      <c r="AG249" s="14" t="s">
        <v>833</v>
      </c>
      <c r="AH249" s="14"/>
      <c r="AI249" s="14"/>
      <c r="AJ249" s="14"/>
      <c r="AK249" s="14"/>
      <c r="AL249" s="14"/>
      <c r="AM249" s="14"/>
      <c r="AN249" s="14" t="s">
        <v>834</v>
      </c>
      <c r="AO249" s="14"/>
      <c r="AP249" s="14"/>
      <c r="AQ249" s="14"/>
      <c r="AR249" s="22"/>
      <c r="AS249" s="22" t="s">
        <v>89</v>
      </c>
      <c r="AT249" s="22" t="s">
        <v>398</v>
      </c>
      <c r="AU249" s="25" t="str">
        <f>VLOOKUP(O249,[1]Lookup!A:B,2,FALSE)</f>
        <v>DMO</v>
      </c>
      <c r="AV249" s="25" t="e">
        <f>VLOOKUP(test1[[#This Row],[Assignee]],lookup[#All],2,FALSE)</f>
        <v>#N/A</v>
      </c>
      <c r="AW249" s="25">
        <f ca="1">IF(test1[[#This Row],[Status]]&lt;&gt;"Closed", TODAY()-INT(test1[[#This Row],[Created]]),INT(test1[[#This Row],[Resolved]])-INT(test1[[#This Row],[Created]]))</f>
        <v>46</v>
      </c>
    </row>
    <row r="250" spans="1:49" ht="370.5" x14ac:dyDescent="0.2">
      <c r="A250" s="48" t="s">
        <v>86</v>
      </c>
      <c r="B250" s="29" t="s">
        <v>825</v>
      </c>
      <c r="C250" s="27" t="s">
        <v>826</v>
      </c>
      <c r="D250" s="22" t="s">
        <v>229</v>
      </c>
      <c r="E250" s="22" t="s">
        <v>229</v>
      </c>
      <c r="F250" s="27"/>
      <c r="G250" s="27" t="s">
        <v>203</v>
      </c>
      <c r="H250" s="27"/>
      <c r="I250" s="27"/>
      <c r="J250" s="14" t="s">
        <v>91</v>
      </c>
      <c r="K250" s="14" t="s">
        <v>59</v>
      </c>
      <c r="L250" s="14" t="s">
        <v>103</v>
      </c>
      <c r="M250" s="14" t="s">
        <v>132</v>
      </c>
      <c r="N250" s="18" t="s">
        <v>8</v>
      </c>
      <c r="O250" s="14" t="s">
        <v>37</v>
      </c>
      <c r="P250" s="19">
        <v>42783.438888888886</v>
      </c>
      <c r="Q250" s="19">
        <v>42790.555555555555</v>
      </c>
      <c r="R250" s="19">
        <v>42790.555555555555</v>
      </c>
      <c r="S250" s="14" t="s">
        <v>203</v>
      </c>
      <c r="T250" s="14" t="s">
        <v>203</v>
      </c>
      <c r="U250" s="14" t="s">
        <v>242</v>
      </c>
      <c r="V250" s="14"/>
      <c r="W250" s="14">
        <v>0</v>
      </c>
      <c r="X250" s="14">
        <v>0</v>
      </c>
      <c r="Y250" s="14" t="s">
        <v>827</v>
      </c>
      <c r="Z250" s="14"/>
      <c r="AA250" s="14"/>
      <c r="AB250" s="14"/>
      <c r="AC250" s="14"/>
      <c r="AD250" s="14"/>
      <c r="AE250" s="14"/>
      <c r="AF250" s="14" t="s">
        <v>126</v>
      </c>
      <c r="AG250" s="14" t="s">
        <v>828</v>
      </c>
      <c r="AH250" s="14"/>
      <c r="AI250" s="14"/>
      <c r="AJ250" s="14"/>
      <c r="AK250" s="14"/>
      <c r="AL250" s="14"/>
      <c r="AM250" s="14"/>
      <c r="AN250" s="14" t="s">
        <v>123</v>
      </c>
      <c r="AO250" s="14" t="s">
        <v>704</v>
      </c>
      <c r="AP250" s="14" t="s">
        <v>556</v>
      </c>
      <c r="AQ250" s="14"/>
      <c r="AR250" s="22"/>
      <c r="AS250" s="22" t="s">
        <v>241</v>
      </c>
      <c r="AT250" s="22" t="s">
        <v>229</v>
      </c>
      <c r="AU250" s="25" t="str">
        <f>VLOOKUP(O250,[1]Lookup!A:B,2,FALSE)</f>
        <v>DMO</v>
      </c>
      <c r="AV250" s="25" t="str">
        <f>VLOOKUP(test1[[#This Row],[Assignee]],lookup[#All],2,FALSE)</f>
        <v>BTS-Dev</v>
      </c>
      <c r="AW250" s="25">
        <f ca="1">IF(test1[[#This Row],[Status]]&lt;&gt;"Closed", TODAY()-INT(test1[[#This Row],[Created]]),INT(test1[[#This Row],[Resolved]])-INT(test1[[#This Row],[Created]]))</f>
        <v>45</v>
      </c>
    </row>
    <row r="251" spans="1:49" ht="384.75" x14ac:dyDescent="0.2">
      <c r="A251" s="48" t="s">
        <v>86</v>
      </c>
      <c r="B251" s="29" t="s">
        <v>821</v>
      </c>
      <c r="C251" s="27" t="s">
        <v>822</v>
      </c>
      <c r="D251" s="22" t="s">
        <v>96</v>
      </c>
      <c r="E251" s="22" t="s">
        <v>166</v>
      </c>
      <c r="F251" s="27"/>
      <c r="G251" s="27"/>
      <c r="H251" s="27"/>
      <c r="I251" s="27"/>
      <c r="J251" s="14" t="s">
        <v>91</v>
      </c>
      <c r="K251" s="14" t="s">
        <v>59</v>
      </c>
      <c r="L251" s="14" t="s">
        <v>167</v>
      </c>
      <c r="M251" s="14" t="s">
        <v>132</v>
      </c>
      <c r="N251" s="18" t="s">
        <v>21</v>
      </c>
      <c r="O251" s="14" t="s">
        <v>38</v>
      </c>
      <c r="P251" s="19">
        <v>42783.444444444445</v>
      </c>
      <c r="Q251" s="19">
        <v>42787.492361111108</v>
      </c>
      <c r="R251" s="19">
        <v>42787.492361111108</v>
      </c>
      <c r="S251" s="14" t="s">
        <v>203</v>
      </c>
      <c r="T251" s="14" t="s">
        <v>203</v>
      </c>
      <c r="U251" s="14" t="s">
        <v>96</v>
      </c>
      <c r="V251" s="14"/>
      <c r="W251" s="14">
        <v>0</v>
      </c>
      <c r="X251" s="14">
        <v>0</v>
      </c>
      <c r="Y251" s="14"/>
      <c r="Z251" s="14"/>
      <c r="AA251" s="14"/>
      <c r="AB251" s="14"/>
      <c r="AC251" s="14"/>
      <c r="AD251" s="14"/>
      <c r="AE251" s="14"/>
      <c r="AF251" s="14" t="s">
        <v>823</v>
      </c>
      <c r="AG251" s="14" t="s">
        <v>824</v>
      </c>
      <c r="AH251" s="14"/>
      <c r="AI251" s="14"/>
      <c r="AJ251" s="14"/>
      <c r="AK251" s="14"/>
      <c r="AL251" s="14"/>
      <c r="AM251" s="14"/>
      <c r="AN251" s="14"/>
      <c r="AO251" s="14" t="s">
        <v>381</v>
      </c>
      <c r="AP251" s="14"/>
      <c r="AQ251" s="14"/>
      <c r="AR251" s="22"/>
      <c r="AS251" s="22" t="s">
        <v>96</v>
      </c>
      <c r="AT251" s="22" t="s">
        <v>166</v>
      </c>
      <c r="AU251" s="25" t="str">
        <f>VLOOKUP(O251,[1]Lookup!A:B,2,FALSE)</f>
        <v>DMO</v>
      </c>
      <c r="AV251" s="25" t="str">
        <f>VLOOKUP(test1[[#This Row],[Assignee]],lookup[#All],2,FALSE)</f>
        <v>Test-SIT</v>
      </c>
      <c r="AW251" s="25">
        <f ca="1">IF(test1[[#This Row],[Status]]&lt;&gt;"Closed", TODAY()-INT(test1[[#This Row],[Created]]),INT(test1[[#This Row],[Resolved]])-INT(test1[[#This Row],[Created]]))</f>
        <v>45</v>
      </c>
    </row>
    <row r="252" spans="1:49" ht="57" x14ac:dyDescent="0.2">
      <c r="A252" s="48" t="s">
        <v>86</v>
      </c>
      <c r="B252" s="29" t="s">
        <v>816</v>
      </c>
      <c r="C252" s="27" t="s">
        <v>817</v>
      </c>
      <c r="D252" s="22" t="s">
        <v>96</v>
      </c>
      <c r="E252" s="22" t="s">
        <v>166</v>
      </c>
      <c r="F252" s="27"/>
      <c r="G252" s="27"/>
      <c r="H252" s="27"/>
      <c r="I252" s="27"/>
      <c r="J252" s="14" t="s">
        <v>91</v>
      </c>
      <c r="K252" s="14" t="s">
        <v>59</v>
      </c>
      <c r="L252" s="14" t="s">
        <v>103</v>
      </c>
      <c r="M252" s="14" t="s">
        <v>132</v>
      </c>
      <c r="N252" s="18" t="s">
        <v>202</v>
      </c>
      <c r="O252" s="14" t="s">
        <v>36</v>
      </c>
      <c r="P252" s="19">
        <v>42783.656944444447</v>
      </c>
      <c r="Q252" s="19">
        <v>42787.492361111108</v>
      </c>
      <c r="R252" s="19">
        <v>42787.492361111108</v>
      </c>
      <c r="S252" s="14" t="s">
        <v>203</v>
      </c>
      <c r="T252" s="14"/>
      <c r="U252" s="14" t="s">
        <v>96</v>
      </c>
      <c r="V252" s="14"/>
      <c r="W252" s="14">
        <v>0</v>
      </c>
      <c r="X252" s="14">
        <v>0</v>
      </c>
      <c r="Y252" s="20" t="s">
        <v>818</v>
      </c>
      <c r="Z252" s="14"/>
      <c r="AA252" s="14"/>
      <c r="AB252" s="14"/>
      <c r="AC252" s="14"/>
      <c r="AD252" s="14"/>
      <c r="AE252" s="14"/>
      <c r="AF252" s="14" t="s">
        <v>126</v>
      </c>
      <c r="AG252" s="14" t="s">
        <v>819</v>
      </c>
      <c r="AH252" s="14"/>
      <c r="AI252" s="14"/>
      <c r="AJ252" s="14"/>
      <c r="AK252" s="14"/>
      <c r="AL252" s="14"/>
      <c r="AM252" s="14"/>
      <c r="AN252" s="14"/>
      <c r="AO252" s="14" t="s">
        <v>820</v>
      </c>
      <c r="AP252" s="14"/>
      <c r="AQ252" s="14"/>
      <c r="AR252" s="22"/>
      <c r="AS252" s="22" t="s">
        <v>96</v>
      </c>
      <c r="AT252" s="22" t="s">
        <v>166</v>
      </c>
      <c r="AU252" s="25" t="str">
        <f>VLOOKUP(O252,[1]Lookup!A:B,2,FALSE)</f>
        <v>DMO</v>
      </c>
      <c r="AV252" s="25" t="e">
        <f>VLOOKUP(test1[[#This Row],[Assignee]],lookup[#All],2,FALSE)</f>
        <v>#N/A</v>
      </c>
      <c r="AW252" s="25">
        <f ca="1">IF(test1[[#This Row],[Status]]&lt;&gt;"Closed", TODAY()-INT(test1[[#This Row],[Created]]),INT(test1[[#This Row],[Resolved]])-INT(test1[[#This Row],[Created]]))</f>
        <v>45</v>
      </c>
    </row>
    <row r="253" spans="1:49" ht="409.5" x14ac:dyDescent="0.2">
      <c r="A253" s="48" t="s">
        <v>86</v>
      </c>
      <c r="B253" s="29" t="s">
        <v>811</v>
      </c>
      <c r="C253" s="27" t="s">
        <v>812</v>
      </c>
      <c r="D253" s="22" t="s">
        <v>241</v>
      </c>
      <c r="E253" s="22" t="s">
        <v>123</v>
      </c>
      <c r="F253" s="27"/>
      <c r="G253" s="27" t="s">
        <v>203</v>
      </c>
      <c r="H253" s="27"/>
      <c r="I253" s="27"/>
      <c r="J253" s="14" t="s">
        <v>91</v>
      </c>
      <c r="K253" s="14" t="s">
        <v>59</v>
      </c>
      <c r="L253" s="14" t="s">
        <v>124</v>
      </c>
      <c r="M253" s="14" t="s">
        <v>132</v>
      </c>
      <c r="N253" s="18" t="s">
        <v>19</v>
      </c>
      <c r="O253" s="14" t="s">
        <v>19</v>
      </c>
      <c r="P253" s="19">
        <v>42783.738888888889</v>
      </c>
      <c r="Q253" s="19">
        <v>42787.865277777775</v>
      </c>
      <c r="R253" s="19">
        <v>42787.865277777775</v>
      </c>
      <c r="S253" s="14" t="s">
        <v>510</v>
      </c>
      <c r="T253" s="14"/>
      <c r="U253" s="14" t="s">
        <v>96</v>
      </c>
      <c r="V253" s="14"/>
      <c r="W253" s="14">
        <v>0</v>
      </c>
      <c r="X253" s="14">
        <v>0</v>
      </c>
      <c r="Y253" s="20" t="s">
        <v>813</v>
      </c>
      <c r="Z253" s="14"/>
      <c r="AA253" s="14"/>
      <c r="AB253" s="14"/>
      <c r="AC253" s="14"/>
      <c r="AD253" s="14"/>
      <c r="AE253" s="14"/>
      <c r="AF253" s="14" t="s">
        <v>529</v>
      </c>
      <c r="AG253" s="14" t="s">
        <v>814</v>
      </c>
      <c r="AH253" s="14"/>
      <c r="AI253" s="14"/>
      <c r="AJ253" s="14"/>
      <c r="AK253" s="14"/>
      <c r="AL253" s="14"/>
      <c r="AM253" s="14"/>
      <c r="AN253" s="14"/>
      <c r="AO253" s="14" t="s">
        <v>815</v>
      </c>
      <c r="AP253" s="14"/>
      <c r="AQ253" s="14"/>
      <c r="AR253" s="22"/>
      <c r="AS253" s="22" t="s">
        <v>241</v>
      </c>
      <c r="AT253" s="22" t="s">
        <v>123</v>
      </c>
      <c r="AU253" s="25" t="str">
        <f>VLOOKUP(O253,[1]Lookup!A:B,2,FALSE)</f>
        <v>Test-SIT</v>
      </c>
      <c r="AV253" s="25" t="str">
        <f>VLOOKUP(test1[[#This Row],[Assignee]],lookup[#All],2,FALSE)</f>
        <v>Test-SIT</v>
      </c>
      <c r="AW253" s="25">
        <f ca="1">IF(test1[[#This Row],[Status]]&lt;&gt;"Closed", TODAY()-INT(test1[[#This Row],[Created]]),INT(test1[[#This Row],[Resolved]])-INT(test1[[#This Row],[Created]]))</f>
        <v>45</v>
      </c>
    </row>
    <row r="254" spans="1:49" ht="409.5" x14ac:dyDescent="0.2">
      <c r="A254" s="48" t="s">
        <v>86</v>
      </c>
      <c r="B254" s="29" t="s">
        <v>805</v>
      </c>
      <c r="C254" s="26" t="s">
        <v>806</v>
      </c>
      <c r="D254" s="22" t="s">
        <v>89</v>
      </c>
      <c r="E254" s="22" t="s">
        <v>807</v>
      </c>
      <c r="F254" s="26" t="s">
        <v>808</v>
      </c>
      <c r="G254" s="26" t="s">
        <v>373</v>
      </c>
      <c r="H254" s="26" t="s">
        <v>526</v>
      </c>
      <c r="I254" s="26" t="s">
        <v>527</v>
      </c>
      <c r="J254" s="14" t="s">
        <v>91</v>
      </c>
      <c r="K254" s="14" t="s">
        <v>59</v>
      </c>
      <c r="L254" s="14" t="s">
        <v>167</v>
      </c>
      <c r="M254" s="14" t="s">
        <v>132</v>
      </c>
      <c r="N254" s="18" t="s">
        <v>202</v>
      </c>
      <c r="O254" s="14" t="s">
        <v>37</v>
      </c>
      <c r="P254" s="19">
        <v>42783.745833333334</v>
      </c>
      <c r="Q254" s="19">
        <v>42790.5625</v>
      </c>
      <c r="R254" s="19">
        <v>42790.5625</v>
      </c>
      <c r="S254" s="14" t="s">
        <v>203</v>
      </c>
      <c r="T254" s="14" t="s">
        <v>203</v>
      </c>
      <c r="U254" s="14" t="s">
        <v>242</v>
      </c>
      <c r="V254" s="14"/>
      <c r="W254" s="14">
        <v>0</v>
      </c>
      <c r="X254" s="14">
        <v>0</v>
      </c>
      <c r="Y254" s="14" t="s">
        <v>809</v>
      </c>
      <c r="Z254" s="14"/>
      <c r="AA254" s="14"/>
      <c r="AB254" s="14"/>
      <c r="AC254" s="14"/>
      <c r="AD254" s="14"/>
      <c r="AE254" s="14"/>
      <c r="AF254" s="14" t="s">
        <v>126</v>
      </c>
      <c r="AG254" s="14" t="s">
        <v>810</v>
      </c>
      <c r="AH254" s="14"/>
      <c r="AI254" s="14"/>
      <c r="AJ254" s="14"/>
      <c r="AK254" s="14"/>
      <c r="AL254" s="14"/>
      <c r="AM254" s="14"/>
      <c r="AN254" s="14" t="s">
        <v>123</v>
      </c>
      <c r="AO254" s="14" t="s">
        <v>704</v>
      </c>
      <c r="AP254" s="14" t="s">
        <v>556</v>
      </c>
      <c r="AQ254" s="14"/>
      <c r="AR254" s="22"/>
      <c r="AS254" s="22" t="s">
        <v>89</v>
      </c>
      <c r="AT254" s="22" t="s">
        <v>99</v>
      </c>
      <c r="AU254" s="25" t="str">
        <f>VLOOKUP(O254,[1]Lookup!A:B,2,FALSE)</f>
        <v>DMO</v>
      </c>
      <c r="AV254" s="25" t="e">
        <f>VLOOKUP(test1[[#This Row],[Assignee]],lookup[#All],2,FALSE)</f>
        <v>#N/A</v>
      </c>
      <c r="AW254" s="25">
        <f ca="1">IF(test1[[#This Row],[Status]]&lt;&gt;"Closed", TODAY()-INT(test1[[#This Row],[Created]]),INT(test1[[#This Row],[Resolved]])-INT(test1[[#This Row],[Created]]))</f>
        <v>45</v>
      </c>
    </row>
    <row r="255" spans="1:49" ht="256.5" x14ac:dyDescent="0.2">
      <c r="A255" s="48" t="s">
        <v>86</v>
      </c>
      <c r="B255" s="29" t="s">
        <v>801</v>
      </c>
      <c r="C255" s="27" t="s">
        <v>802</v>
      </c>
      <c r="D255" s="22" t="s">
        <v>241</v>
      </c>
      <c r="E255" s="22" t="s">
        <v>166</v>
      </c>
      <c r="F255" s="27"/>
      <c r="G255" s="27" t="s">
        <v>203</v>
      </c>
      <c r="H255" s="27"/>
      <c r="I255" s="27"/>
      <c r="J255" s="14" t="s">
        <v>91</v>
      </c>
      <c r="K255" s="14" t="s">
        <v>59</v>
      </c>
      <c r="L255" s="14" t="s">
        <v>93</v>
      </c>
      <c r="M255" s="14" t="s">
        <v>132</v>
      </c>
      <c r="N255" s="18" t="s">
        <v>19</v>
      </c>
      <c r="O255" s="14" t="s">
        <v>19</v>
      </c>
      <c r="P255" s="19">
        <v>42783.759722222225</v>
      </c>
      <c r="Q255" s="19">
        <v>42802.701388888891</v>
      </c>
      <c r="R255" s="19">
        <v>42802.701388888891</v>
      </c>
      <c r="S255" s="14" t="s">
        <v>642</v>
      </c>
      <c r="T255" s="14" t="s">
        <v>155</v>
      </c>
      <c r="U255" s="14" t="s">
        <v>412</v>
      </c>
      <c r="V255" s="14"/>
      <c r="W255" s="14">
        <v>0</v>
      </c>
      <c r="X255" s="14">
        <v>0</v>
      </c>
      <c r="Y255" s="14"/>
      <c r="Z255" s="14"/>
      <c r="AA255" s="14"/>
      <c r="AB255" s="14"/>
      <c r="AC255" s="14"/>
      <c r="AD255" s="14"/>
      <c r="AE255" s="14"/>
      <c r="AF255" s="14" t="s">
        <v>529</v>
      </c>
      <c r="AG255" s="14" t="s">
        <v>803</v>
      </c>
      <c r="AH255" s="14"/>
      <c r="AI255" s="14"/>
      <c r="AJ255" s="14"/>
      <c r="AK255" s="14"/>
      <c r="AL255" s="14"/>
      <c r="AM255" s="14"/>
      <c r="AN255" s="14" t="s">
        <v>99</v>
      </c>
      <c r="AO255" s="14" t="s">
        <v>804</v>
      </c>
      <c r="AP255" s="14"/>
      <c r="AQ255" s="14"/>
      <c r="AR255" s="22"/>
      <c r="AS255" s="22" t="s">
        <v>241</v>
      </c>
      <c r="AT255" s="22" t="s">
        <v>166</v>
      </c>
      <c r="AU255" s="25" t="str">
        <f>VLOOKUP(O255,[1]Lookup!A:B,2,FALSE)</f>
        <v>Test-SIT</v>
      </c>
      <c r="AV255" s="25" t="str">
        <f>VLOOKUP(test1[[#This Row],[Assignee]],lookup[#All],2,FALSE)</f>
        <v>Test-SIT</v>
      </c>
      <c r="AW255" s="25">
        <f ca="1">IF(test1[[#This Row],[Status]]&lt;&gt;"Closed", TODAY()-INT(test1[[#This Row],[Created]]),INT(test1[[#This Row],[Resolved]])-INT(test1[[#This Row],[Created]]))</f>
        <v>45</v>
      </c>
    </row>
    <row r="256" spans="1:49" ht="384.75" x14ac:dyDescent="0.2">
      <c r="A256" s="48" t="s">
        <v>86</v>
      </c>
      <c r="B256" s="29" t="s">
        <v>797</v>
      </c>
      <c r="C256" s="27" t="s">
        <v>798</v>
      </c>
      <c r="D256" s="22" t="s">
        <v>117</v>
      </c>
      <c r="E256" s="22" t="s">
        <v>229</v>
      </c>
      <c r="F256" s="27"/>
      <c r="G256" s="27" t="s">
        <v>660</v>
      </c>
      <c r="H256" s="27"/>
      <c r="I256" s="27"/>
      <c r="J256" s="14" t="s">
        <v>91</v>
      </c>
      <c r="K256" s="14" t="s">
        <v>59</v>
      </c>
      <c r="L256" s="14" t="s">
        <v>103</v>
      </c>
      <c r="M256" s="14" t="s">
        <v>132</v>
      </c>
      <c r="N256" s="18" t="s">
        <v>202</v>
      </c>
      <c r="O256" s="14" t="s">
        <v>37</v>
      </c>
      <c r="P256" s="19">
        <v>42783.761111111111</v>
      </c>
      <c r="Q256" s="19">
        <v>42790.583333333336</v>
      </c>
      <c r="R256" s="19">
        <v>42790.583333333336</v>
      </c>
      <c r="S256" s="14" t="s">
        <v>203</v>
      </c>
      <c r="T256" s="14" t="s">
        <v>203</v>
      </c>
      <c r="U256" s="14" t="s">
        <v>242</v>
      </c>
      <c r="V256" s="14"/>
      <c r="W256" s="14">
        <v>0</v>
      </c>
      <c r="X256" s="14">
        <v>0</v>
      </c>
      <c r="Y256" s="14"/>
      <c r="Z256" s="14"/>
      <c r="AA256" s="14"/>
      <c r="AB256" s="14"/>
      <c r="AC256" s="14"/>
      <c r="AD256" s="14"/>
      <c r="AE256" s="14"/>
      <c r="AF256" s="14" t="s">
        <v>126</v>
      </c>
      <c r="AG256" s="14" t="s">
        <v>799</v>
      </c>
      <c r="AH256" s="14"/>
      <c r="AI256" s="14"/>
      <c r="AJ256" s="14"/>
      <c r="AK256" s="14"/>
      <c r="AL256" s="14"/>
      <c r="AM256" s="14"/>
      <c r="AN256" s="14" t="s">
        <v>302</v>
      </c>
      <c r="AO256" s="14" t="s">
        <v>800</v>
      </c>
      <c r="AP256" s="14" t="s">
        <v>163</v>
      </c>
      <c r="AQ256" s="14"/>
      <c r="AR256" s="22"/>
      <c r="AS256" s="22" t="s">
        <v>117</v>
      </c>
      <c r="AT256" s="22" t="s">
        <v>229</v>
      </c>
      <c r="AU256" s="25" t="str">
        <f>VLOOKUP(O256,[1]Lookup!A:B,2,FALSE)</f>
        <v>DMO</v>
      </c>
      <c r="AV256" s="25" t="e">
        <f>VLOOKUP(test1[[#This Row],[Assignee]],lookup[#All],2,FALSE)</f>
        <v>#N/A</v>
      </c>
      <c r="AW256" s="25">
        <f ca="1">IF(test1[[#This Row],[Status]]&lt;&gt;"Closed", TODAY()-INT(test1[[#This Row],[Created]]),INT(test1[[#This Row],[Resolved]])-INT(test1[[#This Row],[Created]]))</f>
        <v>45</v>
      </c>
    </row>
    <row r="257" spans="1:49" ht="409.5" x14ac:dyDescent="0.2">
      <c r="A257" s="48" t="s">
        <v>86</v>
      </c>
      <c r="B257" s="29" t="s">
        <v>794</v>
      </c>
      <c r="C257" s="27" t="s">
        <v>795</v>
      </c>
      <c r="D257" s="22" t="s">
        <v>89</v>
      </c>
      <c r="E257" s="22" t="s">
        <v>398</v>
      </c>
      <c r="F257" s="37" t="s">
        <v>608</v>
      </c>
      <c r="G257" s="38" t="s">
        <v>510</v>
      </c>
      <c r="H257" s="38"/>
      <c r="I257" s="37" t="s">
        <v>609</v>
      </c>
      <c r="J257" s="14" t="s">
        <v>91</v>
      </c>
      <c r="K257" s="14" t="s">
        <v>59</v>
      </c>
      <c r="L257" s="14" t="s">
        <v>167</v>
      </c>
      <c r="M257" s="14" t="s">
        <v>132</v>
      </c>
      <c r="N257" s="18" t="s">
        <v>23</v>
      </c>
      <c r="O257" s="14" t="s">
        <v>23</v>
      </c>
      <c r="P257" s="19">
        <v>42783.841666666667</v>
      </c>
      <c r="Q257" s="19">
        <v>42800.611111111109</v>
      </c>
      <c r="R257" s="19">
        <v>42791.625</v>
      </c>
      <c r="S257" s="14" t="s">
        <v>518</v>
      </c>
      <c r="T257" s="14" t="s">
        <v>204</v>
      </c>
      <c r="U257" s="14" t="s">
        <v>117</v>
      </c>
      <c r="V257" s="14"/>
      <c r="W257" s="14">
        <v>0</v>
      </c>
      <c r="X257" s="14">
        <v>0</v>
      </c>
      <c r="Y257" s="14"/>
      <c r="Z257" s="14"/>
      <c r="AA257" s="14"/>
      <c r="AB257" s="14"/>
      <c r="AC257" s="14"/>
      <c r="AD257" s="14"/>
      <c r="AE257" s="14"/>
      <c r="AF257" s="14"/>
      <c r="AG257" s="14" t="s">
        <v>796</v>
      </c>
      <c r="AH257" s="14"/>
      <c r="AI257" s="14"/>
      <c r="AJ257" s="14"/>
      <c r="AK257" s="14"/>
      <c r="AL257" s="14"/>
      <c r="AM257" s="14"/>
      <c r="AN257" s="14" t="s">
        <v>408</v>
      </c>
      <c r="AO257" s="14"/>
      <c r="AP257" s="14"/>
      <c r="AQ257" s="14"/>
      <c r="AR257" s="22"/>
      <c r="AS257" s="22" t="s">
        <v>89</v>
      </c>
      <c r="AT257" s="22" t="s">
        <v>398</v>
      </c>
      <c r="AU257" s="25" t="str">
        <f>VLOOKUP(O257,[1]Lookup!A:B,2,FALSE)</f>
        <v>Test-SIT</v>
      </c>
      <c r="AV257" s="25" t="str">
        <f>VLOOKUP(test1[[#This Row],[Assignee]],lookup[#All],2,FALSE)</f>
        <v>Test-SIT</v>
      </c>
      <c r="AW257" s="25">
        <f ca="1">IF(test1[[#This Row],[Status]]&lt;&gt;"Closed", TODAY()-INT(test1[[#This Row],[Created]]),INT(test1[[#This Row],[Resolved]])-INT(test1[[#This Row],[Created]]))</f>
        <v>45</v>
      </c>
    </row>
    <row r="258" spans="1:49" ht="409.5" x14ac:dyDescent="0.2">
      <c r="A258" s="48" t="s">
        <v>86</v>
      </c>
      <c r="B258" s="29" t="s">
        <v>790</v>
      </c>
      <c r="C258" s="27" t="s">
        <v>791</v>
      </c>
      <c r="D258" s="22" t="s">
        <v>241</v>
      </c>
      <c r="E258" s="22" t="s">
        <v>792</v>
      </c>
      <c r="F258" s="27"/>
      <c r="G258" s="27" t="s">
        <v>203</v>
      </c>
      <c r="H258" s="27"/>
      <c r="I258" s="27"/>
      <c r="J258" s="14" t="s">
        <v>91</v>
      </c>
      <c r="K258" s="14" t="s">
        <v>59</v>
      </c>
      <c r="L258" s="14" t="s">
        <v>93</v>
      </c>
      <c r="M258" s="14" t="s">
        <v>132</v>
      </c>
      <c r="N258" s="18" t="s">
        <v>30</v>
      </c>
      <c r="O258" s="14" t="s">
        <v>19</v>
      </c>
      <c r="P258" s="19">
        <v>42786.414583333331</v>
      </c>
      <c r="Q258" s="19">
        <v>42794.543749999997</v>
      </c>
      <c r="R258" s="19">
        <v>42794.543749999997</v>
      </c>
      <c r="S258" s="14" t="s">
        <v>510</v>
      </c>
      <c r="T258" s="14" t="s">
        <v>510</v>
      </c>
      <c r="U258" s="14" t="s">
        <v>412</v>
      </c>
      <c r="V258" s="14"/>
      <c r="W258" s="14">
        <v>0</v>
      </c>
      <c r="X258" s="14">
        <v>0</v>
      </c>
      <c r="Y258" s="14"/>
      <c r="Z258" s="14"/>
      <c r="AA258" s="14"/>
      <c r="AB258" s="14"/>
      <c r="AC258" s="14"/>
      <c r="AD258" s="14"/>
      <c r="AE258" s="14"/>
      <c r="AF258" s="14" t="s">
        <v>529</v>
      </c>
      <c r="AG258" s="14" t="s">
        <v>793</v>
      </c>
      <c r="AH258" s="14"/>
      <c r="AI258" s="14"/>
      <c r="AJ258" s="14"/>
      <c r="AK258" s="14"/>
      <c r="AL258" s="14"/>
      <c r="AM258" s="14"/>
      <c r="AN258" s="14" t="s">
        <v>99</v>
      </c>
      <c r="AO258" s="14" t="s">
        <v>605</v>
      </c>
      <c r="AP258" s="14"/>
      <c r="AQ258" s="14"/>
      <c r="AR258" s="22"/>
      <c r="AS258" s="22" t="s">
        <v>241</v>
      </c>
      <c r="AT258" s="22" t="s">
        <v>792</v>
      </c>
      <c r="AU258" s="25" t="str">
        <f>VLOOKUP(O258,[1]Lookup!A:B,2,FALSE)</f>
        <v>Test-SIT</v>
      </c>
      <c r="AV258" s="25" t="str">
        <f>VLOOKUP(test1[[#This Row],[Assignee]],lookup[#All],2,FALSE)</f>
        <v>Test-SIT</v>
      </c>
      <c r="AW258" s="25">
        <f ca="1">IF(test1[[#This Row],[Status]]&lt;&gt;"Closed", TODAY()-INT(test1[[#This Row],[Created]]),INT(test1[[#This Row],[Resolved]])-INT(test1[[#This Row],[Created]]))</f>
        <v>42</v>
      </c>
    </row>
    <row r="259" spans="1:49" ht="409.5" x14ac:dyDescent="0.2">
      <c r="A259" s="48" t="s">
        <v>86</v>
      </c>
      <c r="B259" s="29" t="s">
        <v>784</v>
      </c>
      <c r="C259" s="27" t="s">
        <v>785</v>
      </c>
      <c r="D259" s="22" t="s">
        <v>89</v>
      </c>
      <c r="E259" s="22" t="s">
        <v>398</v>
      </c>
      <c r="F259" s="27"/>
      <c r="G259" s="27" t="s">
        <v>659</v>
      </c>
      <c r="H259" s="27"/>
      <c r="I259" s="27"/>
      <c r="J259" s="14" t="s">
        <v>91</v>
      </c>
      <c r="K259" s="14" t="s">
        <v>59</v>
      </c>
      <c r="L259" s="14" t="s">
        <v>103</v>
      </c>
      <c r="M259" s="14" t="s">
        <v>132</v>
      </c>
      <c r="N259" s="18" t="s">
        <v>202</v>
      </c>
      <c r="O259" s="14" t="s">
        <v>37</v>
      </c>
      <c r="P259" s="19">
        <v>42786.456250000003</v>
      </c>
      <c r="Q259" s="19">
        <v>42790.675694444442</v>
      </c>
      <c r="R259" s="19">
        <v>42790.675694444442</v>
      </c>
      <c r="S259" s="14" t="s">
        <v>203</v>
      </c>
      <c r="T259" s="14" t="s">
        <v>203</v>
      </c>
      <c r="U259" s="14" t="s">
        <v>242</v>
      </c>
      <c r="V259" s="14"/>
      <c r="W259" s="14">
        <v>0</v>
      </c>
      <c r="X259" s="14">
        <v>0</v>
      </c>
      <c r="Y259" s="14" t="s">
        <v>786</v>
      </c>
      <c r="Z259" s="14"/>
      <c r="AA259" s="14"/>
      <c r="AB259" s="14"/>
      <c r="AC259" s="14"/>
      <c r="AD259" s="14"/>
      <c r="AE259" s="14"/>
      <c r="AF259" s="14" t="s">
        <v>126</v>
      </c>
      <c r="AG259" s="14" t="s">
        <v>787</v>
      </c>
      <c r="AH259" s="14"/>
      <c r="AI259" s="14"/>
      <c r="AJ259" s="14"/>
      <c r="AK259" s="14"/>
      <c r="AL259" s="14"/>
      <c r="AM259" s="14"/>
      <c r="AN259" s="14" t="s">
        <v>788</v>
      </c>
      <c r="AO259" s="14" t="s">
        <v>789</v>
      </c>
      <c r="AP259" s="14"/>
      <c r="AQ259" s="14"/>
      <c r="AR259" s="22"/>
      <c r="AS259" s="22" t="s">
        <v>89</v>
      </c>
      <c r="AT259" s="69" t="s">
        <v>398</v>
      </c>
      <c r="AU259" s="25" t="str">
        <f>VLOOKUP(O259,[1]Lookup!A:B,2,FALSE)</f>
        <v>DMO</v>
      </c>
      <c r="AV259" s="25" t="e">
        <f>VLOOKUP(test1[[#This Row],[Assignee]],lookup[#All],2,FALSE)</f>
        <v>#N/A</v>
      </c>
      <c r="AW259" s="25">
        <f ca="1">IF(test1[[#This Row],[Status]]&lt;&gt;"Closed", TODAY()-INT(test1[[#This Row],[Created]]),INT(test1[[#This Row],[Resolved]])-INT(test1[[#This Row],[Created]]))</f>
        <v>42</v>
      </c>
    </row>
    <row r="260" spans="1:49" ht="409.5" x14ac:dyDescent="0.2">
      <c r="A260" s="48" t="s">
        <v>86</v>
      </c>
      <c r="B260" s="29" t="s">
        <v>780</v>
      </c>
      <c r="C260" s="27" t="s">
        <v>781</v>
      </c>
      <c r="D260" s="22" t="s">
        <v>89</v>
      </c>
      <c r="E260" s="22" t="s">
        <v>398</v>
      </c>
      <c r="F260" s="27"/>
      <c r="G260" s="27" t="s">
        <v>203</v>
      </c>
      <c r="H260" s="27"/>
      <c r="I260" s="27"/>
      <c r="J260" s="14" t="s">
        <v>91</v>
      </c>
      <c r="K260" s="14" t="s">
        <v>59</v>
      </c>
      <c r="L260" s="14" t="s">
        <v>93</v>
      </c>
      <c r="M260" s="14" t="s">
        <v>132</v>
      </c>
      <c r="N260" s="18" t="s">
        <v>19</v>
      </c>
      <c r="O260" s="14" t="s">
        <v>19</v>
      </c>
      <c r="P260" s="19">
        <v>42786.490277777775</v>
      </c>
      <c r="Q260" s="19">
        <v>42787.866666666669</v>
      </c>
      <c r="R260" s="19">
        <v>42787.866666666669</v>
      </c>
      <c r="S260" s="14" t="s">
        <v>510</v>
      </c>
      <c r="T260" s="14" t="s">
        <v>659</v>
      </c>
      <c r="U260" s="14" t="s">
        <v>96</v>
      </c>
      <c r="V260" s="14"/>
      <c r="W260" s="14">
        <v>0</v>
      </c>
      <c r="X260" s="14">
        <v>0</v>
      </c>
      <c r="Y260" s="14"/>
      <c r="Z260" s="14"/>
      <c r="AA260" s="14"/>
      <c r="AB260" s="14"/>
      <c r="AC260" s="14"/>
      <c r="AD260" s="14"/>
      <c r="AE260" s="14"/>
      <c r="AF260" s="14" t="s">
        <v>529</v>
      </c>
      <c r="AG260" s="14" t="s">
        <v>782</v>
      </c>
      <c r="AH260" s="14"/>
      <c r="AI260" s="14"/>
      <c r="AJ260" s="14"/>
      <c r="AK260" s="14"/>
      <c r="AL260" s="14"/>
      <c r="AM260" s="14"/>
      <c r="AN260" s="14" t="s">
        <v>99</v>
      </c>
      <c r="AO260" s="14" t="s">
        <v>783</v>
      </c>
      <c r="AP260" s="14"/>
      <c r="AQ260" s="14"/>
      <c r="AR260" s="22"/>
      <c r="AS260" s="22" t="s">
        <v>89</v>
      </c>
      <c r="AT260" s="69" t="s">
        <v>398</v>
      </c>
      <c r="AU260" s="25" t="str">
        <f>VLOOKUP(O260,[1]Lookup!A:B,2,FALSE)</f>
        <v>Test-SIT</v>
      </c>
      <c r="AV260" s="25" t="str">
        <f>VLOOKUP(test1[[#This Row],[Assignee]],lookup[#All],2,FALSE)</f>
        <v>Test-SIT</v>
      </c>
      <c r="AW260" s="25">
        <f ca="1">IF(test1[[#This Row],[Status]]&lt;&gt;"Closed", TODAY()-INT(test1[[#This Row],[Created]]),INT(test1[[#This Row],[Resolved]])-INT(test1[[#This Row],[Created]]))</f>
        <v>42</v>
      </c>
    </row>
    <row r="261" spans="1:49" ht="171" x14ac:dyDescent="0.2">
      <c r="A261" s="48" t="s">
        <v>86</v>
      </c>
      <c r="B261" s="29" t="s">
        <v>774</v>
      </c>
      <c r="C261" s="27" t="s">
        <v>775</v>
      </c>
      <c r="D261" s="22" t="s">
        <v>89</v>
      </c>
      <c r="E261" s="22" t="s">
        <v>229</v>
      </c>
      <c r="F261" s="27"/>
      <c r="G261" s="27" t="s">
        <v>204</v>
      </c>
      <c r="H261" s="27"/>
      <c r="I261" s="27"/>
      <c r="J261" s="14" t="s">
        <v>91</v>
      </c>
      <c r="K261" s="14" t="s">
        <v>59</v>
      </c>
      <c r="L261" s="14" t="s">
        <v>103</v>
      </c>
      <c r="M261" s="14" t="s">
        <v>132</v>
      </c>
      <c r="N261" s="18" t="s">
        <v>202</v>
      </c>
      <c r="O261" s="14" t="s">
        <v>37</v>
      </c>
      <c r="P261" s="19">
        <v>42786.497916666667</v>
      </c>
      <c r="Q261" s="19">
        <v>42790.470138888886</v>
      </c>
      <c r="R261" s="19">
        <v>42790.470138888886</v>
      </c>
      <c r="S261" s="14" t="s">
        <v>203</v>
      </c>
      <c r="T261" s="14" t="s">
        <v>203</v>
      </c>
      <c r="U261" s="14" t="s">
        <v>242</v>
      </c>
      <c r="V261" s="14"/>
      <c r="W261" s="14">
        <v>0</v>
      </c>
      <c r="X261" s="14">
        <v>0</v>
      </c>
      <c r="Y261" s="14" t="s">
        <v>776</v>
      </c>
      <c r="Z261" s="14"/>
      <c r="AA261" s="14"/>
      <c r="AB261" s="14"/>
      <c r="AC261" s="14"/>
      <c r="AD261" s="14"/>
      <c r="AE261" s="14"/>
      <c r="AF261" s="14" t="s">
        <v>126</v>
      </c>
      <c r="AG261" s="14" t="s">
        <v>777</v>
      </c>
      <c r="AH261" s="14"/>
      <c r="AI261" s="14"/>
      <c r="AJ261" s="14"/>
      <c r="AK261" s="14"/>
      <c r="AL261" s="14"/>
      <c r="AM261" s="14"/>
      <c r="AN261" s="14" t="s">
        <v>302</v>
      </c>
      <c r="AO261" s="14" t="s">
        <v>778</v>
      </c>
      <c r="AP261" s="14" t="s">
        <v>779</v>
      </c>
      <c r="AQ261" s="14"/>
      <c r="AR261" s="22"/>
      <c r="AS261" s="22" t="s">
        <v>89</v>
      </c>
      <c r="AT261" s="22" t="s">
        <v>229</v>
      </c>
      <c r="AU261" s="25" t="str">
        <f>VLOOKUP(O261,[1]Lookup!A:B,2,FALSE)</f>
        <v>DMO</v>
      </c>
      <c r="AV261" s="25" t="e">
        <f>VLOOKUP(test1[[#This Row],[Assignee]],lookup[#All],2,FALSE)</f>
        <v>#N/A</v>
      </c>
      <c r="AW261" s="25">
        <f ca="1">IF(test1[[#This Row],[Status]]&lt;&gt;"Closed", TODAY()-INT(test1[[#This Row],[Created]]),INT(test1[[#This Row],[Resolved]])-INT(test1[[#This Row],[Created]]))</f>
        <v>42</v>
      </c>
    </row>
    <row r="262" spans="1:49" ht="71.25" x14ac:dyDescent="0.2">
      <c r="A262" s="48" t="s">
        <v>86</v>
      </c>
      <c r="B262" s="29" t="s">
        <v>768</v>
      </c>
      <c r="C262" s="27" t="s">
        <v>769</v>
      </c>
      <c r="D262" s="22" t="s">
        <v>117</v>
      </c>
      <c r="E262" s="22" t="s">
        <v>770</v>
      </c>
      <c r="F262" s="27"/>
      <c r="G262" s="27" t="s">
        <v>660</v>
      </c>
      <c r="H262" s="27"/>
      <c r="I262" s="27"/>
      <c r="J262" s="14" t="s">
        <v>91</v>
      </c>
      <c r="K262" s="14" t="s">
        <v>59</v>
      </c>
      <c r="L262" s="14" t="s">
        <v>124</v>
      </c>
      <c r="M262" s="14" t="s">
        <v>132</v>
      </c>
      <c r="N262" s="18" t="s">
        <v>30</v>
      </c>
      <c r="O262" s="14" t="s">
        <v>19</v>
      </c>
      <c r="P262" s="19">
        <v>42786.505555555559</v>
      </c>
      <c r="Q262" s="19">
        <v>42788.518750000003</v>
      </c>
      <c r="R262" s="19">
        <v>42788.518750000003</v>
      </c>
      <c r="S262" s="14" t="s">
        <v>510</v>
      </c>
      <c r="T262" s="14" t="s">
        <v>204</v>
      </c>
      <c r="U262" s="14" t="s">
        <v>412</v>
      </c>
      <c r="V262" s="14"/>
      <c r="W262" s="14">
        <v>0</v>
      </c>
      <c r="X262" s="14">
        <v>0</v>
      </c>
      <c r="Y262" s="20" t="s">
        <v>771</v>
      </c>
      <c r="Z262" s="14"/>
      <c r="AA262" s="14"/>
      <c r="AB262" s="14"/>
      <c r="AC262" s="14"/>
      <c r="AD262" s="14"/>
      <c r="AE262" s="14"/>
      <c r="AF262" s="14" t="s">
        <v>193</v>
      </c>
      <c r="AG262" s="14" t="s">
        <v>772</v>
      </c>
      <c r="AH262" s="14"/>
      <c r="AI262" s="14"/>
      <c r="AJ262" s="14"/>
      <c r="AK262" s="14"/>
      <c r="AL262" s="14"/>
      <c r="AM262" s="14"/>
      <c r="AN262" s="14" t="s">
        <v>229</v>
      </c>
      <c r="AO262" s="14" t="s">
        <v>773</v>
      </c>
      <c r="AP262" s="14"/>
      <c r="AQ262" s="14"/>
      <c r="AR262" s="22"/>
      <c r="AS262" s="22" t="s">
        <v>117</v>
      </c>
      <c r="AT262" s="22" t="s">
        <v>770</v>
      </c>
      <c r="AU262" s="25" t="str">
        <f>VLOOKUP(O262,[1]Lookup!A:B,2,FALSE)</f>
        <v>Test-SIT</v>
      </c>
      <c r="AV262" s="25" t="str">
        <f>VLOOKUP(test1[[#This Row],[Assignee]],lookup[#All],2,FALSE)</f>
        <v>Test-SIT</v>
      </c>
      <c r="AW262" s="25">
        <f ca="1">IF(test1[[#This Row],[Status]]&lt;&gt;"Closed", TODAY()-INT(test1[[#This Row],[Created]]),INT(test1[[#This Row],[Resolved]])-INT(test1[[#This Row],[Created]]))</f>
        <v>42</v>
      </c>
    </row>
    <row r="263" spans="1:49" ht="199.5" x14ac:dyDescent="0.2">
      <c r="A263" s="48" t="s">
        <v>86</v>
      </c>
      <c r="B263" s="29" t="s">
        <v>762</v>
      </c>
      <c r="C263" s="27" t="s">
        <v>763</v>
      </c>
      <c r="D263" s="22" t="s">
        <v>117</v>
      </c>
      <c r="E263" s="22" t="s">
        <v>671</v>
      </c>
      <c r="F263" s="27"/>
      <c r="G263" s="27"/>
      <c r="H263" s="27"/>
      <c r="I263" s="27"/>
      <c r="J263" s="14" t="s">
        <v>91</v>
      </c>
      <c r="K263" s="14" t="s">
        <v>323</v>
      </c>
      <c r="L263" s="14" t="s">
        <v>124</v>
      </c>
      <c r="M263" s="17" t="s">
        <v>94</v>
      </c>
      <c r="N263" s="18" t="s">
        <v>18</v>
      </c>
      <c r="O263" s="14" t="s">
        <v>24</v>
      </c>
      <c r="P263" s="19">
        <v>42786.552777777775</v>
      </c>
      <c r="Q263" s="19">
        <v>42811.674305555556</v>
      </c>
      <c r="R263" s="14"/>
      <c r="S263" s="14" t="s">
        <v>139</v>
      </c>
      <c r="T263" s="14" t="s">
        <v>660</v>
      </c>
      <c r="U263" s="14" t="s">
        <v>117</v>
      </c>
      <c r="V263" s="14"/>
      <c r="W263" s="14">
        <v>0</v>
      </c>
      <c r="X263" s="14">
        <v>0</v>
      </c>
      <c r="Y263" s="14"/>
      <c r="Z263" s="14"/>
      <c r="AA263" s="14"/>
      <c r="AB263" s="14"/>
      <c r="AC263" s="14"/>
      <c r="AD263" s="14"/>
      <c r="AE263" s="14"/>
      <c r="AF263" s="14" t="s">
        <v>764</v>
      </c>
      <c r="AG263" s="14" t="s">
        <v>765</v>
      </c>
      <c r="AH263" s="14"/>
      <c r="AI263" s="14"/>
      <c r="AJ263" s="14"/>
      <c r="AK263" s="14"/>
      <c r="AL263" s="14"/>
      <c r="AM263" s="14"/>
      <c r="AN263" s="14" t="s">
        <v>766</v>
      </c>
      <c r="AO263" s="14" t="s">
        <v>767</v>
      </c>
      <c r="AP263" s="14"/>
      <c r="AQ263" s="14"/>
      <c r="AR263" s="22"/>
      <c r="AS263" s="22" t="s">
        <v>117</v>
      </c>
      <c r="AT263" s="22" t="s">
        <v>671</v>
      </c>
      <c r="AU263" s="25" t="str">
        <f>VLOOKUP(O263,[1]Lookup!A:B,2,FALSE)</f>
        <v>Test-SIT</v>
      </c>
      <c r="AV263" s="25" t="str">
        <f>VLOOKUP(test1[[#This Row],[Assignee]],lookup[#All],2,FALSE)</f>
        <v>TD-Dev</v>
      </c>
      <c r="AW263" s="25">
        <f ca="1">IF(test1[[#This Row],[Status]]&lt;&gt;"Closed", TODAY()-INT(test1[[#This Row],[Created]]),INT(test1[[#This Row],[Resolved]])-INT(test1[[#This Row],[Created]]))</f>
        <v>42</v>
      </c>
    </row>
    <row r="264" spans="1:49" ht="409.5" x14ac:dyDescent="0.2">
      <c r="A264" s="48" t="s">
        <v>86</v>
      </c>
      <c r="B264" s="29" t="s">
        <v>758</v>
      </c>
      <c r="C264" s="27" t="s">
        <v>759</v>
      </c>
      <c r="D264" s="22" t="s">
        <v>117</v>
      </c>
      <c r="E264" s="22" t="s">
        <v>90</v>
      </c>
      <c r="F264" s="27"/>
      <c r="G264" s="30" t="s">
        <v>538</v>
      </c>
      <c r="H264" s="27" t="s">
        <v>749</v>
      </c>
      <c r="I264" s="27"/>
      <c r="J264" s="14" t="s">
        <v>91</v>
      </c>
      <c r="K264" s="14" t="s">
        <v>59</v>
      </c>
      <c r="L264" s="14" t="s">
        <v>93</v>
      </c>
      <c r="M264" s="14" t="s">
        <v>132</v>
      </c>
      <c r="N264" s="18" t="s">
        <v>24</v>
      </c>
      <c r="O264" s="14" t="s">
        <v>24</v>
      </c>
      <c r="P264" s="19">
        <v>42786.559027777781</v>
      </c>
      <c r="Q264" s="19">
        <v>42811.477083333331</v>
      </c>
      <c r="R264" s="19">
        <v>42796.655555555553</v>
      </c>
      <c r="S264" s="14" t="s">
        <v>139</v>
      </c>
      <c r="T264" s="14" t="s">
        <v>155</v>
      </c>
      <c r="U264" s="14" t="s">
        <v>117</v>
      </c>
      <c r="V264" s="14"/>
      <c r="W264" s="14">
        <v>0</v>
      </c>
      <c r="X264" s="14">
        <v>0</v>
      </c>
      <c r="Y264" s="14"/>
      <c r="Z264" s="14"/>
      <c r="AA264" s="14"/>
      <c r="AB264" s="14"/>
      <c r="AC264" s="14"/>
      <c r="AD264" s="14"/>
      <c r="AE264" s="14"/>
      <c r="AF264" s="14" t="s">
        <v>156</v>
      </c>
      <c r="AG264" s="14" t="s">
        <v>760</v>
      </c>
      <c r="AH264" s="14"/>
      <c r="AI264" s="14"/>
      <c r="AJ264" s="14"/>
      <c r="AK264" s="14"/>
      <c r="AL264" s="14"/>
      <c r="AM264" s="14"/>
      <c r="AN264" s="14" t="s">
        <v>120</v>
      </c>
      <c r="AO264" s="14" t="s">
        <v>761</v>
      </c>
      <c r="AP264" s="14" t="s">
        <v>146</v>
      </c>
      <c r="AQ264" s="14"/>
      <c r="AR264" s="22"/>
      <c r="AS264" s="22" t="s">
        <v>117</v>
      </c>
      <c r="AT264" s="22" t="s">
        <v>99</v>
      </c>
      <c r="AU264" s="25" t="str">
        <f>VLOOKUP(O264,[1]Lookup!A:B,2,FALSE)</f>
        <v>Test-SIT</v>
      </c>
      <c r="AV264" s="25" t="str">
        <f>VLOOKUP(test1[[#This Row],[Assignee]],lookup[#All],2,FALSE)</f>
        <v>Test-SIT</v>
      </c>
      <c r="AW264" s="25">
        <f ca="1">IF(test1[[#This Row],[Status]]&lt;&gt;"Closed", TODAY()-INT(test1[[#This Row],[Created]]),INT(test1[[#This Row],[Resolved]])-INT(test1[[#This Row],[Created]]))</f>
        <v>42</v>
      </c>
    </row>
    <row r="265" spans="1:49" ht="342" x14ac:dyDescent="0.2">
      <c r="A265" s="48" t="s">
        <v>86</v>
      </c>
      <c r="B265" s="29" t="s">
        <v>754</v>
      </c>
      <c r="C265" s="27" t="s">
        <v>755</v>
      </c>
      <c r="D265" s="22" t="s">
        <v>241</v>
      </c>
      <c r="E265" s="22" t="s">
        <v>302</v>
      </c>
      <c r="F265" s="27"/>
      <c r="G265" s="27" t="s">
        <v>204</v>
      </c>
      <c r="H265" s="27"/>
      <c r="I265" s="27"/>
      <c r="J265" s="14" t="s">
        <v>91</v>
      </c>
      <c r="K265" s="14" t="s">
        <v>59</v>
      </c>
      <c r="L265" s="14" t="s">
        <v>93</v>
      </c>
      <c r="M265" s="14" t="s">
        <v>132</v>
      </c>
      <c r="N265" s="18" t="s">
        <v>24</v>
      </c>
      <c r="O265" s="14" t="s">
        <v>24</v>
      </c>
      <c r="P265" s="19">
        <v>42786.578472222223</v>
      </c>
      <c r="Q265" s="19">
        <v>42811.474999999999</v>
      </c>
      <c r="R265" s="19">
        <v>42802.65902777778</v>
      </c>
      <c r="S265" s="14" t="s">
        <v>139</v>
      </c>
      <c r="T265" s="14" t="s">
        <v>155</v>
      </c>
      <c r="U265" s="14" t="s">
        <v>117</v>
      </c>
      <c r="V265" s="14"/>
      <c r="W265" s="14">
        <v>0</v>
      </c>
      <c r="X265" s="14">
        <v>0</v>
      </c>
      <c r="Y265" s="14"/>
      <c r="Z265" s="14"/>
      <c r="AA265" s="14"/>
      <c r="AB265" s="14"/>
      <c r="AC265" s="14"/>
      <c r="AD265" s="14"/>
      <c r="AE265" s="14"/>
      <c r="AF265" s="14" t="s">
        <v>336</v>
      </c>
      <c r="AG265" s="14" t="s">
        <v>756</v>
      </c>
      <c r="AH265" s="14"/>
      <c r="AI265" s="14"/>
      <c r="AJ265" s="14"/>
      <c r="AK265" s="14"/>
      <c r="AL265" s="14"/>
      <c r="AM265" s="14"/>
      <c r="AN265" s="14" t="s">
        <v>99</v>
      </c>
      <c r="AO265" s="14" t="s">
        <v>757</v>
      </c>
      <c r="AP265" s="14"/>
      <c r="AQ265" s="14"/>
      <c r="AR265" s="22"/>
      <c r="AS265" s="22" t="s">
        <v>241</v>
      </c>
      <c r="AT265" s="22" t="s">
        <v>302</v>
      </c>
      <c r="AU265" s="25" t="str">
        <f>VLOOKUP(O265,[1]Lookup!A:B,2,FALSE)</f>
        <v>Test-SIT</v>
      </c>
      <c r="AV265" s="25" t="str">
        <f>VLOOKUP(test1[[#This Row],[Assignee]],lookup[#All],2,FALSE)</f>
        <v>Test-SIT</v>
      </c>
      <c r="AW265" s="25">
        <f ca="1">IF(test1[[#This Row],[Status]]&lt;&gt;"Closed", TODAY()-INT(test1[[#This Row],[Created]]),INT(test1[[#This Row],[Resolved]])-INT(test1[[#This Row],[Created]]))</f>
        <v>42</v>
      </c>
    </row>
    <row r="266" spans="1:49" ht="409.5" x14ac:dyDescent="0.2">
      <c r="A266" s="48" t="s">
        <v>86</v>
      </c>
      <c r="B266" s="29" t="s">
        <v>746</v>
      </c>
      <c r="C266" s="27" t="s">
        <v>747</v>
      </c>
      <c r="D266" s="22" t="s">
        <v>117</v>
      </c>
      <c r="E266" s="22" t="s">
        <v>748</v>
      </c>
      <c r="F266" s="27"/>
      <c r="G266" s="30" t="s">
        <v>538</v>
      </c>
      <c r="H266" s="27" t="s">
        <v>749</v>
      </c>
      <c r="I266" s="27"/>
      <c r="J266" s="14" t="s">
        <v>91</v>
      </c>
      <c r="K266" s="14" t="s">
        <v>59</v>
      </c>
      <c r="L266" s="14" t="s">
        <v>103</v>
      </c>
      <c r="M266" s="14" t="s">
        <v>132</v>
      </c>
      <c r="N266" s="18" t="s">
        <v>202</v>
      </c>
      <c r="O266" s="14" t="s">
        <v>37</v>
      </c>
      <c r="P266" s="19">
        <v>42786.59097222222</v>
      </c>
      <c r="Q266" s="19">
        <v>42790.467361111114</v>
      </c>
      <c r="R266" s="19">
        <v>42790.467361111114</v>
      </c>
      <c r="S266" s="14" t="s">
        <v>203</v>
      </c>
      <c r="T266" s="14" t="s">
        <v>204</v>
      </c>
      <c r="U266" s="14" t="s">
        <v>242</v>
      </c>
      <c r="V266" s="14"/>
      <c r="W266" s="14">
        <v>0</v>
      </c>
      <c r="X266" s="14">
        <v>0</v>
      </c>
      <c r="Y266" s="14" t="s">
        <v>750</v>
      </c>
      <c r="Z266" s="14"/>
      <c r="AA266" s="14"/>
      <c r="AB266" s="14"/>
      <c r="AC266" s="14"/>
      <c r="AD266" s="14"/>
      <c r="AE266" s="14"/>
      <c r="AF266" s="14" t="s">
        <v>751</v>
      </c>
      <c r="AG266" s="14" t="s">
        <v>752</v>
      </c>
      <c r="AH266" s="14"/>
      <c r="AI266" s="14"/>
      <c r="AJ266" s="14"/>
      <c r="AK266" s="14"/>
      <c r="AL266" s="14"/>
      <c r="AM266" s="14"/>
      <c r="AN266" s="14" t="s">
        <v>302</v>
      </c>
      <c r="AO266" s="14" t="s">
        <v>753</v>
      </c>
      <c r="AP266" s="14" t="s">
        <v>146</v>
      </c>
      <c r="AQ266" s="14"/>
      <c r="AR266" s="22"/>
      <c r="AS266" s="22" t="s">
        <v>117</v>
      </c>
      <c r="AT266" s="22" t="s">
        <v>748</v>
      </c>
      <c r="AU266" s="25" t="str">
        <f>VLOOKUP(O266,[1]Lookup!A:B,2,FALSE)</f>
        <v>DMO</v>
      </c>
      <c r="AV266" s="25" t="e">
        <f>VLOOKUP(test1[[#This Row],[Assignee]],lookup[#All],2,FALSE)</f>
        <v>#N/A</v>
      </c>
      <c r="AW266" s="25">
        <f ca="1">IF(test1[[#This Row],[Status]]&lt;&gt;"Closed", TODAY()-INT(test1[[#This Row],[Created]]),INT(test1[[#This Row],[Resolved]])-INT(test1[[#This Row],[Created]]))</f>
        <v>42</v>
      </c>
    </row>
    <row r="267" spans="1:49" ht="342" x14ac:dyDescent="0.2">
      <c r="A267" s="48" t="s">
        <v>86</v>
      </c>
      <c r="B267" s="29" t="s">
        <v>742</v>
      </c>
      <c r="C267" s="27" t="s">
        <v>743</v>
      </c>
      <c r="D267" s="22" t="s">
        <v>117</v>
      </c>
      <c r="E267" s="22" t="s">
        <v>435</v>
      </c>
      <c r="F267" s="27"/>
      <c r="G267" s="27" t="s">
        <v>344</v>
      </c>
      <c r="H267" s="27"/>
      <c r="I267" s="27"/>
      <c r="J267" s="14" t="s">
        <v>91</v>
      </c>
      <c r="K267" s="14" t="s">
        <v>59</v>
      </c>
      <c r="L267" s="14" t="s">
        <v>93</v>
      </c>
      <c r="M267" s="14" t="s">
        <v>132</v>
      </c>
      <c r="N267" s="18" t="s">
        <v>24</v>
      </c>
      <c r="O267" s="14" t="s">
        <v>24</v>
      </c>
      <c r="P267" s="19">
        <v>42786.705555555556</v>
      </c>
      <c r="Q267" s="19">
        <v>42811.443749999999</v>
      </c>
      <c r="R267" s="19">
        <v>42802.659722222219</v>
      </c>
      <c r="S267" s="14" t="s">
        <v>139</v>
      </c>
      <c r="T267" s="14" t="s">
        <v>344</v>
      </c>
      <c r="U267" s="14" t="s">
        <v>117</v>
      </c>
      <c r="V267" s="14"/>
      <c r="W267" s="14">
        <v>0</v>
      </c>
      <c r="X267" s="14">
        <v>0</v>
      </c>
      <c r="Y267" s="14"/>
      <c r="Z267" s="14"/>
      <c r="AA267" s="14"/>
      <c r="AB267" s="14"/>
      <c r="AC267" s="14"/>
      <c r="AD267" s="14"/>
      <c r="AE267" s="14"/>
      <c r="AF267" s="14" t="s">
        <v>336</v>
      </c>
      <c r="AG267" s="14" t="s">
        <v>744</v>
      </c>
      <c r="AH267" s="14"/>
      <c r="AI267" s="14"/>
      <c r="AJ267" s="14"/>
      <c r="AK267" s="14"/>
      <c r="AL267" s="14"/>
      <c r="AM267" s="14"/>
      <c r="AN267" s="14" t="s">
        <v>99</v>
      </c>
      <c r="AO267" s="14" t="s">
        <v>745</v>
      </c>
      <c r="AP267" s="14"/>
      <c r="AQ267" s="14"/>
      <c r="AR267" s="22"/>
      <c r="AS267" s="22" t="s">
        <v>117</v>
      </c>
      <c r="AT267" s="22" t="s">
        <v>435</v>
      </c>
      <c r="AU267" s="25" t="str">
        <f>VLOOKUP(O267,[1]Lookup!A:B,2,FALSE)</f>
        <v>Test-SIT</v>
      </c>
      <c r="AV267" s="25" t="str">
        <f>VLOOKUP(test1[[#This Row],[Assignee]],lookup[#All],2,FALSE)</f>
        <v>Test-SIT</v>
      </c>
      <c r="AW267" s="25">
        <f ca="1">IF(test1[[#This Row],[Status]]&lt;&gt;"Closed", TODAY()-INT(test1[[#This Row],[Created]]),INT(test1[[#This Row],[Resolved]])-INT(test1[[#This Row],[Created]]))</f>
        <v>42</v>
      </c>
    </row>
    <row r="268" spans="1:49" ht="409.5" x14ac:dyDescent="0.2">
      <c r="A268" s="48" t="s">
        <v>86</v>
      </c>
      <c r="B268" s="29" t="s">
        <v>736</v>
      </c>
      <c r="C268" s="27" t="s">
        <v>737</v>
      </c>
      <c r="D268" s="22" t="s">
        <v>117</v>
      </c>
      <c r="E268" s="22" t="s">
        <v>435</v>
      </c>
      <c r="F268" s="27"/>
      <c r="G268" s="30" t="s">
        <v>738</v>
      </c>
      <c r="H268" s="27"/>
      <c r="I268" s="27"/>
      <c r="J268" s="14" t="s">
        <v>91</v>
      </c>
      <c r="K268" s="14" t="s">
        <v>59</v>
      </c>
      <c r="L268" s="14" t="s">
        <v>124</v>
      </c>
      <c r="M268" s="14" t="s">
        <v>132</v>
      </c>
      <c r="N268" s="18" t="s">
        <v>24</v>
      </c>
      <c r="O268" s="14" t="s">
        <v>24</v>
      </c>
      <c r="P268" s="19">
        <v>42786.753472222219</v>
      </c>
      <c r="Q268" s="19">
        <v>42811.474999999999</v>
      </c>
      <c r="R268" s="19">
        <v>42794.699305555558</v>
      </c>
      <c r="S268" s="14" t="s">
        <v>139</v>
      </c>
      <c r="T268" s="14" t="s">
        <v>344</v>
      </c>
      <c r="U268" s="14" t="s">
        <v>117</v>
      </c>
      <c r="V268" s="14"/>
      <c r="W268" s="14">
        <v>0</v>
      </c>
      <c r="X268" s="14">
        <v>0</v>
      </c>
      <c r="Y268" s="14"/>
      <c r="Z268" s="14"/>
      <c r="AA268" s="14"/>
      <c r="AB268" s="14"/>
      <c r="AC268" s="14"/>
      <c r="AD268" s="14"/>
      <c r="AE268" s="14"/>
      <c r="AF268" s="14" t="s">
        <v>739</v>
      </c>
      <c r="AG268" s="14" t="s">
        <v>740</v>
      </c>
      <c r="AH268" s="14"/>
      <c r="AI268" s="14"/>
      <c r="AJ268" s="14"/>
      <c r="AK268" s="14"/>
      <c r="AL268" s="14"/>
      <c r="AM268" s="14"/>
      <c r="AN268" s="14" t="s">
        <v>431</v>
      </c>
      <c r="AO268" s="14" t="s">
        <v>741</v>
      </c>
      <c r="AP268" s="14"/>
      <c r="AQ268" s="14"/>
      <c r="AR268" s="22"/>
      <c r="AS268" s="22" t="s">
        <v>117</v>
      </c>
      <c r="AT268" s="22" t="s">
        <v>435</v>
      </c>
      <c r="AU268" s="25" t="str">
        <f>VLOOKUP(O268,[1]Lookup!A:B,2,FALSE)</f>
        <v>Test-SIT</v>
      </c>
      <c r="AV268" s="25" t="str">
        <f>VLOOKUP(test1[[#This Row],[Assignee]],lookup[#All],2,FALSE)</f>
        <v>Test-SIT</v>
      </c>
      <c r="AW268" s="25">
        <f ca="1">IF(test1[[#This Row],[Status]]&lt;&gt;"Closed", TODAY()-INT(test1[[#This Row],[Created]]),INT(test1[[#This Row],[Resolved]])-INT(test1[[#This Row],[Created]]))</f>
        <v>42</v>
      </c>
    </row>
    <row r="269" spans="1:49" ht="409.5" x14ac:dyDescent="0.2">
      <c r="A269" s="48" t="s">
        <v>86</v>
      </c>
      <c r="B269" s="29" t="s">
        <v>730</v>
      </c>
      <c r="C269" s="27" t="s">
        <v>731</v>
      </c>
      <c r="D269" s="22" t="s">
        <v>89</v>
      </c>
      <c r="E269" s="22" t="s">
        <v>214</v>
      </c>
      <c r="F269" s="27"/>
      <c r="G269" s="27" t="s">
        <v>451</v>
      </c>
      <c r="H269" s="27"/>
      <c r="I269" s="27"/>
      <c r="J269" s="14" t="s">
        <v>91</v>
      </c>
      <c r="K269" s="14" t="s">
        <v>59</v>
      </c>
      <c r="L269" s="14" t="s">
        <v>124</v>
      </c>
      <c r="M269" s="14" t="s">
        <v>132</v>
      </c>
      <c r="N269" s="18" t="s">
        <v>24</v>
      </c>
      <c r="O269" s="14" t="s">
        <v>24</v>
      </c>
      <c r="P269" s="19">
        <v>42786.776388888888</v>
      </c>
      <c r="Q269" s="19">
        <v>42811.447222222225</v>
      </c>
      <c r="R269" s="19">
        <v>42797.572222222225</v>
      </c>
      <c r="S269" s="14" t="s">
        <v>139</v>
      </c>
      <c r="T269" s="14" t="s">
        <v>344</v>
      </c>
      <c r="U269" s="14" t="s">
        <v>117</v>
      </c>
      <c r="V269" s="14"/>
      <c r="W269" s="14">
        <v>0</v>
      </c>
      <c r="X269" s="14">
        <v>0</v>
      </c>
      <c r="Y269" s="14"/>
      <c r="Z269" s="14"/>
      <c r="AA269" s="14"/>
      <c r="AB269" s="14"/>
      <c r="AC269" s="14"/>
      <c r="AD269" s="14"/>
      <c r="AE269" s="14"/>
      <c r="AF269" s="14" t="s">
        <v>732</v>
      </c>
      <c r="AG269" s="14" t="s">
        <v>733</v>
      </c>
      <c r="AH269" s="14"/>
      <c r="AI269" s="14"/>
      <c r="AJ269" s="14"/>
      <c r="AK269" s="14"/>
      <c r="AL269" s="14"/>
      <c r="AM269" s="14"/>
      <c r="AN269" s="14" t="s">
        <v>734</v>
      </c>
      <c r="AO269" s="14" t="s">
        <v>735</v>
      </c>
      <c r="AP269" s="14"/>
      <c r="AQ269" s="14"/>
      <c r="AR269" s="22"/>
      <c r="AS269" s="22" t="s">
        <v>89</v>
      </c>
      <c r="AT269" s="22" t="s">
        <v>214</v>
      </c>
      <c r="AU269" s="25" t="str">
        <f>VLOOKUP(O269,[1]Lookup!A:B,2,FALSE)</f>
        <v>Test-SIT</v>
      </c>
      <c r="AV269" s="25" t="str">
        <f>VLOOKUP(test1[[#This Row],[Assignee]],lookup[#All],2,FALSE)</f>
        <v>Test-SIT</v>
      </c>
      <c r="AW269" s="25">
        <f ca="1">IF(test1[[#This Row],[Status]]&lt;&gt;"Closed", TODAY()-INT(test1[[#This Row],[Created]]),INT(test1[[#This Row],[Resolved]])-INT(test1[[#This Row],[Created]]))</f>
        <v>42</v>
      </c>
    </row>
    <row r="270" spans="1:49" ht="199.5" x14ac:dyDescent="0.2">
      <c r="A270" s="48" t="s">
        <v>86</v>
      </c>
      <c r="B270" s="29" t="s">
        <v>725</v>
      </c>
      <c r="C270" s="27" t="s">
        <v>726</v>
      </c>
      <c r="D270" s="22" t="s">
        <v>96</v>
      </c>
      <c r="E270" s="22" t="s">
        <v>166</v>
      </c>
      <c r="F270" s="27"/>
      <c r="G270" s="27" t="s">
        <v>721</v>
      </c>
      <c r="H270" s="27"/>
      <c r="I270" s="27"/>
      <c r="J270" s="14" t="s">
        <v>91</v>
      </c>
      <c r="K270" s="14" t="s">
        <v>59</v>
      </c>
      <c r="L270" s="14" t="s">
        <v>93</v>
      </c>
      <c r="M270" s="14" t="s">
        <v>132</v>
      </c>
      <c r="N270" s="18" t="s">
        <v>30</v>
      </c>
      <c r="O270" s="14" t="s">
        <v>22</v>
      </c>
      <c r="P270" s="19">
        <v>42786.810416666667</v>
      </c>
      <c r="Q270" s="19">
        <v>42794.451388888891</v>
      </c>
      <c r="R270" s="19">
        <v>42794.451388888891</v>
      </c>
      <c r="S270" s="14" t="s">
        <v>510</v>
      </c>
      <c r="T270" s="14" t="s">
        <v>451</v>
      </c>
      <c r="U270" s="14" t="s">
        <v>412</v>
      </c>
      <c r="V270" s="14"/>
      <c r="W270" s="14">
        <v>0</v>
      </c>
      <c r="X270" s="14">
        <v>0</v>
      </c>
      <c r="Y270" s="14"/>
      <c r="Z270" s="14"/>
      <c r="AA270" s="14"/>
      <c r="AB270" s="14"/>
      <c r="AC270" s="14"/>
      <c r="AD270" s="14"/>
      <c r="AE270" s="14" t="s">
        <v>727</v>
      </c>
      <c r="AF270" s="14"/>
      <c r="AG270" s="14" t="s">
        <v>728</v>
      </c>
      <c r="AH270" s="14"/>
      <c r="AI270" s="14"/>
      <c r="AJ270" s="14"/>
      <c r="AK270" s="14"/>
      <c r="AL270" s="14"/>
      <c r="AM270" s="14"/>
      <c r="AN270" s="14" t="s">
        <v>729</v>
      </c>
      <c r="AO270" s="14" t="s">
        <v>577</v>
      </c>
      <c r="AP270" s="14"/>
      <c r="AQ270" s="14"/>
      <c r="AR270" s="22"/>
      <c r="AS270" s="22" t="s">
        <v>96</v>
      </c>
      <c r="AT270" s="22" t="s">
        <v>166</v>
      </c>
      <c r="AU270" s="25" t="str">
        <f>VLOOKUP(O270,[1]Lookup!A:B,2,FALSE)</f>
        <v>Test-SIT</v>
      </c>
      <c r="AV270" s="25" t="str">
        <f>VLOOKUP(test1[[#This Row],[Assignee]],lookup[#All],2,FALSE)</f>
        <v>Test-SIT</v>
      </c>
      <c r="AW270" s="25">
        <f ca="1">IF(test1[[#This Row],[Status]]&lt;&gt;"Closed", TODAY()-INT(test1[[#This Row],[Created]]),INT(test1[[#This Row],[Resolved]])-INT(test1[[#This Row],[Created]]))</f>
        <v>42</v>
      </c>
    </row>
    <row r="271" spans="1:49" ht="270.75" x14ac:dyDescent="0.2">
      <c r="A271" s="48" t="s">
        <v>86</v>
      </c>
      <c r="B271" s="29" t="s">
        <v>718</v>
      </c>
      <c r="C271" s="27" t="s">
        <v>719</v>
      </c>
      <c r="D271" s="22" t="s">
        <v>130</v>
      </c>
      <c r="E271" s="22" t="s">
        <v>720</v>
      </c>
      <c r="F271" s="27"/>
      <c r="G271" s="27" t="s">
        <v>510</v>
      </c>
      <c r="H271" s="27"/>
      <c r="I271" s="27"/>
      <c r="J271" s="14" t="s">
        <v>91</v>
      </c>
      <c r="K271" s="14" t="s">
        <v>59</v>
      </c>
      <c r="L271" s="14" t="s">
        <v>103</v>
      </c>
      <c r="M271" s="14" t="s">
        <v>132</v>
      </c>
      <c r="N271" s="18" t="s">
        <v>202</v>
      </c>
      <c r="O271" s="14" t="s">
        <v>36</v>
      </c>
      <c r="P271" s="19">
        <v>42787.467361111114</v>
      </c>
      <c r="Q271" s="19">
        <v>42790.406944444447</v>
      </c>
      <c r="R271" s="19">
        <v>42790.406944444447</v>
      </c>
      <c r="S271" s="14" t="s">
        <v>203</v>
      </c>
      <c r="T271" s="14" t="s">
        <v>721</v>
      </c>
      <c r="U271" s="14" t="s">
        <v>96</v>
      </c>
      <c r="V271" s="14"/>
      <c r="W271" s="14">
        <v>0</v>
      </c>
      <c r="X271" s="14">
        <v>0</v>
      </c>
      <c r="Y271" s="14" t="s">
        <v>722</v>
      </c>
      <c r="Z271" s="14"/>
      <c r="AA271" s="14"/>
      <c r="AB271" s="14"/>
      <c r="AC271" s="14"/>
      <c r="AD271" s="14"/>
      <c r="AE271" s="14"/>
      <c r="AF271" s="14" t="s">
        <v>126</v>
      </c>
      <c r="AG271" s="14" t="s">
        <v>723</v>
      </c>
      <c r="AH271" s="14"/>
      <c r="AI271" s="14"/>
      <c r="AJ271" s="14"/>
      <c r="AK271" s="14"/>
      <c r="AL271" s="14"/>
      <c r="AM271" s="14"/>
      <c r="AN271" s="14"/>
      <c r="AO271" s="14" t="s">
        <v>724</v>
      </c>
      <c r="AP271" s="14"/>
      <c r="AQ271" s="14"/>
      <c r="AR271" s="22"/>
      <c r="AS271" s="22" t="s">
        <v>130</v>
      </c>
      <c r="AT271" s="22" t="s">
        <v>720</v>
      </c>
      <c r="AU271" s="25" t="str">
        <f>VLOOKUP(O271,[1]Lookup!A:B,2,FALSE)</f>
        <v>DMO</v>
      </c>
      <c r="AV271" s="25" t="e">
        <f>VLOOKUP(test1[[#This Row],[Assignee]],lookup[#All],2,FALSE)</f>
        <v>#N/A</v>
      </c>
      <c r="AW271" s="25">
        <f ca="1">IF(test1[[#This Row],[Status]]&lt;&gt;"Closed", TODAY()-INT(test1[[#This Row],[Created]]),INT(test1[[#This Row],[Resolved]])-INT(test1[[#This Row],[Created]]))</f>
        <v>41</v>
      </c>
    </row>
    <row r="272" spans="1:49" ht="99.75" x14ac:dyDescent="0.2">
      <c r="A272" s="48" t="s">
        <v>86</v>
      </c>
      <c r="B272" s="29" t="s">
        <v>714</v>
      </c>
      <c r="C272" s="27" t="s">
        <v>715</v>
      </c>
      <c r="D272" s="22" t="s">
        <v>241</v>
      </c>
      <c r="E272" s="22" t="s">
        <v>302</v>
      </c>
      <c r="F272" s="27"/>
      <c r="G272" s="27" t="s">
        <v>204</v>
      </c>
      <c r="H272" s="27"/>
      <c r="I272" s="27"/>
      <c r="J272" s="14" t="s">
        <v>91</v>
      </c>
      <c r="K272" s="14" t="s">
        <v>59</v>
      </c>
      <c r="L272" s="14" t="s">
        <v>124</v>
      </c>
      <c r="M272" s="14" t="s">
        <v>132</v>
      </c>
      <c r="N272" s="18" t="s">
        <v>30</v>
      </c>
      <c r="O272" s="14" t="s">
        <v>19</v>
      </c>
      <c r="P272" s="19">
        <v>42787.638888888891</v>
      </c>
      <c r="Q272" s="19">
        <v>42788.705555555556</v>
      </c>
      <c r="R272" s="19">
        <v>42788.705555555556</v>
      </c>
      <c r="S272" s="14" t="s">
        <v>510</v>
      </c>
      <c r="T272" s="14" t="s">
        <v>510</v>
      </c>
      <c r="U272" s="14" t="s">
        <v>96</v>
      </c>
      <c r="V272" s="14"/>
      <c r="W272" s="14">
        <v>0</v>
      </c>
      <c r="X272" s="14">
        <v>0</v>
      </c>
      <c r="Y272" s="14"/>
      <c r="Z272" s="14"/>
      <c r="AA272" s="14"/>
      <c r="AB272" s="14"/>
      <c r="AC272" s="14"/>
      <c r="AD272" s="14"/>
      <c r="AE272" s="14"/>
      <c r="AF272" s="14" t="s">
        <v>477</v>
      </c>
      <c r="AG272" s="14" t="s">
        <v>716</v>
      </c>
      <c r="AH272" s="14"/>
      <c r="AI272" s="14"/>
      <c r="AJ272" s="14"/>
      <c r="AK272" s="14"/>
      <c r="AL272" s="14"/>
      <c r="AM272" s="14"/>
      <c r="AN272" s="14" t="s">
        <v>477</v>
      </c>
      <c r="AO272" s="14" t="s">
        <v>717</v>
      </c>
      <c r="AP272" s="14"/>
      <c r="AQ272" s="14"/>
      <c r="AR272" s="22"/>
      <c r="AS272" s="22" t="s">
        <v>241</v>
      </c>
      <c r="AT272" s="22" t="s">
        <v>302</v>
      </c>
      <c r="AU272" s="25" t="str">
        <f>VLOOKUP(O272,[1]Lookup!A:B,2,FALSE)</f>
        <v>Test-SIT</v>
      </c>
      <c r="AV272" s="25" t="str">
        <f>VLOOKUP(test1[[#This Row],[Assignee]],lookup[#All],2,FALSE)</f>
        <v>Test-SIT</v>
      </c>
      <c r="AW272" s="25">
        <f ca="1">IF(test1[[#This Row],[Status]]&lt;&gt;"Closed", TODAY()-INT(test1[[#This Row],[Created]]),INT(test1[[#This Row],[Resolved]])-INT(test1[[#This Row],[Created]]))</f>
        <v>41</v>
      </c>
    </row>
    <row r="273" spans="1:49" ht="142.5" x14ac:dyDescent="0.2">
      <c r="A273" s="48" t="s">
        <v>86</v>
      </c>
      <c r="B273" s="29" t="s">
        <v>709</v>
      </c>
      <c r="C273" s="27" t="s">
        <v>710</v>
      </c>
      <c r="D273" s="22" t="s">
        <v>241</v>
      </c>
      <c r="E273" s="22" t="s">
        <v>166</v>
      </c>
      <c r="F273" s="27"/>
      <c r="G273" s="27" t="s">
        <v>204</v>
      </c>
      <c r="H273" s="27"/>
      <c r="I273" s="27"/>
      <c r="J273" s="14" t="s">
        <v>91</v>
      </c>
      <c r="K273" s="14" t="s">
        <v>59</v>
      </c>
      <c r="L273" s="14" t="s">
        <v>93</v>
      </c>
      <c r="M273" s="14" t="s">
        <v>132</v>
      </c>
      <c r="N273" s="18" t="s">
        <v>38</v>
      </c>
      <c r="O273" s="14" t="s">
        <v>36</v>
      </c>
      <c r="P273" s="19">
        <v>42787.657638888886</v>
      </c>
      <c r="Q273" s="19">
        <v>42788.75</v>
      </c>
      <c r="R273" s="19">
        <v>42788.75</v>
      </c>
      <c r="S273" s="14" t="s">
        <v>203</v>
      </c>
      <c r="T273" s="14" t="s">
        <v>204</v>
      </c>
      <c r="U273" s="14" t="s">
        <v>242</v>
      </c>
      <c r="V273" s="14"/>
      <c r="W273" s="14">
        <v>0</v>
      </c>
      <c r="X273" s="14">
        <v>0</v>
      </c>
      <c r="Y273" s="14" t="s">
        <v>711</v>
      </c>
      <c r="Z273" s="14"/>
      <c r="AA273" s="14"/>
      <c r="AB273" s="14"/>
      <c r="AC273" s="14"/>
      <c r="AD273" s="14"/>
      <c r="AE273" s="14"/>
      <c r="AF273" s="14" t="s">
        <v>126</v>
      </c>
      <c r="AG273" s="14" t="s">
        <v>712</v>
      </c>
      <c r="AH273" s="14"/>
      <c r="AI273" s="14"/>
      <c r="AJ273" s="14"/>
      <c r="AK273" s="14"/>
      <c r="AL273" s="14"/>
      <c r="AM273" s="14"/>
      <c r="AN273" s="14" t="s">
        <v>302</v>
      </c>
      <c r="AO273" s="14" t="s">
        <v>713</v>
      </c>
      <c r="AP273" s="14"/>
      <c r="AQ273" s="14"/>
      <c r="AR273" s="22"/>
      <c r="AS273" s="22" t="s">
        <v>241</v>
      </c>
      <c r="AT273" s="22" t="s">
        <v>166</v>
      </c>
      <c r="AU273" s="25" t="str">
        <f>VLOOKUP(O273,[1]Lookup!A:B,2,FALSE)</f>
        <v>DMO</v>
      </c>
      <c r="AV273" s="25" t="str">
        <f>VLOOKUP(test1[[#This Row],[Assignee]],lookup[#All],2,FALSE)</f>
        <v>DMO</v>
      </c>
      <c r="AW273" s="25">
        <f ca="1">IF(test1[[#This Row],[Status]]&lt;&gt;"Closed", TODAY()-INT(test1[[#This Row],[Created]]),INT(test1[[#This Row],[Resolved]])-INT(test1[[#This Row],[Created]]))</f>
        <v>41</v>
      </c>
    </row>
    <row r="274" spans="1:49" ht="156.75" x14ac:dyDescent="0.2">
      <c r="A274" s="48" t="s">
        <v>86</v>
      </c>
      <c r="B274" s="29" t="s">
        <v>700</v>
      </c>
      <c r="C274" s="27" t="s">
        <v>701</v>
      </c>
      <c r="D274" s="22" t="s">
        <v>241</v>
      </c>
      <c r="E274" s="22" t="s">
        <v>302</v>
      </c>
      <c r="F274" s="27"/>
      <c r="G274" s="27" t="s">
        <v>204</v>
      </c>
      <c r="H274" s="27"/>
      <c r="I274" s="27"/>
      <c r="J274" s="14" t="s">
        <v>91</v>
      </c>
      <c r="K274" s="14" t="s">
        <v>59</v>
      </c>
      <c r="L274" s="14" t="s">
        <v>103</v>
      </c>
      <c r="M274" s="14" t="s">
        <v>132</v>
      </c>
      <c r="N274" s="18" t="s">
        <v>202</v>
      </c>
      <c r="O274" s="14" t="s">
        <v>37</v>
      </c>
      <c r="P274" s="19">
        <v>42787.659722222219</v>
      </c>
      <c r="Q274" s="19">
        <v>42790.464583333334</v>
      </c>
      <c r="R274" s="19">
        <v>42790.464583333334</v>
      </c>
      <c r="S274" s="14" t="s">
        <v>203</v>
      </c>
      <c r="T274" s="14" t="s">
        <v>203</v>
      </c>
      <c r="U274" s="14" t="s">
        <v>241</v>
      </c>
      <c r="V274" s="14"/>
      <c r="W274" s="14">
        <v>0</v>
      </c>
      <c r="X274" s="14">
        <v>0</v>
      </c>
      <c r="Y274" s="20" t="s">
        <v>702</v>
      </c>
      <c r="Z274" s="14"/>
      <c r="AA274" s="14"/>
      <c r="AB274" s="14"/>
      <c r="AC274" s="14"/>
      <c r="AD274" s="14"/>
      <c r="AE274" s="14"/>
      <c r="AF274" s="14" t="s">
        <v>126</v>
      </c>
      <c r="AG274" s="14" t="s">
        <v>703</v>
      </c>
      <c r="AH274" s="14"/>
      <c r="AI274" s="14"/>
      <c r="AJ274" s="14"/>
      <c r="AK274" s="14"/>
      <c r="AL274" s="14"/>
      <c r="AM274" s="14"/>
      <c r="AN274" s="14" t="s">
        <v>123</v>
      </c>
      <c r="AO274" s="14" t="s">
        <v>704</v>
      </c>
      <c r="AP274" s="14" t="s">
        <v>556</v>
      </c>
      <c r="AQ274" s="14"/>
      <c r="AR274" s="22"/>
      <c r="AS274" s="22" t="s">
        <v>241</v>
      </c>
      <c r="AT274" s="22" t="s">
        <v>302</v>
      </c>
      <c r="AU274" s="25" t="str">
        <f>VLOOKUP(O274,[1]Lookup!A:B,2,FALSE)</f>
        <v>DMO</v>
      </c>
      <c r="AV274" s="25" t="e">
        <f>VLOOKUP(test1[[#This Row],[Assignee]],lookup[#All],2,FALSE)</f>
        <v>#N/A</v>
      </c>
      <c r="AW274" s="25">
        <f ca="1">IF(test1[[#This Row],[Status]]&lt;&gt;"Closed", TODAY()-INT(test1[[#This Row],[Created]]),INT(test1[[#This Row],[Resolved]])-INT(test1[[#This Row],[Created]]))</f>
        <v>41</v>
      </c>
    </row>
    <row r="275" spans="1:49" ht="327.75" x14ac:dyDescent="0.2">
      <c r="A275" s="48" t="s">
        <v>86</v>
      </c>
      <c r="B275" s="29" t="s">
        <v>705</v>
      </c>
      <c r="C275" s="27" t="s">
        <v>706</v>
      </c>
      <c r="D275" s="22" t="s">
        <v>241</v>
      </c>
      <c r="E275" s="22" t="s">
        <v>166</v>
      </c>
      <c r="F275" s="27"/>
      <c r="G275" s="27" t="s">
        <v>203</v>
      </c>
      <c r="H275" s="27"/>
      <c r="I275" s="27"/>
      <c r="J275" s="14" t="s">
        <v>91</v>
      </c>
      <c r="K275" s="14" t="s">
        <v>59</v>
      </c>
      <c r="L275" s="14" t="s">
        <v>93</v>
      </c>
      <c r="M275" s="14" t="s">
        <v>132</v>
      </c>
      <c r="N275" s="18" t="s">
        <v>202</v>
      </c>
      <c r="O275" s="14" t="s">
        <v>36</v>
      </c>
      <c r="P275" s="19">
        <v>42787.659722222219</v>
      </c>
      <c r="Q275" s="19">
        <v>42788.75</v>
      </c>
      <c r="R275" s="19">
        <v>42788.75</v>
      </c>
      <c r="S275" s="14" t="s">
        <v>203</v>
      </c>
      <c r="T275" s="14" t="s">
        <v>204</v>
      </c>
      <c r="U275" s="14" t="s">
        <v>242</v>
      </c>
      <c r="V275" s="14"/>
      <c r="W275" s="14">
        <v>0</v>
      </c>
      <c r="X275" s="14">
        <v>0</v>
      </c>
      <c r="Y275" s="20" t="s">
        <v>707</v>
      </c>
      <c r="Z275" s="14"/>
      <c r="AA275" s="14"/>
      <c r="AB275" s="14"/>
      <c r="AC275" s="14"/>
      <c r="AD275" s="14"/>
      <c r="AE275" s="14"/>
      <c r="AF275" s="14" t="s">
        <v>126</v>
      </c>
      <c r="AG275" s="14" t="s">
        <v>708</v>
      </c>
      <c r="AH275" s="14"/>
      <c r="AI275" s="14"/>
      <c r="AJ275" s="14"/>
      <c r="AK275" s="14"/>
      <c r="AL275" s="14"/>
      <c r="AM275" s="14"/>
      <c r="AN275" s="14" t="s">
        <v>302</v>
      </c>
      <c r="AO275" s="14" t="s">
        <v>699</v>
      </c>
      <c r="AP275" s="14" t="s">
        <v>146</v>
      </c>
      <c r="AQ275" s="14"/>
      <c r="AR275" s="22"/>
      <c r="AS275" s="22" t="s">
        <v>241</v>
      </c>
      <c r="AT275" s="22" t="s">
        <v>166</v>
      </c>
      <c r="AU275" s="25" t="str">
        <f>VLOOKUP(O275,[1]Lookup!A:B,2,FALSE)</f>
        <v>DMO</v>
      </c>
      <c r="AV275" s="25" t="e">
        <f>VLOOKUP(test1[[#This Row],[Assignee]],lookup[#All],2,FALSE)</f>
        <v>#N/A</v>
      </c>
      <c r="AW275" s="25">
        <f ca="1">IF(test1[[#This Row],[Status]]&lt;&gt;"Closed", TODAY()-INT(test1[[#This Row],[Created]]),INT(test1[[#This Row],[Resolved]])-INT(test1[[#This Row],[Created]]))</f>
        <v>41</v>
      </c>
    </row>
    <row r="276" spans="1:49" ht="327.75" x14ac:dyDescent="0.2">
      <c r="A276" s="48" t="s">
        <v>86</v>
      </c>
      <c r="B276" s="29" t="s">
        <v>695</v>
      </c>
      <c r="C276" s="27" t="s">
        <v>696</v>
      </c>
      <c r="D276" s="22" t="s">
        <v>117</v>
      </c>
      <c r="E276" s="22" t="s">
        <v>477</v>
      </c>
      <c r="F276" s="27"/>
      <c r="G276" s="27" t="s">
        <v>203</v>
      </c>
      <c r="H276" s="27"/>
      <c r="I276" s="27"/>
      <c r="J276" s="14" t="s">
        <v>91</v>
      </c>
      <c r="K276" s="14" t="s">
        <v>59</v>
      </c>
      <c r="L276" s="14" t="s">
        <v>93</v>
      </c>
      <c r="M276" s="14" t="s">
        <v>132</v>
      </c>
      <c r="N276" s="18" t="s">
        <v>202</v>
      </c>
      <c r="O276" s="14" t="s">
        <v>36</v>
      </c>
      <c r="P276" s="19">
        <v>42787.661111111112</v>
      </c>
      <c r="Q276" s="19">
        <v>42788.75</v>
      </c>
      <c r="R276" s="19">
        <v>42788.75</v>
      </c>
      <c r="S276" s="14" t="s">
        <v>203</v>
      </c>
      <c r="T276" s="14" t="s">
        <v>204</v>
      </c>
      <c r="U276" s="14" t="s">
        <v>242</v>
      </c>
      <c r="V276" s="14"/>
      <c r="W276" s="14">
        <v>0</v>
      </c>
      <c r="X276" s="14">
        <v>0</v>
      </c>
      <c r="Y276" s="14" t="s">
        <v>697</v>
      </c>
      <c r="Z276" s="14"/>
      <c r="AA276" s="14"/>
      <c r="AB276" s="14"/>
      <c r="AC276" s="14"/>
      <c r="AD276" s="14"/>
      <c r="AE276" s="14"/>
      <c r="AF276" s="14" t="s">
        <v>126</v>
      </c>
      <c r="AG276" s="14" t="s">
        <v>698</v>
      </c>
      <c r="AH276" s="14"/>
      <c r="AI276" s="14"/>
      <c r="AJ276" s="14"/>
      <c r="AK276" s="14"/>
      <c r="AL276" s="14"/>
      <c r="AM276" s="14"/>
      <c r="AN276" s="14" t="s">
        <v>302</v>
      </c>
      <c r="AO276" s="14" t="s">
        <v>699</v>
      </c>
      <c r="AP276" s="14"/>
      <c r="AQ276" s="14"/>
      <c r="AR276" s="22"/>
      <c r="AS276" s="22" t="s">
        <v>117</v>
      </c>
      <c r="AT276" s="22" t="s">
        <v>477</v>
      </c>
      <c r="AU276" s="25" t="str">
        <f>VLOOKUP(O276,[1]Lookup!A:B,2,FALSE)</f>
        <v>DMO</v>
      </c>
      <c r="AV276" s="25" t="e">
        <f>VLOOKUP(test1[[#This Row],[Assignee]],lookup[#All],2,FALSE)</f>
        <v>#N/A</v>
      </c>
      <c r="AW276" s="25">
        <f ca="1">IF(test1[[#This Row],[Status]]&lt;&gt;"Closed", TODAY()-INT(test1[[#This Row],[Created]]),INT(test1[[#This Row],[Resolved]])-INT(test1[[#This Row],[Created]]))</f>
        <v>41</v>
      </c>
    </row>
    <row r="277" spans="1:49" ht="313.5" x14ac:dyDescent="0.2">
      <c r="A277" s="48" t="s">
        <v>86</v>
      </c>
      <c r="B277" s="29" t="s">
        <v>690</v>
      </c>
      <c r="C277" s="27" t="s">
        <v>691</v>
      </c>
      <c r="D277" s="22" t="s">
        <v>117</v>
      </c>
      <c r="E277" s="22" t="s">
        <v>692</v>
      </c>
      <c r="F277" s="27"/>
      <c r="G277" s="27"/>
      <c r="H277" s="27"/>
      <c r="I277" s="27"/>
      <c r="J277" s="14" t="s">
        <v>91</v>
      </c>
      <c r="K277" s="14" t="s">
        <v>59</v>
      </c>
      <c r="L277" s="14" t="s">
        <v>93</v>
      </c>
      <c r="M277" s="14" t="s">
        <v>132</v>
      </c>
      <c r="N277" s="18" t="s">
        <v>27</v>
      </c>
      <c r="O277" s="14" t="s">
        <v>27</v>
      </c>
      <c r="P277" s="19">
        <v>42787.749305555553</v>
      </c>
      <c r="Q277" s="19">
        <v>42811.475694444445</v>
      </c>
      <c r="R277" s="19">
        <v>42788.773611111108</v>
      </c>
      <c r="S277" s="14" t="s">
        <v>203</v>
      </c>
      <c r="T277" s="14" t="s">
        <v>203</v>
      </c>
      <c r="U277" s="14" t="s">
        <v>117</v>
      </c>
      <c r="V277" s="14"/>
      <c r="W277" s="14">
        <v>0</v>
      </c>
      <c r="X277" s="14">
        <v>0</v>
      </c>
      <c r="Y277" s="14"/>
      <c r="Z277" s="14"/>
      <c r="AA277" s="14"/>
      <c r="AB277" s="14"/>
      <c r="AC277" s="14"/>
      <c r="AD277" s="14"/>
      <c r="AE277" s="14"/>
      <c r="AF277" s="14"/>
      <c r="AG277" s="14" t="s">
        <v>693</v>
      </c>
      <c r="AH277" s="14"/>
      <c r="AI277" s="14"/>
      <c r="AJ277" s="14"/>
      <c r="AK277" s="14"/>
      <c r="AL277" s="14"/>
      <c r="AM277" s="14"/>
      <c r="AN277" s="14" t="s">
        <v>408</v>
      </c>
      <c r="AO277" s="14" t="s">
        <v>694</v>
      </c>
      <c r="AP277" s="14"/>
      <c r="AQ277" s="14"/>
      <c r="AR277" s="22"/>
      <c r="AS277" s="22" t="s">
        <v>117</v>
      </c>
      <c r="AT277" s="22" t="s">
        <v>408</v>
      </c>
      <c r="AU277" s="25" t="str">
        <f>VLOOKUP(O277,[1]Lookup!A:B,2,FALSE)</f>
        <v>BTS-Dev</v>
      </c>
      <c r="AV277" s="25" t="str">
        <f>VLOOKUP(test1[[#This Row],[Assignee]],lookup[#All],2,FALSE)</f>
        <v>BTS-Dev</v>
      </c>
      <c r="AW277" s="25">
        <f ca="1">IF(test1[[#This Row],[Status]]&lt;&gt;"Closed", TODAY()-INT(test1[[#This Row],[Created]]),INT(test1[[#This Row],[Resolved]])-INT(test1[[#This Row],[Created]]))</f>
        <v>41</v>
      </c>
    </row>
    <row r="278" spans="1:49" ht="199.5" x14ac:dyDescent="0.2">
      <c r="A278" s="48" t="s">
        <v>86</v>
      </c>
      <c r="B278" s="29" t="s">
        <v>686</v>
      </c>
      <c r="C278" s="27" t="s">
        <v>687</v>
      </c>
      <c r="D278" s="22" t="s">
        <v>117</v>
      </c>
      <c r="E278" s="22" t="s">
        <v>477</v>
      </c>
      <c r="F278" s="27"/>
      <c r="G278" s="27" t="s">
        <v>203</v>
      </c>
      <c r="H278" s="27"/>
      <c r="I278" s="27"/>
      <c r="J278" s="14" t="s">
        <v>91</v>
      </c>
      <c r="K278" s="14" t="s">
        <v>59</v>
      </c>
      <c r="L278" s="14" t="s">
        <v>124</v>
      </c>
      <c r="M278" s="14" t="s">
        <v>132</v>
      </c>
      <c r="N278" s="18" t="s">
        <v>27</v>
      </c>
      <c r="O278" s="14" t="s">
        <v>27</v>
      </c>
      <c r="P278" s="19">
        <v>42787.750694444447</v>
      </c>
      <c r="Q278" s="19">
        <v>42811.448611111111</v>
      </c>
      <c r="R278" s="19">
        <v>42788.472916666666</v>
      </c>
      <c r="S278" s="14" t="s">
        <v>203</v>
      </c>
      <c r="T278" s="14" t="s">
        <v>203</v>
      </c>
      <c r="U278" s="14" t="s">
        <v>117</v>
      </c>
      <c r="V278" s="14"/>
      <c r="W278" s="14">
        <v>0</v>
      </c>
      <c r="X278" s="14">
        <v>0</v>
      </c>
      <c r="Y278" s="14"/>
      <c r="Z278" s="14"/>
      <c r="AA278" s="14"/>
      <c r="AB278" s="14"/>
      <c r="AC278" s="14"/>
      <c r="AD278" s="14"/>
      <c r="AE278" s="14"/>
      <c r="AF278" s="14"/>
      <c r="AG278" s="14" t="s">
        <v>688</v>
      </c>
      <c r="AH278" s="14"/>
      <c r="AI278" s="14"/>
      <c r="AJ278" s="14"/>
      <c r="AK278" s="14"/>
      <c r="AL278" s="14"/>
      <c r="AM278" s="14"/>
      <c r="AN278" s="14" t="s">
        <v>408</v>
      </c>
      <c r="AO278" s="14" t="s">
        <v>689</v>
      </c>
      <c r="AP278" s="14"/>
      <c r="AQ278" s="14"/>
      <c r="AR278" s="22"/>
      <c r="AS278" s="22" t="s">
        <v>117</v>
      </c>
      <c r="AT278" s="22" t="s">
        <v>477</v>
      </c>
      <c r="AU278" s="25" t="str">
        <f>VLOOKUP(O278,[1]Lookup!A:B,2,FALSE)</f>
        <v>BTS-Dev</v>
      </c>
      <c r="AV278" s="25" t="str">
        <f>VLOOKUP(test1[[#This Row],[Assignee]],lookup[#All],2,FALSE)</f>
        <v>BTS-Dev</v>
      </c>
      <c r="AW278" s="25">
        <f ca="1">IF(test1[[#This Row],[Status]]&lt;&gt;"Closed", TODAY()-INT(test1[[#This Row],[Created]]),INT(test1[[#This Row],[Resolved]])-INT(test1[[#This Row],[Created]]))</f>
        <v>41</v>
      </c>
    </row>
    <row r="279" spans="1:49" ht="185.25" x14ac:dyDescent="0.2">
      <c r="A279" s="48" t="s">
        <v>86</v>
      </c>
      <c r="B279" s="29" t="s">
        <v>682</v>
      </c>
      <c r="C279" s="27" t="s">
        <v>683</v>
      </c>
      <c r="D279" s="22" t="s">
        <v>117</v>
      </c>
      <c r="E279" s="22" t="s">
        <v>477</v>
      </c>
      <c r="F279" s="27"/>
      <c r="G279" s="27"/>
      <c r="H279" s="27"/>
      <c r="I279" s="27"/>
      <c r="J279" s="14" t="s">
        <v>91</v>
      </c>
      <c r="K279" s="14" t="s">
        <v>59</v>
      </c>
      <c r="L279" s="14" t="s">
        <v>93</v>
      </c>
      <c r="M279" s="14" t="s">
        <v>132</v>
      </c>
      <c r="N279" s="18" t="s">
        <v>27</v>
      </c>
      <c r="O279" s="14" t="s">
        <v>27</v>
      </c>
      <c r="P279" s="19">
        <v>42787.75277777778</v>
      </c>
      <c r="Q279" s="19">
        <v>42811.486111111109</v>
      </c>
      <c r="R279" s="19">
        <v>42788.747916666667</v>
      </c>
      <c r="S279" s="14" t="s">
        <v>203</v>
      </c>
      <c r="T279" s="14" t="s">
        <v>203</v>
      </c>
      <c r="U279" s="14" t="s">
        <v>117</v>
      </c>
      <c r="V279" s="14"/>
      <c r="W279" s="14">
        <v>0</v>
      </c>
      <c r="X279" s="14">
        <v>0</v>
      </c>
      <c r="Y279" s="14"/>
      <c r="Z279" s="14"/>
      <c r="AA279" s="14"/>
      <c r="AB279" s="14"/>
      <c r="AC279" s="14"/>
      <c r="AD279" s="14"/>
      <c r="AE279" s="14"/>
      <c r="AF279" s="14"/>
      <c r="AG279" s="14" t="s">
        <v>684</v>
      </c>
      <c r="AH279" s="14"/>
      <c r="AI279" s="14"/>
      <c r="AJ279" s="14"/>
      <c r="AK279" s="14"/>
      <c r="AL279" s="14"/>
      <c r="AM279" s="14"/>
      <c r="AN279" s="14" t="s">
        <v>255</v>
      </c>
      <c r="AO279" s="14" t="s">
        <v>685</v>
      </c>
      <c r="AP279" s="14"/>
      <c r="AQ279" s="14"/>
      <c r="AR279" s="22"/>
      <c r="AS279" s="22" t="s">
        <v>117</v>
      </c>
      <c r="AT279" s="22" t="s">
        <v>477</v>
      </c>
      <c r="AU279" s="25" t="str">
        <f>VLOOKUP(O279,[1]Lookup!A:B,2,FALSE)</f>
        <v>BTS-Dev</v>
      </c>
      <c r="AV279" s="25" t="str">
        <f>VLOOKUP(test1[[#This Row],[Assignee]],lookup[#All],2,FALSE)</f>
        <v>BTS-Dev</v>
      </c>
      <c r="AW279" s="25">
        <f ca="1">IF(test1[[#This Row],[Status]]&lt;&gt;"Closed", TODAY()-INT(test1[[#This Row],[Created]]),INT(test1[[#This Row],[Resolved]])-INT(test1[[#This Row],[Created]]))</f>
        <v>41</v>
      </c>
    </row>
    <row r="280" spans="1:49" ht="142.5" x14ac:dyDescent="0.2">
      <c r="A280" s="48" t="s">
        <v>86</v>
      </c>
      <c r="B280" s="29" t="s">
        <v>675</v>
      </c>
      <c r="C280" s="27" t="s">
        <v>676</v>
      </c>
      <c r="D280" s="22" t="s">
        <v>117</v>
      </c>
      <c r="E280" s="22" t="s">
        <v>677</v>
      </c>
      <c r="F280" s="27" t="s">
        <v>678</v>
      </c>
      <c r="G280" s="27" t="s">
        <v>261</v>
      </c>
      <c r="H280" s="27" t="s">
        <v>679</v>
      </c>
      <c r="I280" s="27"/>
      <c r="J280" s="14" t="s">
        <v>91</v>
      </c>
      <c r="K280" s="14" t="s">
        <v>59</v>
      </c>
      <c r="L280" s="14" t="s">
        <v>93</v>
      </c>
      <c r="M280" s="14" t="s">
        <v>132</v>
      </c>
      <c r="N280" s="18" t="s">
        <v>27</v>
      </c>
      <c r="O280" s="14" t="s">
        <v>27</v>
      </c>
      <c r="P280" s="19">
        <v>42787.754166666666</v>
      </c>
      <c r="Q280" s="19">
        <v>42811.475694444445</v>
      </c>
      <c r="R280" s="19">
        <v>42794.802777777775</v>
      </c>
      <c r="S280" s="14" t="s">
        <v>203</v>
      </c>
      <c r="T280" s="14" t="s">
        <v>155</v>
      </c>
      <c r="U280" s="14" t="s">
        <v>117</v>
      </c>
      <c r="V280" s="14"/>
      <c r="W280" s="14">
        <v>0</v>
      </c>
      <c r="X280" s="14">
        <v>0</v>
      </c>
      <c r="Y280" s="14"/>
      <c r="Z280" s="14"/>
      <c r="AA280" s="14"/>
      <c r="AB280" s="14"/>
      <c r="AC280" s="14"/>
      <c r="AD280" s="14"/>
      <c r="AE280" s="14"/>
      <c r="AF280" s="14"/>
      <c r="AG280" s="14" t="s">
        <v>680</v>
      </c>
      <c r="AH280" s="14"/>
      <c r="AI280" s="14"/>
      <c r="AJ280" s="14"/>
      <c r="AK280" s="14"/>
      <c r="AL280" s="14"/>
      <c r="AM280" s="14"/>
      <c r="AN280" s="14" t="s">
        <v>123</v>
      </c>
      <c r="AO280" s="14" t="s">
        <v>681</v>
      </c>
      <c r="AP280" s="14"/>
      <c r="AQ280" s="14"/>
      <c r="AR280" s="22"/>
      <c r="AS280" s="22" t="s">
        <v>117</v>
      </c>
      <c r="AT280" s="22" t="s">
        <v>677</v>
      </c>
      <c r="AU280" s="25" t="str">
        <f>VLOOKUP(O280,[1]Lookup!A:B,2,FALSE)</f>
        <v>BTS-Dev</v>
      </c>
      <c r="AV280" s="25" t="str">
        <f>VLOOKUP(test1[[#This Row],[Assignee]],lookup[#All],2,FALSE)</f>
        <v>BTS-Dev</v>
      </c>
      <c r="AW280" s="25">
        <f ca="1">IF(test1[[#This Row],[Status]]&lt;&gt;"Closed", TODAY()-INT(test1[[#This Row],[Created]]),INT(test1[[#This Row],[Resolved]])-INT(test1[[#This Row],[Created]]))</f>
        <v>41</v>
      </c>
    </row>
    <row r="281" spans="1:49" ht="409.5" x14ac:dyDescent="0.2">
      <c r="A281" s="48" t="s">
        <v>86</v>
      </c>
      <c r="B281" s="29" t="s">
        <v>669</v>
      </c>
      <c r="C281" s="26" t="s">
        <v>670</v>
      </c>
      <c r="D281" s="22" t="s">
        <v>89</v>
      </c>
      <c r="E281" s="22" t="s">
        <v>671</v>
      </c>
      <c r="F281" s="26" t="s">
        <v>672</v>
      </c>
      <c r="G281" s="26" t="s">
        <v>659</v>
      </c>
      <c r="H281" s="26" t="s">
        <v>526</v>
      </c>
      <c r="I281" s="26" t="s">
        <v>527</v>
      </c>
      <c r="J281" s="14" t="s">
        <v>91</v>
      </c>
      <c r="K281" s="14" t="s">
        <v>59</v>
      </c>
      <c r="L281" s="14" t="s">
        <v>93</v>
      </c>
      <c r="M281" s="14" t="s">
        <v>132</v>
      </c>
      <c r="N281" s="18" t="s">
        <v>27</v>
      </c>
      <c r="O281" s="14" t="s">
        <v>27</v>
      </c>
      <c r="P281" s="19">
        <v>42787.757638888892</v>
      </c>
      <c r="Q281" s="19">
        <v>42811.476388888892</v>
      </c>
      <c r="R281" s="19">
        <v>42810.459722222222</v>
      </c>
      <c r="S281" s="14" t="s">
        <v>203</v>
      </c>
      <c r="T281" s="14" t="s">
        <v>104</v>
      </c>
      <c r="U281" s="14" t="s">
        <v>117</v>
      </c>
      <c r="V281" s="14"/>
      <c r="W281" s="14">
        <v>0</v>
      </c>
      <c r="X281" s="14">
        <v>0</v>
      </c>
      <c r="Y281" s="14"/>
      <c r="Z281" s="14"/>
      <c r="AA281" s="14"/>
      <c r="AB281" s="14"/>
      <c r="AC281" s="14"/>
      <c r="AD281" s="14"/>
      <c r="AE281" s="14"/>
      <c r="AF281" s="14"/>
      <c r="AG281" s="14" t="s">
        <v>673</v>
      </c>
      <c r="AH281" s="14"/>
      <c r="AI281" s="14"/>
      <c r="AJ281" s="14"/>
      <c r="AK281" s="14"/>
      <c r="AL281" s="14"/>
      <c r="AM281" s="14"/>
      <c r="AN281" s="14" t="s">
        <v>408</v>
      </c>
      <c r="AO281" s="14" t="s">
        <v>674</v>
      </c>
      <c r="AP281" s="14"/>
      <c r="AQ281" s="14"/>
      <c r="AR281" s="22"/>
      <c r="AS281" s="22" t="s">
        <v>89</v>
      </c>
      <c r="AT281" s="22" t="s">
        <v>671</v>
      </c>
      <c r="AU281" s="25" t="str">
        <f>VLOOKUP(O281,[1]Lookup!A:B,2,FALSE)</f>
        <v>BTS-Dev</v>
      </c>
      <c r="AV281" s="25" t="str">
        <f>VLOOKUP(test1[[#This Row],[Assignee]],lookup[#All],2,FALSE)</f>
        <v>BTS-Dev</v>
      </c>
      <c r="AW281" s="25">
        <f ca="1">IF(test1[[#This Row],[Status]]&lt;&gt;"Closed", TODAY()-INT(test1[[#This Row],[Created]]),INT(test1[[#This Row],[Resolved]])-INT(test1[[#This Row],[Created]]))</f>
        <v>41</v>
      </c>
    </row>
    <row r="282" spans="1:49" ht="409.5" x14ac:dyDescent="0.2">
      <c r="A282" s="48" t="s">
        <v>86</v>
      </c>
      <c r="B282" s="29" t="s">
        <v>664</v>
      </c>
      <c r="C282" s="26" t="s">
        <v>665</v>
      </c>
      <c r="D282" s="22" t="s">
        <v>89</v>
      </c>
      <c r="E282" s="22" t="s">
        <v>507</v>
      </c>
      <c r="F282" s="26" t="s">
        <v>666</v>
      </c>
      <c r="G282" s="26" t="s">
        <v>312</v>
      </c>
      <c r="H282" s="26" t="s">
        <v>526</v>
      </c>
      <c r="I282" s="26" t="s">
        <v>527</v>
      </c>
      <c r="J282" s="14" t="s">
        <v>91</v>
      </c>
      <c r="K282" s="14" t="s">
        <v>110</v>
      </c>
      <c r="L282" s="14" t="s">
        <v>124</v>
      </c>
      <c r="M282" s="17" t="s">
        <v>94</v>
      </c>
      <c r="N282" s="18" t="s">
        <v>9</v>
      </c>
      <c r="O282" s="14" t="s">
        <v>21</v>
      </c>
      <c r="P282" s="19">
        <v>42788.417361111111</v>
      </c>
      <c r="Q282" s="19">
        <v>42807.87777777778</v>
      </c>
      <c r="R282" s="14"/>
      <c r="S282" s="14" t="s">
        <v>203</v>
      </c>
      <c r="T282" s="14" t="s">
        <v>312</v>
      </c>
      <c r="U282" s="14" t="s">
        <v>89</v>
      </c>
      <c r="V282" s="14"/>
      <c r="W282" s="14">
        <v>0</v>
      </c>
      <c r="X282" s="14">
        <v>0</v>
      </c>
      <c r="Y282" s="14"/>
      <c r="Z282" s="14"/>
      <c r="AA282" s="14"/>
      <c r="AB282" s="14"/>
      <c r="AC282" s="14"/>
      <c r="AD282" s="14"/>
      <c r="AE282" s="14"/>
      <c r="AF282" s="14"/>
      <c r="AG282" s="14" t="s">
        <v>667</v>
      </c>
      <c r="AH282" s="14"/>
      <c r="AI282" s="14"/>
      <c r="AJ282" s="14"/>
      <c r="AK282" s="14"/>
      <c r="AL282" s="14"/>
      <c r="AM282" s="14"/>
      <c r="AN282" s="14" t="s">
        <v>668</v>
      </c>
      <c r="AO282" s="14"/>
      <c r="AP282" s="14"/>
      <c r="AQ282" s="14"/>
      <c r="AR282" s="22"/>
      <c r="AS282" s="22" t="s">
        <v>89</v>
      </c>
      <c r="AT282" s="22" t="s">
        <v>513</v>
      </c>
      <c r="AU282" s="25" t="str">
        <f>VLOOKUP(O282,[1]Lookup!A:B,2,FALSE)</f>
        <v>Test-SIT</v>
      </c>
      <c r="AV282" s="25" t="str">
        <f>VLOOKUP(test1[[#This Row],[Assignee]],lookup[#All],2,FALSE)</f>
        <v>BTS-Platform</v>
      </c>
      <c r="AW282" s="25">
        <f ca="1">IF(test1[[#This Row],[Status]]&lt;&gt;"Closed", TODAY()-INT(test1[[#This Row],[Created]]),INT(test1[[#This Row],[Resolved]])-INT(test1[[#This Row],[Created]]))</f>
        <v>40</v>
      </c>
    </row>
    <row r="283" spans="1:49" ht="213.75" x14ac:dyDescent="0.2">
      <c r="A283" s="48" t="s">
        <v>86</v>
      </c>
      <c r="B283" s="29" t="s">
        <v>656</v>
      </c>
      <c r="C283" s="27" t="s">
        <v>657</v>
      </c>
      <c r="D283" s="22" t="s">
        <v>130</v>
      </c>
      <c r="E283" s="22" t="s">
        <v>658</v>
      </c>
      <c r="F283" s="27"/>
      <c r="G283" s="27" t="s">
        <v>659</v>
      </c>
      <c r="H283" s="27"/>
      <c r="I283" s="27"/>
      <c r="J283" s="14" t="s">
        <v>91</v>
      </c>
      <c r="K283" s="14" t="s">
        <v>59</v>
      </c>
      <c r="L283" s="14" t="s">
        <v>93</v>
      </c>
      <c r="M283" s="14" t="s">
        <v>132</v>
      </c>
      <c r="N283" s="18" t="s">
        <v>8</v>
      </c>
      <c r="O283" s="14" t="s">
        <v>8</v>
      </c>
      <c r="P283" s="19">
        <v>42788.5</v>
      </c>
      <c r="Q283" s="19">
        <v>42803.768750000003</v>
      </c>
      <c r="R283" s="19">
        <v>42803.768750000003</v>
      </c>
      <c r="S283" s="14" t="s">
        <v>660</v>
      </c>
      <c r="T283" s="14"/>
      <c r="U283" s="14" t="s">
        <v>242</v>
      </c>
      <c r="V283" s="14"/>
      <c r="W283" s="14">
        <v>0</v>
      </c>
      <c r="X283" s="14">
        <v>0</v>
      </c>
      <c r="Y283" s="14"/>
      <c r="Z283" s="14"/>
      <c r="AA283" s="14"/>
      <c r="AB283" s="14"/>
      <c r="AC283" s="14"/>
      <c r="AD283" s="14"/>
      <c r="AE283" s="14"/>
      <c r="AF283" s="14"/>
      <c r="AG283" s="14" t="s">
        <v>661</v>
      </c>
      <c r="AH283" s="14"/>
      <c r="AI283" s="14"/>
      <c r="AJ283" s="14"/>
      <c r="AK283" s="14"/>
      <c r="AL283" s="14"/>
      <c r="AM283" s="14"/>
      <c r="AN283" s="14" t="s">
        <v>662</v>
      </c>
      <c r="AO283" s="14" t="s">
        <v>663</v>
      </c>
      <c r="AP283" s="14" t="s">
        <v>146</v>
      </c>
      <c r="AQ283" s="14"/>
      <c r="AR283" s="22"/>
      <c r="AS283" s="22" t="s">
        <v>130</v>
      </c>
      <c r="AT283" s="22" t="s">
        <v>658</v>
      </c>
      <c r="AU283" s="25" t="str">
        <f>VLOOKUP(O283,[1]Lookup!A:B,2,FALSE)</f>
        <v>BTS-Dev</v>
      </c>
      <c r="AV283" s="25" t="str">
        <f>VLOOKUP(test1[[#This Row],[Assignee]],lookup[#All],2,FALSE)</f>
        <v>BTS-Dev</v>
      </c>
      <c r="AW283" s="25">
        <f ca="1">IF(test1[[#This Row],[Status]]&lt;&gt;"Closed", TODAY()-INT(test1[[#This Row],[Created]]),INT(test1[[#This Row],[Resolved]])-INT(test1[[#This Row],[Created]]))</f>
        <v>40</v>
      </c>
    </row>
    <row r="284" spans="1:49" ht="409.5" x14ac:dyDescent="0.2">
      <c r="A284" s="48" t="s">
        <v>86</v>
      </c>
      <c r="B284" s="29" t="s">
        <v>652</v>
      </c>
      <c r="C284" s="27" t="s">
        <v>653</v>
      </c>
      <c r="D284" s="22" t="s">
        <v>89</v>
      </c>
      <c r="E284" s="22" t="s">
        <v>214</v>
      </c>
      <c r="F284" s="27"/>
      <c r="G284" s="27" t="s">
        <v>528</v>
      </c>
      <c r="H284" s="27"/>
      <c r="I284" s="27"/>
      <c r="J284" s="14" t="s">
        <v>91</v>
      </c>
      <c r="K284" s="14" t="s">
        <v>59</v>
      </c>
      <c r="L284" s="14" t="s">
        <v>124</v>
      </c>
      <c r="M284" s="14" t="s">
        <v>132</v>
      </c>
      <c r="N284" s="18" t="s">
        <v>38</v>
      </c>
      <c r="O284" s="14" t="s">
        <v>38</v>
      </c>
      <c r="P284" s="19">
        <v>42788.645138888889</v>
      </c>
      <c r="Q284" s="19">
        <v>42803.768750000003</v>
      </c>
      <c r="R284" s="19">
        <v>42803.768750000003</v>
      </c>
      <c r="S284" s="14" t="s">
        <v>203</v>
      </c>
      <c r="T284" s="14" t="s">
        <v>155</v>
      </c>
      <c r="U284" s="14" t="s">
        <v>117</v>
      </c>
      <c r="V284" s="14"/>
      <c r="W284" s="14">
        <v>0</v>
      </c>
      <c r="X284" s="14">
        <v>0</v>
      </c>
      <c r="Y284" s="14"/>
      <c r="Z284" s="14"/>
      <c r="AA284" s="14"/>
      <c r="AB284" s="14"/>
      <c r="AC284" s="14"/>
      <c r="AD284" s="14"/>
      <c r="AE284" s="14"/>
      <c r="AF284" s="14"/>
      <c r="AG284" s="14" t="s">
        <v>654</v>
      </c>
      <c r="AH284" s="14"/>
      <c r="AI284" s="14"/>
      <c r="AJ284" s="14"/>
      <c r="AK284" s="14"/>
      <c r="AL284" s="14"/>
      <c r="AM284" s="14"/>
      <c r="AN284" s="14" t="s">
        <v>408</v>
      </c>
      <c r="AO284" s="14" t="s">
        <v>655</v>
      </c>
      <c r="AP284" s="14"/>
      <c r="AQ284" s="14"/>
      <c r="AR284" s="22"/>
      <c r="AS284" s="22" t="s">
        <v>89</v>
      </c>
      <c r="AT284" s="22" t="s">
        <v>214</v>
      </c>
      <c r="AU284" s="25" t="str">
        <f>VLOOKUP(O284,[1]Lookup!A:B,2,FALSE)</f>
        <v>DMO</v>
      </c>
      <c r="AV284" s="25" t="str">
        <f>VLOOKUP(test1[[#This Row],[Assignee]],lookup[#All],2,FALSE)</f>
        <v>DMO</v>
      </c>
      <c r="AW284" s="25">
        <f ca="1">IF(test1[[#This Row],[Status]]&lt;&gt;"Closed", TODAY()-INT(test1[[#This Row],[Created]]),INT(test1[[#This Row],[Resolved]])-INT(test1[[#This Row],[Created]]))</f>
        <v>40</v>
      </c>
    </row>
    <row r="285" spans="1:49" ht="285" x14ac:dyDescent="0.2">
      <c r="A285" s="48" t="s">
        <v>86</v>
      </c>
      <c r="B285" s="29" t="s">
        <v>646</v>
      </c>
      <c r="C285" s="27" t="s">
        <v>647</v>
      </c>
      <c r="D285" s="22" t="s">
        <v>89</v>
      </c>
      <c r="E285" s="22" t="s">
        <v>398</v>
      </c>
      <c r="F285" s="37" t="s">
        <v>608</v>
      </c>
      <c r="G285" s="37"/>
      <c r="H285" s="37"/>
      <c r="I285" s="37" t="s">
        <v>609</v>
      </c>
      <c r="J285" s="14" t="s">
        <v>91</v>
      </c>
      <c r="K285" s="14" t="s">
        <v>59</v>
      </c>
      <c r="L285" s="14" t="s">
        <v>93</v>
      </c>
      <c r="M285" s="14" t="s">
        <v>132</v>
      </c>
      <c r="N285" s="18" t="s">
        <v>30</v>
      </c>
      <c r="O285" s="14" t="s">
        <v>30</v>
      </c>
      <c r="P285" s="19">
        <v>42788.737500000003</v>
      </c>
      <c r="Q285" s="19">
        <v>42794.442361111112</v>
      </c>
      <c r="R285" s="19">
        <v>42794.442361111112</v>
      </c>
      <c r="S285" s="14" t="s">
        <v>510</v>
      </c>
      <c r="T285" s="14" t="s">
        <v>528</v>
      </c>
      <c r="U285" s="14" t="s">
        <v>96</v>
      </c>
      <c r="V285" s="14"/>
      <c r="W285" s="14">
        <v>0</v>
      </c>
      <c r="X285" s="14">
        <v>0</v>
      </c>
      <c r="Y285" s="14"/>
      <c r="Z285" s="14"/>
      <c r="AA285" s="14"/>
      <c r="AB285" s="14"/>
      <c r="AC285" s="14"/>
      <c r="AD285" s="14"/>
      <c r="AE285" s="14"/>
      <c r="AF285" s="14" t="s">
        <v>648</v>
      </c>
      <c r="AG285" s="14" t="s">
        <v>649</v>
      </c>
      <c r="AH285" s="14"/>
      <c r="AI285" s="14"/>
      <c r="AJ285" s="14"/>
      <c r="AK285" s="14"/>
      <c r="AL285" s="14"/>
      <c r="AM285" s="14"/>
      <c r="AN285" s="14" t="s">
        <v>650</v>
      </c>
      <c r="AO285" s="14" t="s">
        <v>651</v>
      </c>
      <c r="AP285" s="14"/>
      <c r="AQ285" s="14"/>
      <c r="AR285" s="22"/>
      <c r="AS285" s="22" t="s">
        <v>89</v>
      </c>
      <c r="AT285" s="22" t="s">
        <v>398</v>
      </c>
      <c r="AU285" s="25" t="str">
        <f>VLOOKUP(O285,[1]Lookup!A:B,2,FALSE)</f>
        <v>Test-SIT</v>
      </c>
      <c r="AV285" s="25" t="str">
        <f>VLOOKUP(test1[[#This Row],[Assignee]],lookup[#All],2,FALSE)</f>
        <v>Test-SIT</v>
      </c>
      <c r="AW285" s="25">
        <f ca="1">IF(test1[[#This Row],[Status]]&lt;&gt;"Closed", TODAY()-INT(test1[[#This Row],[Created]]),INT(test1[[#This Row],[Resolved]])-INT(test1[[#This Row],[Created]]))</f>
        <v>40</v>
      </c>
    </row>
    <row r="286" spans="1:49" ht="409.5" x14ac:dyDescent="0.2">
      <c r="A286" s="48" t="s">
        <v>86</v>
      </c>
      <c r="B286" s="29" t="s">
        <v>640</v>
      </c>
      <c r="C286" s="27" t="s">
        <v>641</v>
      </c>
      <c r="D286" s="22" t="s">
        <v>89</v>
      </c>
      <c r="E286" s="22" t="s">
        <v>214</v>
      </c>
      <c r="F286" s="37" t="s">
        <v>608</v>
      </c>
      <c r="G286" s="37" t="s">
        <v>451</v>
      </c>
      <c r="H286" s="37"/>
      <c r="I286" s="37" t="s">
        <v>609</v>
      </c>
      <c r="J286" s="14" t="s">
        <v>91</v>
      </c>
      <c r="K286" s="14" t="s">
        <v>59</v>
      </c>
      <c r="L286" s="14" t="s">
        <v>124</v>
      </c>
      <c r="M286" s="14" t="s">
        <v>132</v>
      </c>
      <c r="N286" s="18" t="s">
        <v>30</v>
      </c>
      <c r="O286" s="14" t="s">
        <v>22</v>
      </c>
      <c r="P286" s="19">
        <v>42788.743055555555</v>
      </c>
      <c r="Q286" s="19">
        <v>42795.839583333334</v>
      </c>
      <c r="R286" s="19">
        <v>42794.536111111112</v>
      </c>
      <c r="S286" s="14" t="s">
        <v>642</v>
      </c>
      <c r="T286" s="14"/>
      <c r="U286" s="14" t="s">
        <v>96</v>
      </c>
      <c r="V286" s="14"/>
      <c r="W286" s="14">
        <v>0</v>
      </c>
      <c r="X286" s="14">
        <v>0</v>
      </c>
      <c r="Y286" s="20" t="s">
        <v>643</v>
      </c>
      <c r="Z286" s="14"/>
      <c r="AA286" s="14"/>
      <c r="AB286" s="14"/>
      <c r="AC286" s="14"/>
      <c r="AD286" s="14"/>
      <c r="AE286" s="14"/>
      <c r="AF286" s="14" t="s">
        <v>644</v>
      </c>
      <c r="AG286" s="14" t="s">
        <v>645</v>
      </c>
      <c r="AH286" s="14"/>
      <c r="AI286" s="14"/>
      <c r="AJ286" s="14"/>
      <c r="AK286" s="14"/>
      <c r="AL286" s="14"/>
      <c r="AM286" s="14"/>
      <c r="AN286" s="14" t="s">
        <v>99</v>
      </c>
      <c r="AO286" s="14" t="s">
        <v>577</v>
      </c>
      <c r="AP286" s="14"/>
      <c r="AQ286" s="14"/>
      <c r="AR286" s="22"/>
      <c r="AS286" s="22" t="s">
        <v>89</v>
      </c>
      <c r="AT286" s="22" t="s">
        <v>214</v>
      </c>
      <c r="AU286" s="25" t="str">
        <f>VLOOKUP(O286,[1]Lookup!A:B,2,FALSE)</f>
        <v>Test-SIT</v>
      </c>
      <c r="AV286" s="25" t="str">
        <f>VLOOKUP(test1[[#This Row],[Assignee]],lookup[#All],2,FALSE)</f>
        <v>Test-SIT</v>
      </c>
      <c r="AW286" s="25">
        <f ca="1">IF(test1[[#This Row],[Status]]&lt;&gt;"Closed", TODAY()-INT(test1[[#This Row],[Created]]),INT(test1[[#This Row],[Resolved]])-INT(test1[[#This Row],[Created]]))</f>
        <v>40</v>
      </c>
    </row>
    <row r="287" spans="1:49" ht="270.75" x14ac:dyDescent="0.2">
      <c r="A287" s="48" t="s">
        <v>86</v>
      </c>
      <c r="B287" s="29" t="s">
        <v>632</v>
      </c>
      <c r="C287" s="27" t="s">
        <v>633</v>
      </c>
      <c r="D287" s="22" t="s">
        <v>89</v>
      </c>
      <c r="E287" s="22" t="s">
        <v>634</v>
      </c>
      <c r="F287" s="26" t="s">
        <v>635</v>
      </c>
      <c r="G287" s="26" t="s">
        <v>373</v>
      </c>
      <c r="H287" s="26" t="s">
        <v>526</v>
      </c>
      <c r="I287" s="26" t="s">
        <v>636</v>
      </c>
      <c r="J287" s="14" t="s">
        <v>91</v>
      </c>
      <c r="K287" s="14" t="s">
        <v>59</v>
      </c>
      <c r="L287" s="14" t="s">
        <v>93</v>
      </c>
      <c r="M287" s="14" t="s">
        <v>132</v>
      </c>
      <c r="N287" s="18" t="s">
        <v>30</v>
      </c>
      <c r="O287" s="14" t="s">
        <v>21</v>
      </c>
      <c r="P287" s="19">
        <v>42788.767361111109</v>
      </c>
      <c r="Q287" s="19">
        <v>42794.535416666666</v>
      </c>
      <c r="R287" s="19">
        <v>42794.535416666666</v>
      </c>
      <c r="S287" s="14" t="s">
        <v>510</v>
      </c>
      <c r="T287" s="14" t="s">
        <v>451</v>
      </c>
      <c r="U287" s="14" t="s">
        <v>89</v>
      </c>
      <c r="V287" s="14"/>
      <c r="W287" s="14">
        <v>0</v>
      </c>
      <c r="X287" s="14">
        <v>0</v>
      </c>
      <c r="Y287" s="14"/>
      <c r="Z287" s="14"/>
      <c r="AA287" s="14"/>
      <c r="AB287" s="14"/>
      <c r="AC287" s="14"/>
      <c r="AD287" s="14"/>
      <c r="AE287" s="14"/>
      <c r="AF287" s="14"/>
      <c r="AG287" s="14" t="s">
        <v>637</v>
      </c>
      <c r="AH287" s="14"/>
      <c r="AI287" s="14"/>
      <c r="AJ287" s="14"/>
      <c r="AK287" s="14"/>
      <c r="AL287" s="14"/>
      <c r="AM287" s="14"/>
      <c r="AN287" s="14" t="s">
        <v>630</v>
      </c>
      <c r="AO287" s="14" t="s">
        <v>638</v>
      </c>
      <c r="AP287" s="14"/>
      <c r="AQ287" s="14"/>
      <c r="AR287" s="22"/>
      <c r="AS287" s="22" t="s">
        <v>89</v>
      </c>
      <c r="AT287" s="22" t="s">
        <v>639</v>
      </c>
      <c r="AU287" s="25" t="str">
        <f>VLOOKUP(O287,[1]Lookup!A:B,2,FALSE)</f>
        <v>Test-SIT</v>
      </c>
      <c r="AV287" s="25" t="str">
        <f>VLOOKUP(test1[[#This Row],[Assignee]],lookup[#All],2,FALSE)</f>
        <v>Test-SIT</v>
      </c>
      <c r="AW287" s="25">
        <f ca="1">IF(test1[[#This Row],[Status]]&lt;&gt;"Closed", TODAY()-INT(test1[[#This Row],[Created]]),INT(test1[[#This Row],[Resolved]])-INT(test1[[#This Row],[Created]]))</f>
        <v>40</v>
      </c>
    </row>
    <row r="288" spans="1:49" ht="228" x14ac:dyDescent="0.2">
      <c r="A288" s="48" t="s">
        <v>86</v>
      </c>
      <c r="B288" s="29" t="s">
        <v>625</v>
      </c>
      <c r="C288" s="26" t="s">
        <v>626</v>
      </c>
      <c r="D288" s="22" t="s">
        <v>89</v>
      </c>
      <c r="E288" s="22" t="s">
        <v>468</v>
      </c>
      <c r="F288" s="26" t="s">
        <v>627</v>
      </c>
      <c r="G288" s="26" t="s">
        <v>628</v>
      </c>
      <c r="H288" s="26" t="s">
        <v>526</v>
      </c>
      <c r="I288" s="26" t="s">
        <v>527</v>
      </c>
      <c r="J288" s="14" t="s">
        <v>91</v>
      </c>
      <c r="K288" s="14" t="s">
        <v>174</v>
      </c>
      <c r="L288" s="14" t="s">
        <v>93</v>
      </c>
      <c r="M288" s="17" t="s">
        <v>94</v>
      </c>
      <c r="N288" s="18" t="s">
        <v>21</v>
      </c>
      <c r="O288" s="14" t="s">
        <v>21</v>
      </c>
      <c r="P288" s="19">
        <v>42788.770138888889</v>
      </c>
      <c r="Q288" s="19">
        <v>42809.461805555555</v>
      </c>
      <c r="R288" s="14"/>
      <c r="S288" s="14" t="s">
        <v>203</v>
      </c>
      <c r="T288" s="14" t="s">
        <v>373</v>
      </c>
      <c r="U288" s="14" t="s">
        <v>89</v>
      </c>
      <c r="V288" s="14"/>
      <c r="W288" s="14">
        <v>0</v>
      </c>
      <c r="X288" s="14">
        <v>0</v>
      </c>
      <c r="Y288" s="14"/>
      <c r="Z288" s="14"/>
      <c r="AA288" s="14"/>
      <c r="AB288" s="14"/>
      <c r="AC288" s="14"/>
      <c r="AD288" s="14"/>
      <c r="AE288" s="14"/>
      <c r="AF288" s="14"/>
      <c r="AG288" s="14" t="s">
        <v>629</v>
      </c>
      <c r="AH288" s="14"/>
      <c r="AI288" s="14"/>
      <c r="AJ288" s="14"/>
      <c r="AK288" s="14"/>
      <c r="AL288" s="14"/>
      <c r="AM288" s="14"/>
      <c r="AN288" s="14" t="s">
        <v>630</v>
      </c>
      <c r="AO288" s="14" t="s">
        <v>631</v>
      </c>
      <c r="AP288" s="14"/>
      <c r="AQ288" s="14"/>
      <c r="AR288" s="22"/>
      <c r="AS288" s="22" t="s">
        <v>89</v>
      </c>
      <c r="AT288" s="22" t="s">
        <v>468</v>
      </c>
      <c r="AU288" s="25" t="str">
        <f>VLOOKUP(O288,[1]Lookup!A:B,2,FALSE)</f>
        <v>Test-SIT</v>
      </c>
      <c r="AV288" s="25" t="str">
        <f>VLOOKUP(test1[[#This Row],[Assignee]],lookup[#All],2,FALSE)</f>
        <v>Test-SIT</v>
      </c>
      <c r="AW288" s="25">
        <f ca="1">IF(test1[[#This Row],[Status]]&lt;&gt;"Closed", TODAY()-INT(test1[[#This Row],[Created]]),INT(test1[[#This Row],[Resolved]])-INT(test1[[#This Row],[Created]]))</f>
        <v>40</v>
      </c>
    </row>
    <row r="289" spans="1:49" ht="299.25" x14ac:dyDescent="0.2">
      <c r="A289" s="48" t="s">
        <v>86</v>
      </c>
      <c r="B289" s="29" t="s">
        <v>618</v>
      </c>
      <c r="C289" s="27" t="s">
        <v>619</v>
      </c>
      <c r="D289" s="22" t="s">
        <v>89</v>
      </c>
      <c r="E289" s="22" t="s">
        <v>477</v>
      </c>
      <c r="F289" s="26" t="s">
        <v>620</v>
      </c>
      <c r="G289" s="26" t="s">
        <v>312</v>
      </c>
      <c r="H289" s="26" t="s">
        <v>621</v>
      </c>
      <c r="I289" s="26" t="s">
        <v>527</v>
      </c>
      <c r="J289" s="14" t="s">
        <v>91</v>
      </c>
      <c r="K289" s="14" t="s">
        <v>59</v>
      </c>
      <c r="L289" s="14" t="s">
        <v>103</v>
      </c>
      <c r="M289" s="14" t="s">
        <v>132</v>
      </c>
      <c r="N289" s="18" t="s">
        <v>21</v>
      </c>
      <c r="O289" s="14" t="s">
        <v>21</v>
      </c>
      <c r="P289" s="19">
        <v>42788.770833333336</v>
      </c>
      <c r="Q289" s="19">
        <v>42809.575694444444</v>
      </c>
      <c r="R289" s="19">
        <v>42809.575694444444</v>
      </c>
      <c r="S289" s="14" t="s">
        <v>203</v>
      </c>
      <c r="T289" s="14" t="s">
        <v>155</v>
      </c>
      <c r="U289" s="14" t="s">
        <v>89</v>
      </c>
      <c r="V289" s="14"/>
      <c r="W289" s="14">
        <v>0</v>
      </c>
      <c r="X289" s="14">
        <v>0</v>
      </c>
      <c r="Y289" s="14"/>
      <c r="Z289" s="14"/>
      <c r="AA289" s="14"/>
      <c r="AB289" s="14"/>
      <c r="AC289" s="14"/>
      <c r="AD289" s="14"/>
      <c r="AE289" s="14" t="s">
        <v>622</v>
      </c>
      <c r="AF289" s="14"/>
      <c r="AG289" s="14" t="s">
        <v>623</v>
      </c>
      <c r="AH289" s="14"/>
      <c r="AI289" s="14"/>
      <c r="AJ289" s="14"/>
      <c r="AK289" s="14"/>
      <c r="AL289" s="14"/>
      <c r="AM289" s="14"/>
      <c r="AN289" s="14" t="s">
        <v>468</v>
      </c>
      <c r="AO289" s="14" t="s">
        <v>624</v>
      </c>
      <c r="AP289" s="14"/>
      <c r="AQ289" s="14"/>
      <c r="AR289" s="22"/>
      <c r="AS289" s="22" t="s">
        <v>89</v>
      </c>
      <c r="AT289" s="22" t="s">
        <v>477</v>
      </c>
      <c r="AU289" s="25" t="str">
        <f>VLOOKUP(O289,[1]Lookup!A:B,2,FALSE)</f>
        <v>Test-SIT</v>
      </c>
      <c r="AV289" s="25" t="str">
        <f>VLOOKUP(test1[[#This Row],[Assignee]],lookup[#All],2,FALSE)</f>
        <v>Test-SIT</v>
      </c>
      <c r="AW289" s="25">
        <f ca="1">IF(test1[[#This Row],[Status]]&lt;&gt;"Closed", TODAY()-INT(test1[[#This Row],[Created]]),INT(test1[[#This Row],[Resolved]])-INT(test1[[#This Row],[Created]]))</f>
        <v>40</v>
      </c>
    </row>
    <row r="290" spans="1:49" ht="270.75" x14ac:dyDescent="0.2">
      <c r="A290" s="48" t="s">
        <v>86</v>
      </c>
      <c r="B290" s="29" t="s">
        <v>613</v>
      </c>
      <c r="C290" s="27" t="s">
        <v>614</v>
      </c>
      <c r="D290" s="22" t="s">
        <v>89</v>
      </c>
      <c r="E290" s="39" t="s">
        <v>611</v>
      </c>
      <c r="F290" s="27"/>
      <c r="G290" s="27" t="s">
        <v>451</v>
      </c>
      <c r="H290" s="27"/>
      <c r="I290" s="27"/>
      <c r="J290" s="14" t="s">
        <v>91</v>
      </c>
      <c r="K290" s="14" t="s">
        <v>174</v>
      </c>
      <c r="L290" s="14" t="s">
        <v>93</v>
      </c>
      <c r="M290" s="17" t="s">
        <v>94</v>
      </c>
      <c r="N290" s="18" t="s">
        <v>21</v>
      </c>
      <c r="O290" s="14" t="s">
        <v>21</v>
      </c>
      <c r="P290" s="19">
        <v>42788.772222222222</v>
      </c>
      <c r="Q290" s="19">
        <v>42807.868055555555</v>
      </c>
      <c r="R290" s="14"/>
      <c r="S290" s="14" t="s">
        <v>203</v>
      </c>
      <c r="T290" s="14" t="s">
        <v>615</v>
      </c>
      <c r="U290" s="14" t="s">
        <v>89</v>
      </c>
      <c r="V290" s="14"/>
      <c r="W290" s="14">
        <v>0</v>
      </c>
      <c r="X290" s="14">
        <v>0</v>
      </c>
      <c r="Y290" s="14"/>
      <c r="Z290" s="14"/>
      <c r="AA290" s="14"/>
      <c r="AB290" s="14"/>
      <c r="AC290" s="14"/>
      <c r="AD290" s="14"/>
      <c r="AE290" s="14"/>
      <c r="AF290" s="14"/>
      <c r="AG290" s="14" t="s">
        <v>616</v>
      </c>
      <c r="AH290" s="14"/>
      <c r="AI290" s="14"/>
      <c r="AJ290" s="14"/>
      <c r="AK290" s="14"/>
      <c r="AL290" s="14"/>
      <c r="AM290" s="14"/>
      <c r="AN290" s="14" t="s">
        <v>477</v>
      </c>
      <c r="AO290" s="14" t="s">
        <v>617</v>
      </c>
      <c r="AP290" s="14"/>
      <c r="AQ290" s="14"/>
      <c r="AR290" s="22"/>
      <c r="AS290" s="22" t="s">
        <v>89</v>
      </c>
      <c r="AT290" s="39" t="s">
        <v>611</v>
      </c>
      <c r="AU290" s="25" t="str">
        <f>VLOOKUP(O290,[1]Lookup!A:B,2,FALSE)</f>
        <v>Test-SIT</v>
      </c>
      <c r="AV290" s="25" t="str">
        <f>VLOOKUP(test1[[#This Row],[Assignee]],lookup[#All],2,FALSE)</f>
        <v>Test-SIT</v>
      </c>
      <c r="AW290" s="25">
        <f ca="1">IF(test1[[#This Row],[Status]]&lt;&gt;"Closed", TODAY()-INT(test1[[#This Row],[Created]]),INT(test1[[#This Row],[Resolved]])-INT(test1[[#This Row],[Created]]))</f>
        <v>40</v>
      </c>
    </row>
    <row r="291" spans="1:49" ht="99.75" x14ac:dyDescent="0.2">
      <c r="A291" s="48" t="s">
        <v>86</v>
      </c>
      <c r="B291" s="29" t="s">
        <v>606</v>
      </c>
      <c r="C291" s="27" t="s">
        <v>607</v>
      </c>
      <c r="D291" s="22" t="s">
        <v>89</v>
      </c>
      <c r="E291" s="22" t="s">
        <v>398</v>
      </c>
      <c r="F291" s="37" t="s">
        <v>608</v>
      </c>
      <c r="G291" s="37"/>
      <c r="H291" s="37"/>
      <c r="I291" s="37" t="s">
        <v>609</v>
      </c>
      <c r="J291" s="14" t="s">
        <v>91</v>
      </c>
      <c r="K291" s="14" t="s">
        <v>59</v>
      </c>
      <c r="L291" s="14" t="s">
        <v>93</v>
      </c>
      <c r="M291" s="14" t="s">
        <v>132</v>
      </c>
      <c r="N291" s="18" t="s">
        <v>30</v>
      </c>
      <c r="O291" s="14" t="s">
        <v>30</v>
      </c>
      <c r="P291" s="19">
        <v>42788.797222222223</v>
      </c>
      <c r="Q291" s="19">
        <v>42794.451388888891</v>
      </c>
      <c r="R291" s="19">
        <v>42794.451388888891</v>
      </c>
      <c r="S291" s="14" t="s">
        <v>510</v>
      </c>
      <c r="T291" s="14" t="s">
        <v>451</v>
      </c>
      <c r="U291" s="14" t="s">
        <v>96</v>
      </c>
      <c r="V291" s="14"/>
      <c r="W291" s="14">
        <v>0</v>
      </c>
      <c r="X291" s="14">
        <v>0</v>
      </c>
      <c r="Y291" s="14"/>
      <c r="Z291" s="14"/>
      <c r="AA291" s="14"/>
      <c r="AB291" s="14"/>
      <c r="AC291" s="14"/>
      <c r="AD291" s="14"/>
      <c r="AE291" s="14" t="s">
        <v>610</v>
      </c>
      <c r="AF291" s="14" t="s">
        <v>611</v>
      </c>
      <c r="AG291" s="14" t="s">
        <v>612</v>
      </c>
      <c r="AH291" s="14"/>
      <c r="AI291" s="14"/>
      <c r="AJ291" s="14"/>
      <c r="AK291" s="14"/>
      <c r="AL291" s="14"/>
      <c r="AM291" s="14"/>
      <c r="AN291" s="14"/>
      <c r="AO291" s="14" t="s">
        <v>577</v>
      </c>
      <c r="AP291" s="14"/>
      <c r="AQ291" s="14"/>
      <c r="AR291" s="22"/>
      <c r="AS291" s="22" t="s">
        <v>89</v>
      </c>
      <c r="AT291" s="22" t="s">
        <v>398</v>
      </c>
      <c r="AU291" s="25" t="str">
        <f>VLOOKUP(O291,[1]Lookup!A:B,2,FALSE)</f>
        <v>Test-SIT</v>
      </c>
      <c r="AV291" s="25" t="str">
        <f>VLOOKUP(test1[[#This Row],[Assignee]],lookup[#All],2,FALSE)</f>
        <v>Test-SIT</v>
      </c>
      <c r="AW291" s="25">
        <f ca="1">IF(test1[[#This Row],[Status]]&lt;&gt;"Closed", TODAY()-INT(test1[[#This Row],[Created]]),INT(test1[[#This Row],[Resolved]])-INT(test1[[#This Row],[Created]]))</f>
        <v>40</v>
      </c>
    </row>
    <row r="292" spans="1:49" ht="256.5" x14ac:dyDescent="0.2">
      <c r="A292" s="48" t="s">
        <v>86</v>
      </c>
      <c r="B292" s="29" t="s">
        <v>602</v>
      </c>
      <c r="C292" s="27" t="s">
        <v>603</v>
      </c>
      <c r="D292" s="22" t="s">
        <v>117</v>
      </c>
      <c r="E292" s="22" t="s">
        <v>435</v>
      </c>
      <c r="F292" s="27"/>
      <c r="G292" s="27"/>
      <c r="H292" s="27"/>
      <c r="I292" s="27"/>
      <c r="J292" s="14" t="s">
        <v>91</v>
      </c>
      <c r="K292" s="14" t="s">
        <v>59</v>
      </c>
      <c r="L292" s="14" t="s">
        <v>93</v>
      </c>
      <c r="M292" s="14" t="s">
        <v>132</v>
      </c>
      <c r="N292" s="18" t="s">
        <v>30</v>
      </c>
      <c r="O292" s="14" t="s">
        <v>21</v>
      </c>
      <c r="P292" s="19">
        <v>42789.406944444447</v>
      </c>
      <c r="Q292" s="19">
        <v>42794.543055555558</v>
      </c>
      <c r="R292" s="19">
        <v>42794.543055555558</v>
      </c>
      <c r="S292" s="14" t="s">
        <v>518</v>
      </c>
      <c r="T292" s="14" t="s">
        <v>155</v>
      </c>
      <c r="U292" s="14" t="s">
        <v>89</v>
      </c>
      <c r="V292" s="14"/>
      <c r="W292" s="14">
        <v>0</v>
      </c>
      <c r="X292" s="14">
        <v>0</v>
      </c>
      <c r="Y292" s="14"/>
      <c r="Z292" s="14"/>
      <c r="AA292" s="14"/>
      <c r="AB292" s="14"/>
      <c r="AC292" s="14"/>
      <c r="AD292" s="14"/>
      <c r="AE292" s="14"/>
      <c r="AF292" s="14"/>
      <c r="AG292" s="14" t="s">
        <v>604</v>
      </c>
      <c r="AH292" s="14"/>
      <c r="AI292" s="14"/>
      <c r="AJ292" s="14"/>
      <c r="AK292" s="14"/>
      <c r="AL292" s="14"/>
      <c r="AM292" s="14"/>
      <c r="AN292" s="14"/>
      <c r="AO292" s="14" t="s">
        <v>605</v>
      </c>
      <c r="AP292" s="14"/>
      <c r="AQ292" s="14"/>
      <c r="AR292" s="22"/>
      <c r="AS292" s="22" t="s">
        <v>117</v>
      </c>
      <c r="AT292" s="22" t="s">
        <v>435</v>
      </c>
      <c r="AU292" s="25" t="str">
        <f>VLOOKUP(O292,[1]Lookup!A:B,2,FALSE)</f>
        <v>Test-SIT</v>
      </c>
      <c r="AV292" s="25" t="str">
        <f>VLOOKUP(test1[[#This Row],[Assignee]],lookup[#All],2,FALSE)</f>
        <v>Test-SIT</v>
      </c>
      <c r="AW292" s="25">
        <f ca="1">IF(test1[[#This Row],[Status]]&lt;&gt;"Closed", TODAY()-INT(test1[[#This Row],[Created]]),INT(test1[[#This Row],[Resolved]])-INT(test1[[#This Row],[Created]]))</f>
        <v>39</v>
      </c>
    </row>
    <row r="293" spans="1:49" ht="185.25" x14ac:dyDescent="0.2">
      <c r="A293" s="49" t="s">
        <v>86</v>
      </c>
      <c r="B293" s="29" t="s">
        <v>142</v>
      </c>
      <c r="C293" s="31" t="s">
        <v>597</v>
      </c>
      <c r="D293" s="32" t="s">
        <v>117</v>
      </c>
      <c r="E293" s="32" t="s">
        <v>550</v>
      </c>
      <c r="F293" s="31" t="s">
        <v>598</v>
      </c>
      <c r="G293" s="31" t="s">
        <v>545</v>
      </c>
      <c r="H293" s="31"/>
      <c r="I293" s="31"/>
      <c r="J293" s="14" t="s">
        <v>91</v>
      </c>
      <c r="K293" s="14" t="s">
        <v>59</v>
      </c>
      <c r="L293" s="14" t="s">
        <v>93</v>
      </c>
      <c r="M293" s="14" t="s">
        <v>132</v>
      </c>
      <c r="N293" s="18" t="s">
        <v>36</v>
      </c>
      <c r="O293" s="14" t="s">
        <v>36</v>
      </c>
      <c r="P293" s="19">
        <v>42789.503472222219</v>
      </c>
      <c r="Q293" s="19">
        <v>42811.45</v>
      </c>
      <c r="R293" s="19">
        <v>42795.722916666666</v>
      </c>
      <c r="S293" s="14" t="s">
        <v>344</v>
      </c>
      <c r="T293" s="14" t="s">
        <v>204</v>
      </c>
      <c r="U293" s="14" t="s">
        <v>117</v>
      </c>
      <c r="V293" s="14"/>
      <c r="W293" s="14">
        <v>0</v>
      </c>
      <c r="X293" s="14">
        <v>0</v>
      </c>
      <c r="Y293" s="14" t="s">
        <v>599</v>
      </c>
      <c r="Z293" s="14"/>
      <c r="AA293" s="14"/>
      <c r="AB293" s="14"/>
      <c r="AC293" s="14"/>
      <c r="AD293" s="14"/>
      <c r="AE293" s="14"/>
      <c r="AF293" s="14" t="s">
        <v>126</v>
      </c>
      <c r="AG293" s="14" t="s">
        <v>600</v>
      </c>
      <c r="AH293" s="14"/>
      <c r="AI293" s="14"/>
      <c r="AJ293" s="14"/>
      <c r="AK293" s="14"/>
      <c r="AL293" s="14"/>
      <c r="AM293" s="14"/>
      <c r="AN293" s="14" t="s">
        <v>362</v>
      </c>
      <c r="AO293" s="14" t="s">
        <v>601</v>
      </c>
      <c r="AP293" s="14"/>
      <c r="AQ293" s="14"/>
      <c r="AR293" s="32"/>
      <c r="AS293" s="32" t="s">
        <v>117</v>
      </c>
      <c r="AT293" s="32" t="s">
        <v>564</v>
      </c>
      <c r="AU293" s="34" t="str">
        <f>VLOOKUP(O293,[1]Lookup!A:B,2,FALSE)</f>
        <v>DMO</v>
      </c>
      <c r="AV293" s="34" t="str">
        <f>VLOOKUP(test1[[#This Row],[Assignee]],lookup[#All],2,FALSE)</f>
        <v>DMO</v>
      </c>
      <c r="AW293" s="34">
        <f ca="1">IF(test1[[#This Row],[Status]]&lt;&gt;"Closed", TODAY()-INT(test1[[#This Row],[Created]]),INT(test1[[#This Row],[Resolved]])-INT(test1[[#This Row],[Created]]))</f>
        <v>39</v>
      </c>
    </row>
    <row r="294" spans="1:49" ht="409.5" x14ac:dyDescent="0.2">
      <c r="A294" s="48" t="s">
        <v>86</v>
      </c>
      <c r="B294" s="29" t="s">
        <v>591</v>
      </c>
      <c r="C294" s="27" t="s">
        <v>592</v>
      </c>
      <c r="D294" s="22" t="s">
        <v>117</v>
      </c>
      <c r="E294" s="22" t="s">
        <v>550</v>
      </c>
      <c r="F294" s="27" t="s">
        <v>465</v>
      </c>
      <c r="G294" s="14" t="s">
        <v>174</v>
      </c>
      <c r="H294" s="27"/>
      <c r="I294" s="27"/>
      <c r="J294" s="14" t="s">
        <v>91</v>
      </c>
      <c r="K294" s="14" t="s">
        <v>323</v>
      </c>
      <c r="L294" s="14" t="s">
        <v>124</v>
      </c>
      <c r="M294" s="17" t="s">
        <v>94</v>
      </c>
      <c r="N294" s="18" t="s">
        <v>24</v>
      </c>
      <c r="O294" s="14" t="s">
        <v>38</v>
      </c>
      <c r="P294" s="19">
        <v>42789.511111111111</v>
      </c>
      <c r="Q294" s="19">
        <v>42811.792361111111</v>
      </c>
      <c r="R294" s="14"/>
      <c r="S294" s="14" t="s">
        <v>203</v>
      </c>
      <c r="T294" s="14" t="s">
        <v>203</v>
      </c>
      <c r="U294" s="14" t="s">
        <v>117</v>
      </c>
      <c r="V294" s="28">
        <v>42793</v>
      </c>
      <c r="W294" s="14">
        <v>0</v>
      </c>
      <c r="X294" s="14">
        <v>0</v>
      </c>
      <c r="Y294" s="14"/>
      <c r="Z294" s="14"/>
      <c r="AA294" s="14"/>
      <c r="AB294" s="14"/>
      <c r="AC294" s="14"/>
      <c r="AD294" s="14"/>
      <c r="AE294" s="14" t="s">
        <v>136</v>
      </c>
      <c r="AF294" s="14"/>
      <c r="AG294" s="14" t="s">
        <v>593</v>
      </c>
      <c r="AH294" s="14"/>
      <c r="AI294" s="14"/>
      <c r="AJ294" s="14"/>
      <c r="AK294" s="14"/>
      <c r="AL294" s="14"/>
      <c r="AM294" s="14"/>
      <c r="AN294" s="14" t="s">
        <v>594</v>
      </c>
      <c r="AO294" s="14" t="s">
        <v>595</v>
      </c>
      <c r="AP294" s="14"/>
      <c r="AQ294" s="14"/>
      <c r="AR294" s="22" t="s">
        <v>596</v>
      </c>
      <c r="AS294" s="22" t="s">
        <v>117</v>
      </c>
      <c r="AT294" s="22" t="s">
        <v>564</v>
      </c>
      <c r="AU294" s="25" t="str">
        <f>VLOOKUP(O294,[1]Lookup!A:B,2,FALSE)</f>
        <v>DMO</v>
      </c>
      <c r="AV294" s="25" t="str">
        <f>VLOOKUP(test1[[#This Row],[Assignee]],lookup[#All],2,FALSE)</f>
        <v>Test-SIT</v>
      </c>
      <c r="AW294" s="25">
        <f ca="1">IF(test1[[#This Row],[Status]]&lt;&gt;"Closed", TODAY()-INT(test1[[#This Row],[Created]]),INT(test1[[#This Row],[Resolved]])-INT(test1[[#This Row],[Created]]))</f>
        <v>39</v>
      </c>
    </row>
    <row r="295" spans="1:49" ht="399" x14ac:dyDescent="0.2">
      <c r="A295" s="48" t="s">
        <v>86</v>
      </c>
      <c r="B295" s="29" t="s">
        <v>587</v>
      </c>
      <c r="C295" s="27" t="s">
        <v>588</v>
      </c>
      <c r="D295" s="22" t="s">
        <v>117</v>
      </c>
      <c r="E295" s="22" t="s">
        <v>229</v>
      </c>
      <c r="F295" s="27"/>
      <c r="G295" s="27" t="s">
        <v>204</v>
      </c>
      <c r="H295" s="27"/>
      <c r="I295" s="27"/>
      <c r="J295" s="14" t="s">
        <v>91</v>
      </c>
      <c r="K295" s="14" t="s">
        <v>59</v>
      </c>
      <c r="L295" s="14" t="s">
        <v>167</v>
      </c>
      <c r="M295" s="14" t="s">
        <v>132</v>
      </c>
      <c r="N295" s="18" t="s">
        <v>202</v>
      </c>
      <c r="O295" s="14" t="s">
        <v>37</v>
      </c>
      <c r="P295" s="19">
        <v>42789.65347222222</v>
      </c>
      <c r="Q295" s="19">
        <v>42811.409722222219</v>
      </c>
      <c r="R295" s="19">
        <v>42801.672222222223</v>
      </c>
      <c r="S295" s="14" t="s">
        <v>203</v>
      </c>
      <c r="T295" s="14" t="s">
        <v>203</v>
      </c>
      <c r="U295" s="14" t="s">
        <v>117</v>
      </c>
      <c r="V295" s="14"/>
      <c r="W295" s="14">
        <v>0</v>
      </c>
      <c r="X295" s="14">
        <v>0</v>
      </c>
      <c r="Y295" s="14"/>
      <c r="Z295" s="14"/>
      <c r="AA295" s="14"/>
      <c r="AB295" s="14"/>
      <c r="AC295" s="14"/>
      <c r="AD295" s="14"/>
      <c r="AE295" s="14"/>
      <c r="AF295" s="14" t="s">
        <v>126</v>
      </c>
      <c r="AG295" s="14" t="s">
        <v>589</v>
      </c>
      <c r="AH295" s="14"/>
      <c r="AI295" s="14"/>
      <c r="AJ295" s="14"/>
      <c r="AK295" s="14"/>
      <c r="AL295" s="14"/>
      <c r="AM295" s="14"/>
      <c r="AN295" s="14" t="s">
        <v>261</v>
      </c>
      <c r="AO295" s="14" t="s">
        <v>590</v>
      </c>
      <c r="AP295" s="14"/>
      <c r="AQ295" s="14"/>
      <c r="AR295" s="22" t="s">
        <v>557</v>
      </c>
      <c r="AS295" s="22" t="s">
        <v>117</v>
      </c>
      <c r="AT295" s="22" t="s">
        <v>229</v>
      </c>
      <c r="AU295" s="25" t="str">
        <f>VLOOKUP(O295,[1]Lookup!A:B,2,FALSE)</f>
        <v>DMO</v>
      </c>
      <c r="AV295" s="25" t="e">
        <f>VLOOKUP(test1[[#This Row],[Assignee]],lookup[#All],2,FALSE)</f>
        <v>#N/A</v>
      </c>
      <c r="AW295" s="25">
        <f ca="1">IF(test1[[#This Row],[Status]]&lt;&gt;"Closed", TODAY()-INT(test1[[#This Row],[Created]]),INT(test1[[#This Row],[Resolved]])-INT(test1[[#This Row],[Created]]))</f>
        <v>39</v>
      </c>
    </row>
    <row r="296" spans="1:49" ht="185.25" x14ac:dyDescent="0.2">
      <c r="A296" s="48" t="s">
        <v>86</v>
      </c>
      <c r="B296" s="29" t="s">
        <v>582</v>
      </c>
      <c r="C296" s="27" t="s">
        <v>583</v>
      </c>
      <c r="D296" s="22" t="s">
        <v>89</v>
      </c>
      <c r="E296" s="22" t="s">
        <v>229</v>
      </c>
      <c r="F296" s="27"/>
      <c r="G296" s="27" t="s">
        <v>204</v>
      </c>
      <c r="H296" s="27"/>
      <c r="I296" s="27"/>
      <c r="J296" s="14" t="s">
        <v>91</v>
      </c>
      <c r="K296" s="14" t="s">
        <v>59</v>
      </c>
      <c r="L296" s="14" t="s">
        <v>103</v>
      </c>
      <c r="M296" s="14" t="s">
        <v>132</v>
      </c>
      <c r="N296" s="18" t="s">
        <v>202</v>
      </c>
      <c r="O296" s="14" t="s">
        <v>561</v>
      </c>
      <c r="P296" s="19">
        <v>42789.760416666664</v>
      </c>
      <c r="Q296" s="19">
        <v>42793.692361111112</v>
      </c>
      <c r="R296" s="19">
        <v>42793.427777777775</v>
      </c>
      <c r="S296" s="14" t="s">
        <v>344</v>
      </c>
      <c r="T296" s="14" t="s">
        <v>204</v>
      </c>
      <c r="U296" s="14" t="s">
        <v>117</v>
      </c>
      <c r="V296" s="14"/>
      <c r="W296" s="14">
        <v>0</v>
      </c>
      <c r="X296" s="14">
        <v>0</v>
      </c>
      <c r="Y296" s="14"/>
      <c r="Z296" s="14"/>
      <c r="AA296" s="14"/>
      <c r="AB296" s="14"/>
      <c r="AC296" s="14"/>
      <c r="AD296" s="14"/>
      <c r="AE296" s="14"/>
      <c r="AF296" s="14" t="s">
        <v>126</v>
      </c>
      <c r="AG296" s="14" t="s">
        <v>584</v>
      </c>
      <c r="AH296" s="14"/>
      <c r="AI296" s="14"/>
      <c r="AJ296" s="14"/>
      <c r="AK296" s="14"/>
      <c r="AL296" s="14"/>
      <c r="AM296" s="14"/>
      <c r="AN296" s="14" t="s">
        <v>229</v>
      </c>
      <c r="AO296" s="14" t="s">
        <v>585</v>
      </c>
      <c r="AP296" s="14"/>
      <c r="AQ296" s="14"/>
      <c r="AR296" s="22" t="s">
        <v>586</v>
      </c>
      <c r="AS296" s="22" t="s">
        <v>89</v>
      </c>
      <c r="AT296" s="22" t="s">
        <v>229</v>
      </c>
      <c r="AU296" s="25" t="e">
        <f>VLOOKUP(O296,[1]Lookup!A:B,2,FALSE)</f>
        <v>#N/A</v>
      </c>
      <c r="AV296" s="25" t="e">
        <f>VLOOKUP(test1[[#This Row],[Assignee]],lookup[#All],2,FALSE)</f>
        <v>#N/A</v>
      </c>
      <c r="AW296" s="25">
        <f ca="1">IF(test1[[#This Row],[Status]]&lt;&gt;"Closed", TODAY()-INT(test1[[#This Row],[Created]]),INT(test1[[#This Row],[Resolved]])-INT(test1[[#This Row],[Created]]))</f>
        <v>39</v>
      </c>
    </row>
    <row r="297" spans="1:49" ht="142.5" x14ac:dyDescent="0.2">
      <c r="A297" s="48" t="s">
        <v>86</v>
      </c>
      <c r="B297" s="29" t="s">
        <v>578</v>
      </c>
      <c r="C297" s="27" t="s">
        <v>579</v>
      </c>
      <c r="D297" s="22" t="s">
        <v>89</v>
      </c>
      <c r="E297" s="22" t="s">
        <v>507</v>
      </c>
      <c r="F297" s="27"/>
      <c r="G297" s="27"/>
      <c r="H297" s="27"/>
      <c r="I297" s="27"/>
      <c r="J297" s="14" t="s">
        <v>91</v>
      </c>
      <c r="K297" s="14" t="s">
        <v>59</v>
      </c>
      <c r="L297" s="14" t="s">
        <v>103</v>
      </c>
      <c r="M297" s="14" t="s">
        <v>132</v>
      </c>
      <c r="N297" s="18" t="s">
        <v>202</v>
      </c>
      <c r="O297" s="14" t="s">
        <v>561</v>
      </c>
      <c r="P297" s="19">
        <v>42789.763888888891</v>
      </c>
      <c r="Q297" s="19">
        <v>42793.692361111112</v>
      </c>
      <c r="R297" s="19">
        <v>42793.427777777775</v>
      </c>
      <c r="S297" s="14" t="s">
        <v>344</v>
      </c>
      <c r="T297" s="14" t="s">
        <v>204</v>
      </c>
      <c r="U297" s="14" t="s">
        <v>117</v>
      </c>
      <c r="V297" s="14"/>
      <c r="W297" s="14">
        <v>0</v>
      </c>
      <c r="X297" s="14">
        <v>0</v>
      </c>
      <c r="Y297" s="14"/>
      <c r="Z297" s="14"/>
      <c r="AA297" s="14"/>
      <c r="AB297" s="14"/>
      <c r="AC297" s="14"/>
      <c r="AD297" s="14"/>
      <c r="AE297" s="14"/>
      <c r="AF297" s="14" t="s">
        <v>126</v>
      </c>
      <c r="AG297" s="14" t="s">
        <v>580</v>
      </c>
      <c r="AH297" s="14"/>
      <c r="AI297" s="14"/>
      <c r="AJ297" s="14"/>
      <c r="AK297" s="14"/>
      <c r="AL297" s="14"/>
      <c r="AM297" s="14"/>
      <c r="AN297" s="14" t="s">
        <v>229</v>
      </c>
      <c r="AO297" s="14" t="s">
        <v>581</v>
      </c>
      <c r="AP297" s="14"/>
      <c r="AQ297" s="14"/>
      <c r="AR297" s="22" t="s">
        <v>557</v>
      </c>
      <c r="AS297" s="22" t="s">
        <v>89</v>
      </c>
      <c r="AT297" s="22" t="s">
        <v>507</v>
      </c>
      <c r="AU297" s="25" t="e">
        <f>VLOOKUP(O297,[1]Lookup!A:B,2,FALSE)</f>
        <v>#N/A</v>
      </c>
      <c r="AV297" s="25" t="e">
        <f>VLOOKUP(test1[[#This Row],[Assignee]],lookup[#All],2,FALSE)</f>
        <v>#N/A</v>
      </c>
      <c r="AW297" s="25">
        <f ca="1">IF(test1[[#This Row],[Status]]&lt;&gt;"Closed", TODAY()-INT(test1[[#This Row],[Created]]),INT(test1[[#This Row],[Resolved]])-INT(test1[[#This Row],[Created]]))</f>
        <v>39</v>
      </c>
    </row>
    <row r="298" spans="1:49" ht="285" x14ac:dyDescent="0.2">
      <c r="A298" s="48" t="s">
        <v>86</v>
      </c>
      <c r="B298" s="29" t="s">
        <v>573</v>
      </c>
      <c r="C298" s="27" t="s">
        <v>574</v>
      </c>
      <c r="D298" s="22" t="s">
        <v>117</v>
      </c>
      <c r="E298" s="22" t="s">
        <v>477</v>
      </c>
      <c r="F298" s="27"/>
      <c r="G298" s="27"/>
      <c r="H298" s="27"/>
      <c r="I298" s="27"/>
      <c r="J298" s="14" t="s">
        <v>91</v>
      </c>
      <c r="K298" s="14" t="s">
        <v>59</v>
      </c>
      <c r="L298" s="14" t="s">
        <v>124</v>
      </c>
      <c r="M298" s="14" t="s">
        <v>132</v>
      </c>
      <c r="N298" s="18" t="s">
        <v>30</v>
      </c>
      <c r="O298" s="14" t="s">
        <v>22</v>
      </c>
      <c r="P298" s="19">
        <v>42789.81527777778</v>
      </c>
      <c r="Q298" s="19">
        <v>42796.488194444442</v>
      </c>
      <c r="R298" s="19">
        <v>42794.446527777778</v>
      </c>
      <c r="S298" s="14" t="s">
        <v>528</v>
      </c>
      <c r="T298" s="14" t="s">
        <v>451</v>
      </c>
      <c r="U298" s="14" t="s">
        <v>96</v>
      </c>
      <c r="V298" s="14"/>
      <c r="W298" s="14">
        <v>0</v>
      </c>
      <c r="X298" s="14">
        <v>0</v>
      </c>
      <c r="Y298" s="14"/>
      <c r="Z298" s="14"/>
      <c r="AA298" s="14"/>
      <c r="AB298" s="14"/>
      <c r="AC298" s="14"/>
      <c r="AD298" s="14"/>
      <c r="AE298" s="14"/>
      <c r="AF298" s="14"/>
      <c r="AG298" s="14" t="s">
        <v>575</v>
      </c>
      <c r="AH298" s="14"/>
      <c r="AI298" s="14"/>
      <c r="AJ298" s="14"/>
      <c r="AK298" s="14"/>
      <c r="AL298" s="14"/>
      <c r="AM298" s="14"/>
      <c r="AN298" s="14" t="s">
        <v>576</v>
      </c>
      <c r="AO298" s="14" t="s">
        <v>577</v>
      </c>
      <c r="AP298" s="14"/>
      <c r="AQ298" s="14"/>
      <c r="AR298" s="22" t="s">
        <v>477</v>
      </c>
      <c r="AS298" s="22" t="s">
        <v>117</v>
      </c>
      <c r="AT298" s="22" t="s">
        <v>477</v>
      </c>
      <c r="AU298" s="25" t="str">
        <f>VLOOKUP(O298,[1]Lookup!A:B,2,FALSE)</f>
        <v>Test-SIT</v>
      </c>
      <c r="AV298" s="25" t="str">
        <f>VLOOKUP(test1[[#This Row],[Assignee]],lookup[#All],2,FALSE)</f>
        <v>Test-SIT</v>
      </c>
      <c r="AW298" s="25">
        <f ca="1">IF(test1[[#This Row],[Status]]&lt;&gt;"Closed", TODAY()-INT(test1[[#This Row],[Created]]),INT(test1[[#This Row],[Resolved]])-INT(test1[[#This Row],[Created]]))</f>
        <v>39</v>
      </c>
    </row>
    <row r="299" spans="1:49" ht="285" x14ac:dyDescent="0.2">
      <c r="A299" s="48" t="s">
        <v>86</v>
      </c>
      <c r="B299" s="29" t="s">
        <v>569</v>
      </c>
      <c r="C299" s="27" t="s">
        <v>570</v>
      </c>
      <c r="D299" s="22" t="s">
        <v>117</v>
      </c>
      <c r="E299" s="22" t="s">
        <v>550</v>
      </c>
      <c r="F299" s="27"/>
      <c r="G299" s="27"/>
      <c r="H299" s="27"/>
      <c r="I299" s="27"/>
      <c r="J299" s="14" t="s">
        <v>91</v>
      </c>
      <c r="K299" s="14" t="s">
        <v>59</v>
      </c>
      <c r="L299" s="14" t="s">
        <v>124</v>
      </c>
      <c r="M299" s="14" t="s">
        <v>132</v>
      </c>
      <c r="N299" s="18" t="s">
        <v>202</v>
      </c>
      <c r="O299" s="14" t="s">
        <v>38</v>
      </c>
      <c r="P299" s="19">
        <v>42790.431944444441</v>
      </c>
      <c r="Q299" s="19">
        <v>42811.443055555559</v>
      </c>
      <c r="R299" s="19">
        <v>42793.73541666667</v>
      </c>
      <c r="S299" s="14" t="s">
        <v>203</v>
      </c>
      <c r="T299" s="14" t="s">
        <v>344</v>
      </c>
      <c r="U299" s="14" t="s">
        <v>117</v>
      </c>
      <c r="V299" s="14"/>
      <c r="W299" s="14">
        <v>0</v>
      </c>
      <c r="X299" s="14">
        <v>0</v>
      </c>
      <c r="Y299" s="14"/>
      <c r="Z299" s="14"/>
      <c r="AA299" s="14"/>
      <c r="AB299" s="14"/>
      <c r="AC299" s="14"/>
      <c r="AD299" s="14"/>
      <c r="AE299" s="14"/>
      <c r="AF299" s="14"/>
      <c r="AG299" s="14" t="s">
        <v>571</v>
      </c>
      <c r="AH299" s="14"/>
      <c r="AI299" s="14"/>
      <c r="AJ299" s="14"/>
      <c r="AK299" s="14"/>
      <c r="AL299" s="14"/>
      <c r="AM299" s="14"/>
      <c r="AN299" s="14" t="s">
        <v>362</v>
      </c>
      <c r="AO299" s="14" t="s">
        <v>572</v>
      </c>
      <c r="AP299" s="14"/>
      <c r="AQ299" s="14"/>
      <c r="AR299" s="22" t="s">
        <v>550</v>
      </c>
      <c r="AS299" s="22" t="s">
        <v>117</v>
      </c>
      <c r="AT299" s="22" t="s">
        <v>564</v>
      </c>
      <c r="AU299" s="25" t="str">
        <f>VLOOKUP(O299,[1]Lookup!A:B,2,FALSE)</f>
        <v>DMO</v>
      </c>
      <c r="AV299" s="25" t="e">
        <f>VLOOKUP(test1[[#This Row],[Assignee]],lookup[#All],2,FALSE)</f>
        <v>#N/A</v>
      </c>
      <c r="AW299" s="25">
        <f ca="1">IF(test1[[#This Row],[Status]]&lt;&gt;"Closed", TODAY()-INT(test1[[#This Row],[Created]]),INT(test1[[#This Row],[Resolved]])-INT(test1[[#This Row],[Created]]))</f>
        <v>38</v>
      </c>
    </row>
    <row r="300" spans="1:49" ht="409.5" x14ac:dyDescent="0.2">
      <c r="A300" s="48" t="s">
        <v>86</v>
      </c>
      <c r="B300" s="29" t="s">
        <v>565</v>
      </c>
      <c r="C300" s="27" t="s">
        <v>566</v>
      </c>
      <c r="D300" s="22" t="s">
        <v>229</v>
      </c>
      <c r="E300" s="22" t="s">
        <v>229</v>
      </c>
      <c r="F300" s="27" t="s">
        <v>465</v>
      </c>
      <c r="G300" s="14" t="s">
        <v>174</v>
      </c>
      <c r="H300" s="27"/>
      <c r="I300" s="27"/>
      <c r="J300" s="14" t="s">
        <v>91</v>
      </c>
      <c r="K300" s="14" t="s">
        <v>59</v>
      </c>
      <c r="L300" s="14" t="s">
        <v>167</v>
      </c>
      <c r="M300" s="14" t="s">
        <v>132</v>
      </c>
      <c r="N300" s="18" t="s">
        <v>37</v>
      </c>
      <c r="O300" s="14" t="s">
        <v>37</v>
      </c>
      <c r="P300" s="19">
        <v>42790.442361111112</v>
      </c>
      <c r="Q300" s="19">
        <v>42811.438194444447</v>
      </c>
      <c r="R300" s="19">
        <v>42793.698611111111</v>
      </c>
      <c r="S300" s="14" t="s">
        <v>203</v>
      </c>
      <c r="T300" s="14" t="s">
        <v>203</v>
      </c>
      <c r="U300" s="14" t="s">
        <v>117</v>
      </c>
      <c r="V300" s="14"/>
      <c r="W300" s="14">
        <v>0</v>
      </c>
      <c r="X300" s="14">
        <v>0</v>
      </c>
      <c r="Y300" s="14"/>
      <c r="Z300" s="14"/>
      <c r="AA300" s="14"/>
      <c r="AB300" s="14"/>
      <c r="AC300" s="14"/>
      <c r="AD300" s="14"/>
      <c r="AE300" s="14"/>
      <c r="AF300" s="14" t="s">
        <v>126</v>
      </c>
      <c r="AG300" s="14" t="s">
        <v>567</v>
      </c>
      <c r="AH300" s="14"/>
      <c r="AI300" s="14"/>
      <c r="AJ300" s="14"/>
      <c r="AK300" s="14"/>
      <c r="AL300" s="14"/>
      <c r="AM300" s="14"/>
      <c r="AN300" s="14" t="s">
        <v>145</v>
      </c>
      <c r="AO300" s="14" t="s">
        <v>568</v>
      </c>
      <c r="AP300" s="14"/>
      <c r="AQ300" s="14"/>
      <c r="AR300" s="24" t="s">
        <v>550</v>
      </c>
      <c r="AS300" s="22" t="s">
        <v>117</v>
      </c>
      <c r="AT300" s="22" t="s">
        <v>229</v>
      </c>
      <c r="AU300" s="25" t="str">
        <f>VLOOKUP(O300,[1]Lookup!A:B,2,FALSE)</f>
        <v>DMO</v>
      </c>
      <c r="AV300" s="25" t="str">
        <f>VLOOKUP(test1[[#This Row],[Assignee]],lookup[#All],2,FALSE)</f>
        <v>DMO</v>
      </c>
      <c r="AW300" s="25">
        <f ca="1">IF(test1[[#This Row],[Status]]&lt;&gt;"Closed", TODAY()-INT(test1[[#This Row],[Created]]),INT(test1[[#This Row],[Resolved]])-INT(test1[[#This Row],[Created]]))</f>
        <v>38</v>
      </c>
    </row>
    <row r="301" spans="1:49" ht="409.5" x14ac:dyDescent="0.2">
      <c r="A301" s="49" t="s">
        <v>86</v>
      </c>
      <c r="B301" s="29" t="s">
        <v>558</v>
      </c>
      <c r="C301" s="31" t="s">
        <v>559</v>
      </c>
      <c r="D301" s="32" t="s">
        <v>117</v>
      </c>
      <c r="E301" s="32" t="s">
        <v>550</v>
      </c>
      <c r="F301" s="31"/>
      <c r="G301" s="33" t="s">
        <v>545</v>
      </c>
      <c r="H301" s="31"/>
      <c r="I301" s="31" t="s">
        <v>560</v>
      </c>
      <c r="J301" s="14" t="s">
        <v>91</v>
      </c>
      <c r="K301" s="14" t="s">
        <v>59</v>
      </c>
      <c r="L301" s="14" t="s">
        <v>103</v>
      </c>
      <c r="M301" s="14" t="s">
        <v>201</v>
      </c>
      <c r="N301" s="18" t="s">
        <v>561</v>
      </c>
      <c r="O301" s="14" t="s">
        <v>561</v>
      </c>
      <c r="P301" s="19">
        <v>42790.472222222219</v>
      </c>
      <c r="Q301" s="19">
        <v>42811.445138888892</v>
      </c>
      <c r="R301" s="19">
        <v>42800.618055555555</v>
      </c>
      <c r="S301" s="14" t="s">
        <v>203</v>
      </c>
      <c r="T301" s="14" t="s">
        <v>204</v>
      </c>
      <c r="U301" s="14" t="s">
        <v>117</v>
      </c>
      <c r="V301" s="14"/>
      <c r="W301" s="14">
        <v>0</v>
      </c>
      <c r="X301" s="14">
        <v>0</v>
      </c>
      <c r="Y301" s="14"/>
      <c r="Z301" s="14"/>
      <c r="AA301" s="14"/>
      <c r="AB301" s="14"/>
      <c r="AC301" s="14"/>
      <c r="AD301" s="14"/>
      <c r="AE301" s="14"/>
      <c r="AF301" s="14" t="s">
        <v>126</v>
      </c>
      <c r="AG301" s="14" t="s">
        <v>562</v>
      </c>
      <c r="AH301" s="14"/>
      <c r="AI301" s="14"/>
      <c r="AJ301" s="14"/>
      <c r="AK301" s="14"/>
      <c r="AL301" s="14"/>
      <c r="AM301" s="14"/>
      <c r="AN301" s="14" t="s">
        <v>362</v>
      </c>
      <c r="AO301" s="14" t="s">
        <v>563</v>
      </c>
      <c r="AP301" s="14"/>
      <c r="AQ301" s="14"/>
      <c r="AR301" s="32" t="s">
        <v>550</v>
      </c>
      <c r="AS301" s="32" t="s">
        <v>117</v>
      </c>
      <c r="AT301" s="32" t="s">
        <v>564</v>
      </c>
      <c r="AU301" s="34" t="e">
        <f>VLOOKUP(O301,[1]Lookup!A:B,2,FALSE)</f>
        <v>#N/A</v>
      </c>
      <c r="AV301" s="34" t="e">
        <f>VLOOKUP(test1[[#This Row],[Assignee]],lookup[#All],2,FALSE)</f>
        <v>#N/A</v>
      </c>
      <c r="AW301" s="34">
        <f ca="1">IF(test1[[#This Row],[Status]]&lt;&gt;"Closed", TODAY()-INT(test1[[#This Row],[Created]]),INT(test1[[#This Row],[Resolved]])-INT(test1[[#This Row],[Created]]))</f>
        <v>38</v>
      </c>
    </row>
    <row r="302" spans="1:49" ht="256.5" x14ac:dyDescent="0.2">
      <c r="A302" s="48" t="s">
        <v>86</v>
      </c>
      <c r="B302" s="29" t="s">
        <v>551</v>
      </c>
      <c r="C302" s="27" t="s">
        <v>552</v>
      </c>
      <c r="D302" s="22" t="s">
        <v>229</v>
      </c>
      <c r="E302" s="36" t="s">
        <v>229</v>
      </c>
      <c r="F302" s="37" t="s">
        <v>104</v>
      </c>
      <c r="G302" s="37" t="s">
        <v>174</v>
      </c>
      <c r="H302" s="37" t="s">
        <v>472</v>
      </c>
      <c r="I302" s="37" t="s">
        <v>553</v>
      </c>
      <c r="J302" s="14" t="s">
        <v>91</v>
      </c>
      <c r="K302" s="14" t="s">
        <v>323</v>
      </c>
      <c r="L302" s="14" t="s">
        <v>124</v>
      </c>
      <c r="M302" s="17" t="s">
        <v>94</v>
      </c>
      <c r="N302" s="18" t="s">
        <v>28</v>
      </c>
      <c r="O302" s="14" t="s">
        <v>38</v>
      </c>
      <c r="P302" s="19">
        <v>42790.515277777777</v>
      </c>
      <c r="Q302" s="19">
        <v>42811.48333333333</v>
      </c>
      <c r="R302" s="14"/>
      <c r="S302" s="14" t="s">
        <v>203</v>
      </c>
      <c r="T302" s="14" t="s">
        <v>155</v>
      </c>
      <c r="U302" s="14" t="s">
        <v>117</v>
      </c>
      <c r="V302" s="14"/>
      <c r="W302" s="14">
        <v>0</v>
      </c>
      <c r="X302" s="14">
        <v>0</v>
      </c>
      <c r="Y302" s="14"/>
      <c r="Z302" s="14"/>
      <c r="AA302" s="14"/>
      <c r="AB302" s="14"/>
      <c r="AC302" s="14"/>
      <c r="AD302" s="14"/>
      <c r="AE302" s="14"/>
      <c r="AF302" s="14"/>
      <c r="AG302" s="14" t="s">
        <v>554</v>
      </c>
      <c r="AH302" s="14"/>
      <c r="AI302" s="14"/>
      <c r="AJ302" s="14"/>
      <c r="AK302" s="14"/>
      <c r="AL302" s="14"/>
      <c r="AM302" s="14"/>
      <c r="AN302" s="14" t="s">
        <v>123</v>
      </c>
      <c r="AO302" s="14" t="s">
        <v>555</v>
      </c>
      <c r="AP302" s="14" t="s">
        <v>556</v>
      </c>
      <c r="AQ302" s="14"/>
      <c r="AR302" s="22" t="s">
        <v>557</v>
      </c>
      <c r="AS302" s="22" t="s">
        <v>89</v>
      </c>
      <c r="AT302" s="36" t="s">
        <v>229</v>
      </c>
      <c r="AU302" s="25" t="str">
        <f>VLOOKUP(O302,[1]Lookup!A:B,2,FALSE)</f>
        <v>DMO</v>
      </c>
      <c r="AV302" s="25" t="str">
        <f>VLOOKUP(test1[[#This Row],[Assignee]],lookup[#All],2,FALSE)</f>
        <v>TD-Dev</v>
      </c>
      <c r="AW302" s="25">
        <f ca="1">IF(test1[[#This Row],[Status]]&lt;&gt;"Closed", TODAY()-INT(test1[[#This Row],[Created]]),INT(test1[[#This Row],[Resolved]])-INT(test1[[#This Row],[Created]]))</f>
        <v>38</v>
      </c>
    </row>
    <row r="303" spans="1:49" ht="285" x14ac:dyDescent="0.2">
      <c r="A303" s="49" t="s">
        <v>86</v>
      </c>
      <c r="B303" s="29" t="s">
        <v>543</v>
      </c>
      <c r="C303" s="31" t="s">
        <v>544</v>
      </c>
      <c r="D303" s="32" t="s">
        <v>117</v>
      </c>
      <c r="E303" s="32" t="s">
        <v>229</v>
      </c>
      <c r="F303" s="31"/>
      <c r="G303" s="33" t="s">
        <v>545</v>
      </c>
      <c r="H303" s="31"/>
      <c r="I303" s="31" t="s">
        <v>546</v>
      </c>
      <c r="J303" s="14" t="s">
        <v>91</v>
      </c>
      <c r="K303" s="14" t="s">
        <v>323</v>
      </c>
      <c r="L303" s="14" t="s">
        <v>167</v>
      </c>
      <c r="M303" s="17" t="s">
        <v>94</v>
      </c>
      <c r="N303" s="18" t="s">
        <v>21</v>
      </c>
      <c r="O303" s="14" t="s">
        <v>37</v>
      </c>
      <c r="P303" s="19">
        <v>42790.60833333333</v>
      </c>
      <c r="Q303" s="19">
        <v>42808.611805555556</v>
      </c>
      <c r="R303" s="14"/>
      <c r="S303" s="14" t="s">
        <v>203</v>
      </c>
      <c r="T303" s="14" t="s">
        <v>204</v>
      </c>
      <c r="U303" s="14" t="s">
        <v>96</v>
      </c>
      <c r="V303" s="14"/>
      <c r="W303" s="14">
        <v>0</v>
      </c>
      <c r="X303" s="14">
        <v>0</v>
      </c>
      <c r="Y303" s="20" t="s">
        <v>547</v>
      </c>
      <c r="Z303" s="14"/>
      <c r="AA303" s="14"/>
      <c r="AB303" s="14"/>
      <c r="AC303" s="14"/>
      <c r="AD303" s="14"/>
      <c r="AE303" s="14"/>
      <c r="AF303" s="14" t="s">
        <v>126</v>
      </c>
      <c r="AG303" s="14" t="s">
        <v>548</v>
      </c>
      <c r="AH303" s="14"/>
      <c r="AI303" s="14"/>
      <c r="AJ303" s="14"/>
      <c r="AK303" s="14"/>
      <c r="AL303" s="14"/>
      <c r="AM303" s="14"/>
      <c r="AN303" s="14" t="s">
        <v>229</v>
      </c>
      <c r="AO303" s="14" t="s">
        <v>381</v>
      </c>
      <c r="AP303" s="14"/>
      <c r="AQ303" s="14"/>
      <c r="AR303" s="32" t="s">
        <v>549</v>
      </c>
      <c r="AS303" s="32" t="s">
        <v>117</v>
      </c>
      <c r="AT303" s="32" t="s">
        <v>550</v>
      </c>
      <c r="AU303" s="34" t="str">
        <f>VLOOKUP(O303,[1]Lookup!A:B,2,FALSE)</f>
        <v>DMO</v>
      </c>
      <c r="AV303" s="34" t="str">
        <f>VLOOKUP(test1[[#This Row],[Assignee]],lookup[#All],2,FALSE)</f>
        <v>Test-SIT</v>
      </c>
      <c r="AW303" s="34">
        <f ca="1">IF(test1[[#This Row],[Status]]&lt;&gt;"Closed", TODAY()-INT(test1[[#This Row],[Created]]),INT(test1[[#This Row],[Resolved]])-INT(test1[[#This Row],[Created]]))</f>
        <v>38</v>
      </c>
    </row>
    <row r="304" spans="1:49" ht="171" x14ac:dyDescent="0.2">
      <c r="A304" s="48" t="s">
        <v>86</v>
      </c>
      <c r="B304" s="29" t="s">
        <v>536</v>
      </c>
      <c r="C304" s="27" t="s">
        <v>537</v>
      </c>
      <c r="D304" s="22" t="s">
        <v>117</v>
      </c>
      <c r="E304" s="22" t="s">
        <v>398</v>
      </c>
      <c r="F304" s="27"/>
      <c r="G304" s="30" t="s">
        <v>538</v>
      </c>
      <c r="H304" s="27" t="s">
        <v>539</v>
      </c>
      <c r="I304" s="27"/>
      <c r="J304" s="14" t="s">
        <v>91</v>
      </c>
      <c r="K304" s="14" t="s">
        <v>174</v>
      </c>
      <c r="L304" s="14" t="s">
        <v>103</v>
      </c>
      <c r="M304" s="17" t="s">
        <v>94</v>
      </c>
      <c r="N304" s="18" t="s">
        <v>38</v>
      </c>
      <c r="O304" s="14" t="s">
        <v>38</v>
      </c>
      <c r="P304" s="19">
        <v>42790.709722222222</v>
      </c>
      <c r="Q304" s="19">
        <v>42797.694444444445</v>
      </c>
      <c r="R304" s="14"/>
      <c r="S304" s="14" t="s">
        <v>203</v>
      </c>
      <c r="T304" s="14" t="s">
        <v>204</v>
      </c>
      <c r="U304" s="14" t="s">
        <v>117</v>
      </c>
      <c r="V304" s="14"/>
      <c r="W304" s="14">
        <v>0</v>
      </c>
      <c r="X304" s="14">
        <v>0</v>
      </c>
      <c r="Y304" s="14"/>
      <c r="Z304" s="14"/>
      <c r="AA304" s="14"/>
      <c r="AB304" s="14"/>
      <c r="AC304" s="14"/>
      <c r="AD304" s="14"/>
      <c r="AE304" s="14"/>
      <c r="AF304" s="14"/>
      <c r="AG304" s="14" t="s">
        <v>540</v>
      </c>
      <c r="AH304" s="14"/>
      <c r="AI304" s="14"/>
      <c r="AJ304" s="14"/>
      <c r="AK304" s="14"/>
      <c r="AL304" s="14"/>
      <c r="AM304" s="14"/>
      <c r="AN304" s="14" t="s">
        <v>283</v>
      </c>
      <c r="AO304" s="14" t="s">
        <v>541</v>
      </c>
      <c r="AP304" s="14"/>
      <c r="AQ304" s="14"/>
      <c r="AR304" s="22"/>
      <c r="AS304" s="22" t="s">
        <v>117</v>
      </c>
      <c r="AT304" s="22" t="s">
        <v>542</v>
      </c>
      <c r="AU304" s="25" t="str">
        <f>VLOOKUP(O304,[1]Lookup!A:B,2,FALSE)</f>
        <v>DMO</v>
      </c>
      <c r="AV304" s="25" t="str">
        <f>VLOOKUP(test1[[#This Row],[Assignee]],lookup[#All],2,FALSE)</f>
        <v>DMO</v>
      </c>
      <c r="AW304" s="25">
        <f ca="1">IF(test1[[#This Row],[Status]]&lt;&gt;"Closed", TODAY()-INT(test1[[#This Row],[Created]]),INT(test1[[#This Row],[Resolved]])-INT(test1[[#This Row],[Created]]))</f>
        <v>38</v>
      </c>
    </row>
    <row r="305" spans="1:49" ht="199.5" x14ac:dyDescent="0.2">
      <c r="A305" s="48" t="s">
        <v>86</v>
      </c>
      <c r="B305" s="29" t="s">
        <v>531</v>
      </c>
      <c r="C305" s="27" t="s">
        <v>532</v>
      </c>
      <c r="D305" s="22" t="s">
        <v>89</v>
      </c>
      <c r="E305" s="22" t="s">
        <v>398</v>
      </c>
      <c r="F305" s="27"/>
      <c r="G305" s="27"/>
      <c r="H305" s="27"/>
      <c r="I305" s="27"/>
      <c r="J305" s="14" t="s">
        <v>91</v>
      </c>
      <c r="K305" s="14" t="s">
        <v>59</v>
      </c>
      <c r="L305" s="14" t="s">
        <v>124</v>
      </c>
      <c r="M305" s="14" t="s">
        <v>132</v>
      </c>
      <c r="N305" s="18" t="s">
        <v>23</v>
      </c>
      <c r="O305" s="14" t="s">
        <v>23</v>
      </c>
      <c r="P305" s="19">
        <v>42790.775000000001</v>
      </c>
      <c r="Q305" s="19">
        <v>42811.442361111112</v>
      </c>
      <c r="R305" s="19">
        <v>42809.724999999999</v>
      </c>
      <c r="S305" s="14" t="s">
        <v>139</v>
      </c>
      <c r="T305" s="14" t="s">
        <v>533</v>
      </c>
      <c r="U305" s="14" t="s">
        <v>117</v>
      </c>
      <c r="V305" s="14"/>
      <c r="W305" s="14">
        <v>0</v>
      </c>
      <c r="X305" s="14">
        <v>0</v>
      </c>
      <c r="Y305" s="14"/>
      <c r="Z305" s="14"/>
      <c r="AA305" s="14"/>
      <c r="AB305" s="14"/>
      <c r="AC305" s="14"/>
      <c r="AD305" s="14"/>
      <c r="AE305" s="14"/>
      <c r="AF305" s="14" t="s">
        <v>156</v>
      </c>
      <c r="AG305" s="14" t="s">
        <v>534</v>
      </c>
      <c r="AH305" s="14"/>
      <c r="AI305" s="14"/>
      <c r="AJ305" s="14"/>
      <c r="AK305" s="14"/>
      <c r="AL305" s="14"/>
      <c r="AM305" s="14"/>
      <c r="AN305" s="14" t="s">
        <v>535</v>
      </c>
      <c r="AO305" s="14"/>
      <c r="AP305" s="14"/>
      <c r="AQ305" s="14"/>
      <c r="AR305" s="22"/>
      <c r="AS305" s="22" t="s">
        <v>89</v>
      </c>
      <c r="AT305" s="22" t="s">
        <v>398</v>
      </c>
      <c r="AU305" s="25" t="str">
        <f>VLOOKUP(O305,[1]Lookup!A:B,2,FALSE)</f>
        <v>Test-SIT</v>
      </c>
      <c r="AV305" s="25" t="str">
        <f>VLOOKUP(test1[[#This Row],[Assignee]],lookup[#All],2,FALSE)</f>
        <v>Test-SIT</v>
      </c>
      <c r="AW305" s="25">
        <f ca="1">IF(test1[[#This Row],[Status]]&lt;&gt;"Closed", TODAY()-INT(test1[[#This Row],[Created]]),INT(test1[[#This Row],[Resolved]])-INT(test1[[#This Row],[Created]]))</f>
        <v>38</v>
      </c>
    </row>
    <row r="306" spans="1:49" ht="409.5" x14ac:dyDescent="0.2">
      <c r="A306" s="48" t="s">
        <v>86</v>
      </c>
      <c r="B306" s="29" t="s">
        <v>522</v>
      </c>
      <c r="C306" s="27" t="s">
        <v>523</v>
      </c>
      <c r="D306" s="22" t="s">
        <v>89</v>
      </c>
      <c r="E306" s="22" t="s">
        <v>524</v>
      </c>
      <c r="F306" s="26" t="s">
        <v>525</v>
      </c>
      <c r="G306" s="26" t="s">
        <v>373</v>
      </c>
      <c r="H306" s="26" t="s">
        <v>526</v>
      </c>
      <c r="I306" s="26" t="s">
        <v>527</v>
      </c>
      <c r="J306" s="14" t="s">
        <v>91</v>
      </c>
      <c r="K306" s="14" t="s">
        <v>59</v>
      </c>
      <c r="L306" s="14" t="s">
        <v>124</v>
      </c>
      <c r="M306" s="14" t="s">
        <v>132</v>
      </c>
      <c r="N306" s="18" t="s">
        <v>30</v>
      </c>
      <c r="O306" s="14" t="s">
        <v>19</v>
      </c>
      <c r="P306" s="19">
        <v>42791.824999999997</v>
      </c>
      <c r="Q306" s="19">
        <v>42794.445833333331</v>
      </c>
      <c r="R306" s="19">
        <v>42794.436805555553</v>
      </c>
      <c r="S306" s="14" t="s">
        <v>528</v>
      </c>
      <c r="T306" s="14"/>
      <c r="U306" s="14" t="s">
        <v>96</v>
      </c>
      <c r="V306" s="14"/>
      <c r="W306" s="14">
        <v>0</v>
      </c>
      <c r="X306" s="14">
        <v>0</v>
      </c>
      <c r="Y306" s="14"/>
      <c r="Z306" s="14"/>
      <c r="AA306" s="14"/>
      <c r="AB306" s="14"/>
      <c r="AC306" s="14"/>
      <c r="AD306" s="14"/>
      <c r="AE306" s="14"/>
      <c r="AF306" s="14" t="s">
        <v>529</v>
      </c>
      <c r="AG306" s="14" t="s">
        <v>530</v>
      </c>
      <c r="AH306" s="14"/>
      <c r="AI306" s="14"/>
      <c r="AJ306" s="14"/>
      <c r="AK306" s="14"/>
      <c r="AL306" s="14"/>
      <c r="AM306" s="14"/>
      <c r="AN306" s="14" t="s">
        <v>99</v>
      </c>
      <c r="AO306" s="14"/>
      <c r="AP306" s="14"/>
      <c r="AQ306" s="14"/>
      <c r="AR306" s="22"/>
      <c r="AS306" s="22" t="s">
        <v>89</v>
      </c>
      <c r="AT306" s="22" t="s">
        <v>524</v>
      </c>
      <c r="AU306" s="25" t="str">
        <f>VLOOKUP(O306,[1]Lookup!A:B,2,FALSE)</f>
        <v>Test-SIT</v>
      </c>
      <c r="AV306" s="25" t="str">
        <f>VLOOKUP(test1[[#This Row],[Assignee]],lookup[#All],2,FALSE)</f>
        <v>Test-SIT</v>
      </c>
      <c r="AW306" s="25">
        <f ca="1">IF(test1[[#This Row],[Status]]&lt;&gt;"Closed", TODAY()-INT(test1[[#This Row],[Created]]),INT(test1[[#This Row],[Resolved]])-INT(test1[[#This Row],[Created]]))</f>
        <v>37</v>
      </c>
    </row>
    <row r="307" spans="1:49" ht="399" x14ac:dyDescent="0.2">
      <c r="A307" s="48" t="s">
        <v>86</v>
      </c>
      <c r="B307" s="29" t="s">
        <v>514</v>
      </c>
      <c r="C307" s="27" t="s">
        <v>515</v>
      </c>
      <c r="D307" s="53" t="s">
        <v>241</v>
      </c>
      <c r="E307" s="53" t="s">
        <v>166</v>
      </c>
      <c r="F307" s="30" t="s">
        <v>516</v>
      </c>
      <c r="G307" s="30" t="s">
        <v>373</v>
      </c>
      <c r="H307" s="30" t="s">
        <v>104</v>
      </c>
      <c r="I307" s="30" t="s">
        <v>517</v>
      </c>
      <c r="J307" s="14" t="s">
        <v>91</v>
      </c>
      <c r="K307" s="14" t="s">
        <v>174</v>
      </c>
      <c r="L307" s="14" t="s">
        <v>103</v>
      </c>
      <c r="M307" s="17" t="s">
        <v>94</v>
      </c>
      <c r="N307" s="18" t="s">
        <v>29</v>
      </c>
      <c r="O307" s="14" t="s">
        <v>21</v>
      </c>
      <c r="P307" s="19">
        <v>42793.467361111114</v>
      </c>
      <c r="Q307" s="19">
        <v>42809.568055555559</v>
      </c>
      <c r="R307" s="14"/>
      <c r="S307" s="14" t="s">
        <v>518</v>
      </c>
      <c r="T307" s="14" t="s">
        <v>373</v>
      </c>
      <c r="U307" s="14" t="s">
        <v>89</v>
      </c>
      <c r="V307" s="14"/>
      <c r="W307" s="14">
        <v>0</v>
      </c>
      <c r="X307" s="14">
        <v>0</v>
      </c>
      <c r="Y307" s="14"/>
      <c r="Z307" s="14"/>
      <c r="AA307" s="14"/>
      <c r="AB307" s="14"/>
      <c r="AC307" s="14"/>
      <c r="AD307" s="14"/>
      <c r="AE307" s="14"/>
      <c r="AF307" s="14"/>
      <c r="AG307" s="14" t="s">
        <v>519</v>
      </c>
      <c r="AH307" s="14"/>
      <c r="AI307" s="14"/>
      <c r="AJ307" s="14"/>
      <c r="AK307" s="14"/>
      <c r="AL307" s="14"/>
      <c r="AM307" s="14"/>
      <c r="AN307" s="14" t="s">
        <v>520</v>
      </c>
      <c r="AO307" s="14" t="s">
        <v>521</v>
      </c>
      <c r="AP307" s="14"/>
      <c r="AQ307" s="14"/>
      <c r="AR307" s="22"/>
      <c r="AS307" s="53" t="s">
        <v>241</v>
      </c>
      <c r="AT307" s="53" t="s">
        <v>235</v>
      </c>
      <c r="AU307" s="25" t="str">
        <f>VLOOKUP(O307,[1]Lookup!A:B,2,FALSE)</f>
        <v>Test-SIT</v>
      </c>
      <c r="AV307" s="25" t="str">
        <f>VLOOKUP(test1[[#This Row],[Assignee]],lookup[#All],2,FALSE)</f>
        <v>BTS-Platform</v>
      </c>
      <c r="AW307" s="25">
        <f ca="1">IF(test1[[#This Row],[Status]]&lt;&gt;"Closed", TODAY()-INT(test1[[#This Row],[Created]]),INT(test1[[#This Row],[Resolved]])-INT(test1[[#This Row],[Created]]))</f>
        <v>35</v>
      </c>
    </row>
    <row r="308" spans="1:49" ht="409.5" x14ac:dyDescent="0.2">
      <c r="A308" s="48" t="s">
        <v>86</v>
      </c>
      <c r="B308" s="29" t="s">
        <v>505</v>
      </c>
      <c r="C308" s="27" t="s">
        <v>506</v>
      </c>
      <c r="D308" s="22" t="s">
        <v>89</v>
      </c>
      <c r="E308" s="22" t="s">
        <v>507</v>
      </c>
      <c r="F308" s="30" t="s">
        <v>508</v>
      </c>
      <c r="G308" s="26" t="s">
        <v>373</v>
      </c>
      <c r="H308" s="30" t="s">
        <v>104</v>
      </c>
      <c r="I308" s="30" t="s">
        <v>509</v>
      </c>
      <c r="J308" s="14" t="s">
        <v>91</v>
      </c>
      <c r="K308" s="14" t="s">
        <v>59</v>
      </c>
      <c r="L308" s="14" t="s">
        <v>103</v>
      </c>
      <c r="M308" s="14" t="s">
        <v>132</v>
      </c>
      <c r="N308" s="18" t="s">
        <v>22</v>
      </c>
      <c r="O308" s="14" t="s">
        <v>8</v>
      </c>
      <c r="P308" s="19">
        <v>42794.574999999997</v>
      </c>
      <c r="Q308" s="19">
        <v>42800.469444444447</v>
      </c>
      <c r="R308" s="19">
        <v>42800.469444444447</v>
      </c>
      <c r="S308" s="14" t="s">
        <v>510</v>
      </c>
      <c r="T308" s="14" t="s">
        <v>373</v>
      </c>
      <c r="U308" s="14" t="s">
        <v>96</v>
      </c>
      <c r="V308" s="14"/>
      <c r="W308" s="14">
        <v>0</v>
      </c>
      <c r="X308" s="14">
        <v>0</v>
      </c>
      <c r="Y308" s="14"/>
      <c r="Z308" s="14"/>
      <c r="AA308" s="14"/>
      <c r="AB308" s="14"/>
      <c r="AC308" s="14"/>
      <c r="AD308" s="14"/>
      <c r="AE308" s="14"/>
      <c r="AF308" s="14"/>
      <c r="AG308" s="14" t="s">
        <v>511</v>
      </c>
      <c r="AH308" s="14"/>
      <c r="AI308" s="14"/>
      <c r="AJ308" s="14"/>
      <c r="AK308" s="14"/>
      <c r="AL308" s="14"/>
      <c r="AM308" s="14"/>
      <c r="AN308" s="14" t="s">
        <v>193</v>
      </c>
      <c r="AO308" s="14" t="s">
        <v>512</v>
      </c>
      <c r="AP308" s="14"/>
      <c r="AQ308" s="14"/>
      <c r="AR308" s="22" t="s">
        <v>480</v>
      </c>
      <c r="AS308" s="22" t="s">
        <v>89</v>
      </c>
      <c r="AT308" s="22" t="s">
        <v>513</v>
      </c>
      <c r="AU308" s="25" t="str">
        <f>VLOOKUP(O308,[1]Lookup!A:B,2,FALSE)</f>
        <v>BTS-Dev</v>
      </c>
      <c r="AV308" s="25" t="str">
        <f>VLOOKUP(test1[[#This Row],[Assignee]],lookup[#All],2,FALSE)</f>
        <v>Test-SIT</v>
      </c>
      <c r="AW308" s="25">
        <f ca="1">IF(test1[[#This Row],[Status]]&lt;&gt;"Closed", TODAY()-INT(test1[[#This Row],[Created]]),INT(test1[[#This Row],[Resolved]])-INT(test1[[#This Row],[Created]]))</f>
        <v>34</v>
      </c>
    </row>
    <row r="309" spans="1:49" ht="256.5" x14ac:dyDescent="0.2">
      <c r="A309" s="48" t="s">
        <v>86</v>
      </c>
      <c r="B309" s="29" t="s">
        <v>497</v>
      </c>
      <c r="C309" s="27" t="s">
        <v>498</v>
      </c>
      <c r="D309" s="22" t="s">
        <v>89</v>
      </c>
      <c r="E309" s="22" t="s">
        <v>499</v>
      </c>
      <c r="F309" s="30" t="s">
        <v>500</v>
      </c>
      <c r="G309" s="30" t="s">
        <v>373</v>
      </c>
      <c r="H309" s="30"/>
      <c r="I309" s="30" t="s">
        <v>501</v>
      </c>
      <c r="J309" s="14" t="s">
        <v>91</v>
      </c>
      <c r="K309" s="14" t="s">
        <v>59</v>
      </c>
      <c r="L309" s="14" t="s">
        <v>93</v>
      </c>
      <c r="M309" s="14" t="s">
        <v>132</v>
      </c>
      <c r="N309" s="18" t="s">
        <v>22</v>
      </c>
      <c r="O309" s="14" t="s">
        <v>22</v>
      </c>
      <c r="P309" s="19">
        <v>42794.588888888888</v>
      </c>
      <c r="Q309" s="19">
        <v>42807.845138888886</v>
      </c>
      <c r="R309" s="19">
        <v>42807.469444444447</v>
      </c>
      <c r="S309" s="14" t="s">
        <v>502</v>
      </c>
      <c r="T309" s="14" t="s">
        <v>373</v>
      </c>
      <c r="U309" s="14" t="s">
        <v>89</v>
      </c>
      <c r="V309" s="14"/>
      <c r="W309" s="14">
        <v>0</v>
      </c>
      <c r="X309" s="14">
        <v>0</v>
      </c>
      <c r="Y309" s="14"/>
      <c r="Z309" s="14"/>
      <c r="AA309" s="14"/>
      <c r="AB309" s="14"/>
      <c r="AC309" s="14"/>
      <c r="AD309" s="14"/>
      <c r="AE309" s="14"/>
      <c r="AF309" s="14"/>
      <c r="AG309" s="14" t="s">
        <v>503</v>
      </c>
      <c r="AH309" s="14"/>
      <c r="AI309" s="14"/>
      <c r="AJ309" s="14"/>
      <c r="AK309" s="14"/>
      <c r="AL309" s="14"/>
      <c r="AM309" s="14"/>
      <c r="AN309" s="14" t="s">
        <v>193</v>
      </c>
      <c r="AO309" s="14" t="s">
        <v>504</v>
      </c>
      <c r="AP309" s="14"/>
      <c r="AQ309" s="14"/>
      <c r="AR309" s="24"/>
      <c r="AS309" s="22" t="s">
        <v>89</v>
      </c>
      <c r="AT309" s="22" t="s">
        <v>499</v>
      </c>
      <c r="AU309" s="25" t="str">
        <f>VLOOKUP(O309,[1]Lookup!A:B,2,FALSE)</f>
        <v>Test-SIT</v>
      </c>
      <c r="AV309" s="25" t="str">
        <f>VLOOKUP(test1[[#This Row],[Assignee]],lookup[#All],2,FALSE)</f>
        <v>Test-SIT</v>
      </c>
      <c r="AW309" s="25">
        <f ca="1">IF(test1[[#This Row],[Status]]&lt;&gt;"Closed", TODAY()-INT(test1[[#This Row],[Created]]),INT(test1[[#This Row],[Resolved]])-INT(test1[[#This Row],[Created]]))</f>
        <v>34</v>
      </c>
    </row>
    <row r="310" spans="1:49" ht="199.5" x14ac:dyDescent="0.2">
      <c r="A310" s="48" t="s">
        <v>86</v>
      </c>
      <c r="B310" s="29" t="s">
        <v>492</v>
      </c>
      <c r="C310" s="27" t="s">
        <v>493</v>
      </c>
      <c r="D310" s="22" t="s">
        <v>117</v>
      </c>
      <c r="E310" s="22" t="s">
        <v>490</v>
      </c>
      <c r="F310" s="27"/>
      <c r="G310" s="27"/>
      <c r="H310" s="27"/>
      <c r="I310" s="27"/>
      <c r="J310" s="14" t="s">
        <v>91</v>
      </c>
      <c r="K310" s="14" t="s">
        <v>59</v>
      </c>
      <c r="L310" s="14" t="s">
        <v>93</v>
      </c>
      <c r="M310" s="14" t="s">
        <v>132</v>
      </c>
      <c r="N310" s="18" t="s">
        <v>22</v>
      </c>
      <c r="O310" s="14" t="s">
        <v>19</v>
      </c>
      <c r="P310" s="19">
        <v>42794.634027777778</v>
      </c>
      <c r="Q310" s="19">
        <v>42800.469444444447</v>
      </c>
      <c r="R310" s="19">
        <v>42800.469444444447</v>
      </c>
      <c r="S310" s="14" t="s">
        <v>451</v>
      </c>
      <c r="T310" s="14" t="s">
        <v>373</v>
      </c>
      <c r="U310" s="14" t="s">
        <v>96</v>
      </c>
      <c r="V310" s="14"/>
      <c r="W310" s="14">
        <v>0</v>
      </c>
      <c r="X310" s="14">
        <v>0</v>
      </c>
      <c r="Y310" s="14"/>
      <c r="Z310" s="14"/>
      <c r="AA310" s="14"/>
      <c r="AB310" s="14"/>
      <c r="AC310" s="14"/>
      <c r="AD310" s="14"/>
      <c r="AE310" s="14"/>
      <c r="AF310" s="14" t="s">
        <v>494</v>
      </c>
      <c r="AG310" s="14" t="s">
        <v>495</v>
      </c>
      <c r="AH310" s="14"/>
      <c r="AI310" s="14"/>
      <c r="AJ310" s="14"/>
      <c r="AK310" s="14"/>
      <c r="AL310" s="14"/>
      <c r="AM310" s="14"/>
      <c r="AN310" s="14" t="s">
        <v>123</v>
      </c>
      <c r="AO310" s="14" t="s">
        <v>496</v>
      </c>
      <c r="AP310" s="14"/>
      <c r="AQ310" s="14"/>
      <c r="AR310" s="24"/>
      <c r="AS310" s="22" t="s">
        <v>130</v>
      </c>
      <c r="AT310" s="22" t="s">
        <v>490</v>
      </c>
      <c r="AU310" s="25" t="str">
        <f>VLOOKUP(O310,[1]Lookup!A:B,2,FALSE)</f>
        <v>Test-SIT</v>
      </c>
      <c r="AV310" s="25" t="str">
        <f>VLOOKUP(test1[[#This Row],[Assignee]],lookup[#All],2,FALSE)</f>
        <v>Test-SIT</v>
      </c>
      <c r="AW310" s="25">
        <f ca="1">IF(test1[[#This Row],[Status]]&lt;&gt;"Closed", TODAY()-INT(test1[[#This Row],[Created]]),INT(test1[[#This Row],[Resolved]])-INT(test1[[#This Row],[Created]]))</f>
        <v>34</v>
      </c>
    </row>
    <row r="311" spans="1:49" ht="409.5" x14ac:dyDescent="0.2">
      <c r="A311" s="48" t="s">
        <v>86</v>
      </c>
      <c r="B311" s="29" t="s">
        <v>488</v>
      </c>
      <c r="C311" s="27" t="s">
        <v>489</v>
      </c>
      <c r="D311" s="22" t="s">
        <v>130</v>
      </c>
      <c r="E311" s="22" t="s">
        <v>490</v>
      </c>
      <c r="F311" s="27"/>
      <c r="G311" s="27" t="s">
        <v>312</v>
      </c>
      <c r="H311" s="27"/>
      <c r="I311" s="27"/>
      <c r="J311" s="14" t="s">
        <v>91</v>
      </c>
      <c r="K311" s="14" t="s">
        <v>92</v>
      </c>
      <c r="L311" s="14" t="s">
        <v>124</v>
      </c>
      <c r="M311" s="17" t="s">
        <v>94</v>
      </c>
      <c r="N311" s="18" t="s">
        <v>9</v>
      </c>
      <c r="O311" s="14" t="s">
        <v>24</v>
      </c>
      <c r="P311" s="19">
        <v>42794.667361111111</v>
      </c>
      <c r="Q311" s="19">
        <v>42811.435416666667</v>
      </c>
      <c r="R311" s="14"/>
      <c r="S311" s="14" t="s">
        <v>139</v>
      </c>
      <c r="T311" s="14" t="s">
        <v>155</v>
      </c>
      <c r="U311" s="14" t="s">
        <v>117</v>
      </c>
      <c r="V311" s="14"/>
      <c r="W311" s="14">
        <v>0</v>
      </c>
      <c r="X311" s="14">
        <v>0</v>
      </c>
      <c r="Y311" s="14"/>
      <c r="Z311" s="14"/>
      <c r="AA311" s="14"/>
      <c r="AB311" s="14"/>
      <c r="AC311" s="14"/>
      <c r="AD311" s="14"/>
      <c r="AE311" s="14"/>
      <c r="AF311" s="14" t="s">
        <v>97</v>
      </c>
      <c r="AG311" s="14" t="s">
        <v>491</v>
      </c>
      <c r="AH311" s="14"/>
      <c r="AI311" s="14"/>
      <c r="AJ311" s="14"/>
      <c r="AK311" s="14"/>
      <c r="AL311" s="14"/>
      <c r="AM311" s="14"/>
      <c r="AN311" s="14" t="s">
        <v>255</v>
      </c>
      <c r="AO311" s="14"/>
      <c r="AP311" s="14"/>
      <c r="AQ311" s="14"/>
      <c r="AR311" s="24"/>
      <c r="AS311" s="22" t="s">
        <v>130</v>
      </c>
      <c r="AT311" s="22" t="s">
        <v>490</v>
      </c>
      <c r="AU311" s="25" t="str">
        <f>VLOOKUP(O311,[1]Lookup!A:B,2,FALSE)</f>
        <v>Test-SIT</v>
      </c>
      <c r="AV311" s="25" t="str">
        <f>VLOOKUP(test1[[#This Row],[Assignee]],lookup[#All],2,FALSE)</f>
        <v>BTS-Platform</v>
      </c>
      <c r="AW311" s="25">
        <f ca="1">IF(test1[[#This Row],[Status]]&lt;&gt;"Closed", TODAY()-INT(test1[[#This Row],[Created]]),INT(test1[[#This Row],[Resolved]])-INT(test1[[#This Row],[Created]]))</f>
        <v>34</v>
      </c>
    </row>
    <row r="312" spans="1:49" ht="213.75" x14ac:dyDescent="0.2">
      <c r="A312" s="48" t="s">
        <v>86</v>
      </c>
      <c r="B312" s="29" t="s">
        <v>484</v>
      </c>
      <c r="C312" s="27" t="s">
        <v>485</v>
      </c>
      <c r="D312" s="22" t="s">
        <v>89</v>
      </c>
      <c r="E312" s="22" t="s">
        <v>477</v>
      </c>
      <c r="F312" s="27"/>
      <c r="G312" s="26" t="s">
        <v>312</v>
      </c>
      <c r="H312" s="27"/>
      <c r="I312" s="27"/>
      <c r="J312" s="14" t="s">
        <v>91</v>
      </c>
      <c r="K312" s="14" t="s">
        <v>59</v>
      </c>
      <c r="L312" s="14" t="s">
        <v>103</v>
      </c>
      <c r="M312" s="14" t="s">
        <v>132</v>
      </c>
      <c r="N312" s="18" t="s">
        <v>21</v>
      </c>
      <c r="O312" s="14" t="s">
        <v>21</v>
      </c>
      <c r="P312" s="19">
        <v>42795.515277777777</v>
      </c>
      <c r="Q312" s="19">
        <v>42807.863194444442</v>
      </c>
      <c r="R312" s="19">
        <v>42807.863194444442</v>
      </c>
      <c r="S312" s="14" t="s">
        <v>203</v>
      </c>
      <c r="T312" s="14" t="s">
        <v>312</v>
      </c>
      <c r="U312" s="14" t="s">
        <v>96</v>
      </c>
      <c r="V312" s="14"/>
      <c r="W312" s="14">
        <v>0</v>
      </c>
      <c r="X312" s="14">
        <v>0</v>
      </c>
      <c r="Y312" s="14"/>
      <c r="Z312" s="14"/>
      <c r="AA312" s="14"/>
      <c r="AB312" s="14"/>
      <c r="AC312" s="14"/>
      <c r="AD312" s="14"/>
      <c r="AE312" s="14"/>
      <c r="AF312" s="14"/>
      <c r="AG312" s="14" t="s">
        <v>486</v>
      </c>
      <c r="AH312" s="14"/>
      <c r="AI312" s="14"/>
      <c r="AJ312" s="14"/>
      <c r="AK312" s="14"/>
      <c r="AL312" s="14"/>
      <c r="AM312" s="14"/>
      <c r="AN312" s="14"/>
      <c r="AO312" s="14" t="s">
        <v>487</v>
      </c>
      <c r="AP312" s="14"/>
      <c r="AQ312" s="14"/>
      <c r="AR312" s="24"/>
      <c r="AS312" s="22" t="s">
        <v>89</v>
      </c>
      <c r="AT312" s="22" t="s">
        <v>477</v>
      </c>
      <c r="AU312" s="25" t="str">
        <f>VLOOKUP(O312,[1]Lookup!A:B,2,FALSE)</f>
        <v>Test-SIT</v>
      </c>
      <c r="AV312" s="25" t="str">
        <f>VLOOKUP(test1[[#This Row],[Assignee]],lookup[#All],2,FALSE)</f>
        <v>Test-SIT</v>
      </c>
      <c r="AW312" s="25">
        <f ca="1">IF(test1[[#This Row],[Status]]&lt;&gt;"Closed", TODAY()-INT(test1[[#This Row],[Created]]),INT(test1[[#This Row],[Resolved]])-INT(test1[[#This Row],[Created]]))</f>
        <v>33</v>
      </c>
    </row>
    <row r="313" spans="1:49" ht="409.5" x14ac:dyDescent="0.2">
      <c r="A313" s="48" t="s">
        <v>86</v>
      </c>
      <c r="B313" s="29" t="s">
        <v>475</v>
      </c>
      <c r="C313" s="27" t="s">
        <v>476</v>
      </c>
      <c r="D313" s="22" t="s">
        <v>89</v>
      </c>
      <c r="E313" s="22" t="s">
        <v>477</v>
      </c>
      <c r="F313" s="27" t="s">
        <v>478</v>
      </c>
      <c r="G313" s="27" t="s">
        <v>373</v>
      </c>
      <c r="H313" s="27"/>
      <c r="I313" s="27"/>
      <c r="J313" s="14" t="s">
        <v>91</v>
      </c>
      <c r="K313" s="14" t="s">
        <v>59</v>
      </c>
      <c r="L313" s="14" t="s">
        <v>103</v>
      </c>
      <c r="M313" s="14" t="s">
        <v>132</v>
      </c>
      <c r="N313" s="18" t="s">
        <v>22</v>
      </c>
      <c r="O313" s="14" t="s">
        <v>29</v>
      </c>
      <c r="P313" s="19">
        <v>42795.570138888892</v>
      </c>
      <c r="Q313" s="19">
        <v>42807.865277777775</v>
      </c>
      <c r="R313" s="19">
        <v>42807.865277777775</v>
      </c>
      <c r="S313" s="14" t="s">
        <v>104</v>
      </c>
      <c r="T313" s="14" t="s">
        <v>479</v>
      </c>
      <c r="U313" s="14" t="s">
        <v>130</v>
      </c>
      <c r="V313" s="28">
        <v>42801</v>
      </c>
      <c r="W313" s="14">
        <v>0</v>
      </c>
      <c r="X313" s="14">
        <v>1</v>
      </c>
      <c r="Y313" s="14"/>
      <c r="Z313" s="14"/>
      <c r="AA313" s="14"/>
      <c r="AB313" s="14"/>
      <c r="AC313" s="14"/>
      <c r="AD313" s="14"/>
      <c r="AE313" s="14"/>
      <c r="AF313" s="14" t="s">
        <v>480</v>
      </c>
      <c r="AG313" s="14" t="s">
        <v>481</v>
      </c>
      <c r="AH313" s="14"/>
      <c r="AI313" s="14"/>
      <c r="AJ313" s="14"/>
      <c r="AK313" s="14"/>
      <c r="AL313" s="14"/>
      <c r="AM313" s="14"/>
      <c r="AN313" s="14" t="s">
        <v>482</v>
      </c>
      <c r="AO313" s="14" t="s">
        <v>483</v>
      </c>
      <c r="AP313" s="14" t="s">
        <v>146</v>
      </c>
      <c r="AQ313" s="14"/>
      <c r="AR313" s="24"/>
      <c r="AS313" s="22" t="s">
        <v>89</v>
      </c>
      <c r="AT313" s="22" t="s">
        <v>477</v>
      </c>
      <c r="AU313" s="25" t="str">
        <f>VLOOKUP(O313,[1]Lookup!A:B,2,FALSE)</f>
        <v>BTS-Platform</v>
      </c>
      <c r="AV313" s="25" t="str">
        <f>VLOOKUP(test1[[#This Row],[Assignee]],lookup[#All],2,FALSE)</f>
        <v>Test-SIT</v>
      </c>
      <c r="AW313" s="25">
        <f ca="1">IF(test1[[#This Row],[Status]]&lt;&gt;"Closed", TODAY()-INT(test1[[#This Row],[Created]]),INT(test1[[#This Row],[Resolved]])-INT(test1[[#This Row],[Created]]))</f>
        <v>33</v>
      </c>
    </row>
    <row r="314" spans="1:49" ht="409.5" x14ac:dyDescent="0.2">
      <c r="A314" s="47" t="s">
        <v>86</v>
      </c>
      <c r="B314" s="15" t="s">
        <v>470</v>
      </c>
      <c r="C314" s="14" t="s">
        <v>471</v>
      </c>
      <c r="D314" s="70" t="s">
        <v>241</v>
      </c>
      <c r="E314" s="70" t="s">
        <v>123</v>
      </c>
      <c r="F314" s="14" t="s">
        <v>465</v>
      </c>
      <c r="G314" s="14" t="s">
        <v>174</v>
      </c>
      <c r="H314" s="14"/>
      <c r="I314" s="14" t="s">
        <v>472</v>
      </c>
      <c r="J314" s="14" t="s">
        <v>91</v>
      </c>
      <c r="K314" s="14" t="s">
        <v>59</v>
      </c>
      <c r="L314" s="14" t="s">
        <v>103</v>
      </c>
      <c r="M314" s="14" t="s">
        <v>132</v>
      </c>
      <c r="N314" s="18" t="s">
        <v>22</v>
      </c>
      <c r="O314" s="14" t="s">
        <v>21</v>
      </c>
      <c r="P314" s="19">
        <v>42795.572916666664</v>
      </c>
      <c r="Q314" s="19">
        <v>42807.481249999997</v>
      </c>
      <c r="R314" s="19">
        <v>42807.481249999997</v>
      </c>
      <c r="S314" s="14" t="s">
        <v>104</v>
      </c>
      <c r="T314" s="14" t="s">
        <v>373</v>
      </c>
      <c r="U314" s="14" t="s">
        <v>96</v>
      </c>
      <c r="V314" s="14"/>
      <c r="W314" s="14">
        <v>0</v>
      </c>
      <c r="X314" s="14">
        <v>0</v>
      </c>
      <c r="Y314" s="14"/>
      <c r="Z314" s="14"/>
      <c r="AA314" s="14"/>
      <c r="AB314" s="14"/>
      <c r="AC314" s="14"/>
      <c r="AD314" s="14"/>
      <c r="AE314" s="14"/>
      <c r="AF314" s="14"/>
      <c r="AG314" s="14" t="s">
        <v>473</v>
      </c>
      <c r="AH314" s="14"/>
      <c r="AI314" s="14"/>
      <c r="AJ314" s="14"/>
      <c r="AK314" s="14"/>
      <c r="AL314" s="14"/>
      <c r="AM314" s="14"/>
      <c r="AN314" s="14"/>
      <c r="AO314" s="14" t="s">
        <v>474</v>
      </c>
      <c r="AP314" s="14"/>
      <c r="AQ314" s="14"/>
      <c r="AR314" s="24"/>
      <c r="AS314" s="70" t="s">
        <v>241</v>
      </c>
      <c r="AT314" s="70" t="s">
        <v>123</v>
      </c>
      <c r="AU314" s="25" t="str">
        <f>VLOOKUP(O314,[1]Lookup!A:B,2,FALSE)</f>
        <v>Test-SIT</v>
      </c>
      <c r="AV314" s="25" t="str">
        <f>VLOOKUP(test1[[#This Row],[Assignee]],lookup[#All],2,FALSE)</f>
        <v>Test-SIT</v>
      </c>
      <c r="AW314" s="25">
        <f ca="1">IF(test1[[#This Row],[Status]]&lt;&gt;"Closed", TODAY()-INT(test1[[#This Row],[Created]]),INT(test1[[#This Row],[Resolved]])-INT(test1[[#This Row],[Created]]))</f>
        <v>33</v>
      </c>
    </row>
    <row r="315" spans="1:49" ht="409.5" x14ac:dyDescent="0.2">
      <c r="A315" s="47" t="s">
        <v>86</v>
      </c>
      <c r="B315" s="15" t="s">
        <v>463</v>
      </c>
      <c r="C315" s="14" t="s">
        <v>464</v>
      </c>
      <c r="D315" s="70" t="s">
        <v>96</v>
      </c>
      <c r="E315" s="70" t="s">
        <v>229</v>
      </c>
      <c r="F315" s="14" t="s">
        <v>465</v>
      </c>
      <c r="G315" s="14"/>
      <c r="H315" s="14"/>
      <c r="I315" s="14"/>
      <c r="J315" s="14" t="s">
        <v>91</v>
      </c>
      <c r="K315" s="14" t="s">
        <v>174</v>
      </c>
      <c r="L315" s="14" t="s">
        <v>124</v>
      </c>
      <c r="M315" s="17" t="s">
        <v>94</v>
      </c>
      <c r="N315" s="18" t="s">
        <v>202</v>
      </c>
      <c r="O315" s="14" t="s">
        <v>8</v>
      </c>
      <c r="P315" s="19">
        <v>42796.406944444447</v>
      </c>
      <c r="Q315" s="19">
        <v>42809.457638888889</v>
      </c>
      <c r="R315" s="14"/>
      <c r="S315" s="14" t="s">
        <v>104</v>
      </c>
      <c r="T315" s="14" t="s">
        <v>466</v>
      </c>
      <c r="U315" s="14" t="s">
        <v>89</v>
      </c>
      <c r="V315" s="28">
        <v>42797</v>
      </c>
      <c r="W315" s="14">
        <v>0</v>
      </c>
      <c r="X315" s="14">
        <v>0</v>
      </c>
      <c r="Y315" s="14"/>
      <c r="Z315" s="14"/>
      <c r="AA315" s="14"/>
      <c r="AB315" s="14"/>
      <c r="AC315" s="14"/>
      <c r="AD315" s="14"/>
      <c r="AE315" s="14"/>
      <c r="AF315" s="14"/>
      <c r="AG315" s="14" t="s">
        <v>467</v>
      </c>
      <c r="AH315" s="14"/>
      <c r="AI315" s="14"/>
      <c r="AJ315" s="14"/>
      <c r="AK315" s="14"/>
      <c r="AL315" s="14"/>
      <c r="AM315" s="14"/>
      <c r="AN315" s="14" t="s">
        <v>468</v>
      </c>
      <c r="AO315" s="14" t="s">
        <v>469</v>
      </c>
      <c r="AP315" s="14"/>
      <c r="AQ315" s="14"/>
      <c r="AR315" s="24"/>
      <c r="AS315" s="70" t="s">
        <v>96</v>
      </c>
      <c r="AT315" s="70" t="s">
        <v>229</v>
      </c>
      <c r="AU315" s="25" t="str">
        <f>VLOOKUP(O315,[1]Lookup!A:B,2,FALSE)</f>
        <v>BTS-Dev</v>
      </c>
      <c r="AV315" s="25" t="e">
        <f>VLOOKUP(test1[[#This Row],[Assignee]],lookup[#All],2,FALSE)</f>
        <v>#N/A</v>
      </c>
      <c r="AW315" s="25">
        <f ca="1">IF(test1[[#This Row],[Status]]&lt;&gt;"Closed", TODAY()-INT(test1[[#This Row],[Created]]),INT(test1[[#This Row],[Resolved]])-INT(test1[[#This Row],[Created]]))</f>
        <v>32</v>
      </c>
    </row>
    <row r="316" spans="1:49" ht="171" x14ac:dyDescent="0.2">
      <c r="A316" s="47" t="s">
        <v>86</v>
      </c>
      <c r="B316" s="15" t="s">
        <v>460</v>
      </c>
      <c r="C316" s="14" t="s">
        <v>461</v>
      </c>
      <c r="D316" s="70" t="s">
        <v>117</v>
      </c>
      <c r="E316" s="70" t="s">
        <v>229</v>
      </c>
      <c r="F316" s="14"/>
      <c r="G316" s="14"/>
      <c r="H316" s="14"/>
      <c r="I316" s="14"/>
      <c r="J316" s="14" t="s">
        <v>91</v>
      </c>
      <c r="K316" s="14" t="s">
        <v>59</v>
      </c>
      <c r="L316" s="14" t="s">
        <v>124</v>
      </c>
      <c r="M316" s="14" t="s">
        <v>132</v>
      </c>
      <c r="N316" s="18" t="s">
        <v>38</v>
      </c>
      <c r="O316" s="14" t="s">
        <v>36</v>
      </c>
      <c r="P316" s="19">
        <v>42796.434027777781</v>
      </c>
      <c r="Q316" s="19">
        <v>42797.415277777778</v>
      </c>
      <c r="R316" s="19">
        <v>42796.468055555553</v>
      </c>
      <c r="S316" s="14" t="s">
        <v>104</v>
      </c>
      <c r="T316" s="14"/>
      <c r="U316" s="14" t="s">
        <v>96</v>
      </c>
      <c r="V316" s="14"/>
      <c r="W316" s="14">
        <v>0</v>
      </c>
      <c r="X316" s="14">
        <v>0</v>
      </c>
      <c r="Y316" s="14"/>
      <c r="Z316" s="14"/>
      <c r="AA316" s="14"/>
      <c r="AB316" s="14"/>
      <c r="AC316" s="14"/>
      <c r="AD316" s="14"/>
      <c r="AE316" s="14"/>
      <c r="AF316" s="14" t="s">
        <v>126</v>
      </c>
      <c r="AG316" s="14" t="s">
        <v>462</v>
      </c>
      <c r="AH316" s="14"/>
      <c r="AI316" s="14"/>
      <c r="AJ316" s="14"/>
      <c r="AK316" s="14"/>
      <c r="AL316" s="14"/>
      <c r="AM316" s="14"/>
      <c r="AN316" s="14"/>
      <c r="AO316" s="14"/>
      <c r="AP316" s="14"/>
      <c r="AQ316" s="14"/>
      <c r="AR316" s="24"/>
      <c r="AS316" s="70" t="s">
        <v>117</v>
      </c>
      <c r="AT316" s="70" t="s">
        <v>229</v>
      </c>
      <c r="AU316" s="25" t="str">
        <f>VLOOKUP(O316,[1]Lookup!A:B,2,FALSE)</f>
        <v>DMO</v>
      </c>
      <c r="AV316" s="25" t="str">
        <f>VLOOKUP(test1[[#This Row],[Assignee]],lookup[#All],2,FALSE)</f>
        <v>DMO</v>
      </c>
      <c r="AW316" s="25">
        <f ca="1">IF(test1[[#This Row],[Status]]&lt;&gt;"Closed", TODAY()-INT(test1[[#This Row],[Created]]),INT(test1[[#This Row],[Resolved]])-INT(test1[[#This Row],[Created]]))</f>
        <v>32</v>
      </c>
    </row>
    <row r="317" spans="1:49" ht="199.5" x14ac:dyDescent="0.2">
      <c r="A317" s="47" t="s">
        <v>86</v>
      </c>
      <c r="B317" s="15" t="s">
        <v>457</v>
      </c>
      <c r="C317" s="14" t="s">
        <v>458</v>
      </c>
      <c r="D317" s="70" t="s">
        <v>241</v>
      </c>
      <c r="E317" s="22" t="s">
        <v>166</v>
      </c>
      <c r="F317" s="14" t="s">
        <v>445</v>
      </c>
      <c r="G317" s="27" t="s">
        <v>373</v>
      </c>
      <c r="H317" s="14"/>
      <c r="I317" s="14" t="s">
        <v>446</v>
      </c>
      <c r="J317" s="14" t="s">
        <v>91</v>
      </c>
      <c r="K317" s="14" t="s">
        <v>59</v>
      </c>
      <c r="L317" s="14" t="s">
        <v>124</v>
      </c>
      <c r="M317" s="14" t="s">
        <v>132</v>
      </c>
      <c r="N317" s="18" t="s">
        <v>38</v>
      </c>
      <c r="O317" s="14" t="s">
        <v>38</v>
      </c>
      <c r="P317" s="19">
        <v>42796.474999999999</v>
      </c>
      <c r="Q317" s="19">
        <v>42797.438888888886</v>
      </c>
      <c r="R317" s="19">
        <v>42797.438888888886</v>
      </c>
      <c r="S317" s="14" t="s">
        <v>104</v>
      </c>
      <c r="T317" s="14" t="s">
        <v>204</v>
      </c>
      <c r="U317" s="14" t="s">
        <v>117</v>
      </c>
      <c r="V317" s="14"/>
      <c r="W317" s="14">
        <v>0</v>
      </c>
      <c r="X317" s="14">
        <v>0</v>
      </c>
      <c r="Y317" s="14"/>
      <c r="Z317" s="14"/>
      <c r="AA317" s="14"/>
      <c r="AB317" s="14"/>
      <c r="AC317" s="14"/>
      <c r="AD317" s="14"/>
      <c r="AE317" s="14"/>
      <c r="AF317" s="14"/>
      <c r="AG317" s="14" t="s">
        <v>459</v>
      </c>
      <c r="AH317" s="14"/>
      <c r="AI317" s="14"/>
      <c r="AJ317" s="14"/>
      <c r="AK317" s="14"/>
      <c r="AL317" s="14"/>
      <c r="AM317" s="14"/>
      <c r="AN317" s="14" t="s">
        <v>229</v>
      </c>
      <c r="AO317" s="14" t="s">
        <v>229</v>
      </c>
      <c r="AP317" s="14"/>
      <c r="AQ317" s="14"/>
      <c r="AR317" s="24"/>
      <c r="AS317" s="70" t="s">
        <v>241</v>
      </c>
      <c r="AT317" s="70" t="s">
        <v>166</v>
      </c>
      <c r="AU317" s="25" t="str">
        <f>VLOOKUP(O317,[1]Lookup!A:B,2,FALSE)</f>
        <v>DMO</v>
      </c>
      <c r="AV317" s="25" t="str">
        <f>VLOOKUP(test1[[#This Row],[Assignee]],lookup[#All],2,FALSE)</f>
        <v>DMO</v>
      </c>
      <c r="AW317" s="25">
        <f ca="1">IF(test1[[#This Row],[Status]]&lt;&gt;"Closed", TODAY()-INT(test1[[#This Row],[Created]]),INT(test1[[#This Row],[Resolved]])-INT(test1[[#This Row],[Created]]))</f>
        <v>32</v>
      </c>
    </row>
    <row r="318" spans="1:49" ht="299.25" x14ac:dyDescent="0.2">
      <c r="A318" s="47" t="s">
        <v>86</v>
      </c>
      <c r="B318" s="15" t="s">
        <v>449</v>
      </c>
      <c r="C318" s="14" t="s">
        <v>450</v>
      </c>
      <c r="D318" s="70" t="s">
        <v>117</v>
      </c>
      <c r="E318" s="70" t="s">
        <v>229</v>
      </c>
      <c r="F318" s="14"/>
      <c r="G318" s="27" t="s">
        <v>373</v>
      </c>
      <c r="H318" s="14"/>
      <c r="I318" s="14"/>
      <c r="J318" s="14" t="s">
        <v>91</v>
      </c>
      <c r="K318" s="14" t="s">
        <v>59</v>
      </c>
      <c r="L318" s="14" t="s">
        <v>93</v>
      </c>
      <c r="M318" s="14" t="s">
        <v>132</v>
      </c>
      <c r="N318" s="18" t="s">
        <v>22</v>
      </c>
      <c r="O318" s="14" t="s">
        <v>19</v>
      </c>
      <c r="P318" s="19">
        <v>42796.586111111108</v>
      </c>
      <c r="Q318" s="19">
        <v>42800.472222222219</v>
      </c>
      <c r="R318" s="19">
        <v>42800.472222222219</v>
      </c>
      <c r="S318" s="14" t="s">
        <v>451</v>
      </c>
      <c r="T318" s="14" t="s">
        <v>373</v>
      </c>
      <c r="U318" s="14" t="s">
        <v>96</v>
      </c>
      <c r="V318" s="14"/>
      <c r="W318" s="14">
        <v>0</v>
      </c>
      <c r="X318" s="14">
        <v>0</v>
      </c>
      <c r="Y318" s="14"/>
      <c r="Z318" s="14"/>
      <c r="AA318" s="14"/>
      <c r="AB318" s="14"/>
      <c r="AC318" s="14"/>
      <c r="AD318" s="14"/>
      <c r="AE318" s="14" t="s">
        <v>452</v>
      </c>
      <c r="AF318" s="14" t="s">
        <v>453</v>
      </c>
      <c r="AG318" s="14" t="s">
        <v>454</v>
      </c>
      <c r="AH318" s="14"/>
      <c r="AI318" s="14"/>
      <c r="AJ318" s="14"/>
      <c r="AK318" s="14"/>
      <c r="AL318" s="14"/>
      <c r="AM318" s="14"/>
      <c r="AN318" s="14" t="s">
        <v>455</v>
      </c>
      <c r="AO318" s="14" t="s">
        <v>456</v>
      </c>
      <c r="AP318" s="14"/>
      <c r="AQ318" s="14"/>
      <c r="AR318" s="24"/>
      <c r="AS318" s="70" t="s">
        <v>117</v>
      </c>
      <c r="AT318" s="70" t="s">
        <v>229</v>
      </c>
      <c r="AU318" s="25" t="str">
        <f>VLOOKUP(O318,[1]Lookup!A:B,2,FALSE)</f>
        <v>Test-SIT</v>
      </c>
      <c r="AV318" s="25" t="str">
        <f>VLOOKUP(test1[[#This Row],[Assignee]],lookup[#All],2,FALSE)</f>
        <v>Test-SIT</v>
      </c>
      <c r="AW318" s="25">
        <f ca="1">IF(test1[[#This Row],[Status]]&lt;&gt;"Closed", TODAY()-INT(test1[[#This Row],[Created]]),INT(test1[[#This Row],[Resolved]])-INT(test1[[#This Row],[Created]]))</f>
        <v>32</v>
      </c>
    </row>
    <row r="319" spans="1:49" ht="171" x14ac:dyDescent="0.2">
      <c r="A319" s="47" t="s">
        <v>86</v>
      </c>
      <c r="B319" s="15" t="s">
        <v>443</v>
      </c>
      <c r="C319" s="14" t="s">
        <v>444</v>
      </c>
      <c r="D319" s="70" t="s">
        <v>89</v>
      </c>
      <c r="E319" s="70" t="s">
        <v>193</v>
      </c>
      <c r="F319" s="14" t="s">
        <v>445</v>
      </c>
      <c r="G319" s="26" t="s">
        <v>373</v>
      </c>
      <c r="H319" s="14"/>
      <c r="I319" s="14" t="s">
        <v>446</v>
      </c>
      <c r="J319" s="14" t="s">
        <v>91</v>
      </c>
      <c r="K319" s="14" t="s">
        <v>59</v>
      </c>
      <c r="L319" s="14" t="s">
        <v>124</v>
      </c>
      <c r="M319" s="14" t="s">
        <v>132</v>
      </c>
      <c r="N319" s="18" t="s">
        <v>38</v>
      </c>
      <c r="O319" s="14" t="s">
        <v>38</v>
      </c>
      <c r="P319" s="19">
        <v>42796.594444444447</v>
      </c>
      <c r="Q319" s="19">
        <v>42797.429861111108</v>
      </c>
      <c r="R319" s="19">
        <v>42797.429861111108</v>
      </c>
      <c r="S319" s="14" t="s">
        <v>104</v>
      </c>
      <c r="T319" s="14" t="s">
        <v>204</v>
      </c>
      <c r="U319" s="14" t="s">
        <v>117</v>
      </c>
      <c r="V319" s="14"/>
      <c r="W319" s="14">
        <v>0</v>
      </c>
      <c r="X319" s="14">
        <v>0</v>
      </c>
      <c r="Y319" s="14"/>
      <c r="Z319" s="14"/>
      <c r="AA319" s="14"/>
      <c r="AB319" s="14"/>
      <c r="AC319" s="14"/>
      <c r="AD319" s="14"/>
      <c r="AE319" s="14"/>
      <c r="AF319" s="14"/>
      <c r="AG319" s="14" t="s">
        <v>447</v>
      </c>
      <c r="AH319" s="14"/>
      <c r="AI319" s="14"/>
      <c r="AJ319" s="14"/>
      <c r="AK319" s="14"/>
      <c r="AL319" s="14"/>
      <c r="AM319" s="14"/>
      <c r="AN319" s="14" t="s">
        <v>229</v>
      </c>
      <c r="AO319" s="14" t="s">
        <v>448</v>
      </c>
      <c r="AP319" s="14"/>
      <c r="AQ319" s="14"/>
      <c r="AR319" s="24"/>
      <c r="AS319" s="70" t="s">
        <v>89</v>
      </c>
      <c r="AT319" s="70" t="s">
        <v>193</v>
      </c>
      <c r="AU319" s="25" t="str">
        <f>VLOOKUP(O319,[1]Lookup!A:B,2,FALSE)</f>
        <v>DMO</v>
      </c>
      <c r="AV319" s="25" t="str">
        <f>VLOOKUP(test1[[#This Row],[Assignee]],lookup[#All],2,FALSE)</f>
        <v>DMO</v>
      </c>
      <c r="AW319" s="25">
        <f ca="1">IF(test1[[#This Row],[Status]]&lt;&gt;"Closed", TODAY()-INT(test1[[#This Row],[Created]]),INT(test1[[#This Row],[Resolved]])-INT(test1[[#This Row],[Created]]))</f>
        <v>32</v>
      </c>
    </row>
    <row r="320" spans="1:49" ht="409.5" x14ac:dyDescent="0.2">
      <c r="A320" s="47" t="s">
        <v>86</v>
      </c>
      <c r="B320" s="15" t="s">
        <v>433</v>
      </c>
      <c r="C320" s="14" t="s">
        <v>434</v>
      </c>
      <c r="D320" s="70" t="s">
        <v>117</v>
      </c>
      <c r="E320" s="70" t="s">
        <v>435</v>
      </c>
      <c r="F320" s="14"/>
      <c r="G320" s="23" t="s">
        <v>436</v>
      </c>
      <c r="H320" s="14"/>
      <c r="I320" s="14" t="s">
        <v>437</v>
      </c>
      <c r="J320" s="14" t="s">
        <v>91</v>
      </c>
      <c r="K320" s="14" t="s">
        <v>59</v>
      </c>
      <c r="L320" s="14" t="s">
        <v>103</v>
      </c>
      <c r="M320" s="14" t="s">
        <v>132</v>
      </c>
      <c r="N320" s="18" t="s">
        <v>202</v>
      </c>
      <c r="O320" s="14" t="s">
        <v>37</v>
      </c>
      <c r="P320" s="19">
        <v>42796.645833333336</v>
      </c>
      <c r="Q320" s="19">
        <v>42801.60833333333</v>
      </c>
      <c r="R320" s="19">
        <v>42801.60833333333</v>
      </c>
      <c r="S320" s="14" t="s">
        <v>104</v>
      </c>
      <c r="T320" s="14" t="s">
        <v>438</v>
      </c>
      <c r="U320" s="14" t="s">
        <v>89</v>
      </c>
      <c r="V320" s="14"/>
      <c r="W320" s="14">
        <v>0</v>
      </c>
      <c r="X320" s="14">
        <v>0</v>
      </c>
      <c r="Y320" s="14" t="s">
        <v>439</v>
      </c>
      <c r="Z320" s="14"/>
      <c r="AA320" s="14"/>
      <c r="AB320" s="14"/>
      <c r="AC320" s="14"/>
      <c r="AD320" s="14"/>
      <c r="AE320" s="14"/>
      <c r="AF320" s="14" t="s">
        <v>440</v>
      </c>
      <c r="AG320" s="14" t="s">
        <v>441</v>
      </c>
      <c r="AH320" s="14"/>
      <c r="AI320" s="14"/>
      <c r="AJ320" s="14"/>
      <c r="AK320" s="14"/>
      <c r="AL320" s="14"/>
      <c r="AM320" s="14"/>
      <c r="AN320" s="14" t="s">
        <v>193</v>
      </c>
      <c r="AO320" s="14" t="s">
        <v>442</v>
      </c>
      <c r="AP320" s="14"/>
      <c r="AQ320" s="14"/>
      <c r="AR320" s="24"/>
      <c r="AS320" s="70" t="s">
        <v>117</v>
      </c>
      <c r="AT320" s="70" t="s">
        <v>435</v>
      </c>
      <c r="AU320" s="25" t="str">
        <f>VLOOKUP(O320,[1]Lookup!A:B,2,FALSE)</f>
        <v>DMO</v>
      </c>
      <c r="AV320" s="25" t="e">
        <f>VLOOKUP(test1[[#This Row],[Assignee]],lookup[#All],2,FALSE)</f>
        <v>#N/A</v>
      </c>
      <c r="AW320" s="25">
        <f ca="1">IF(test1[[#This Row],[Status]]&lt;&gt;"Closed", TODAY()-INT(test1[[#This Row],[Created]]),INT(test1[[#This Row],[Resolved]])-INT(test1[[#This Row],[Created]]))</f>
        <v>32</v>
      </c>
    </row>
    <row r="321" spans="1:49" ht="256.5" x14ac:dyDescent="0.2">
      <c r="A321" s="47" t="s">
        <v>86</v>
      </c>
      <c r="B321" s="15" t="s">
        <v>427</v>
      </c>
      <c r="C321" s="14" t="s">
        <v>428</v>
      </c>
      <c r="D321" s="67" t="s">
        <v>117</v>
      </c>
      <c r="E321" s="67" t="s">
        <v>429</v>
      </c>
      <c r="F321" s="73"/>
      <c r="G321" s="73"/>
      <c r="H321" s="73"/>
      <c r="I321" s="73"/>
      <c r="J321" s="14" t="s">
        <v>91</v>
      </c>
      <c r="K321" s="14" t="s">
        <v>59</v>
      </c>
      <c r="L321" s="14" t="s">
        <v>93</v>
      </c>
      <c r="M321" s="14" t="s">
        <v>132</v>
      </c>
      <c r="N321" s="18" t="s">
        <v>24</v>
      </c>
      <c r="O321" s="14" t="s">
        <v>24</v>
      </c>
      <c r="P321" s="19">
        <v>42796.801388888889</v>
      </c>
      <c r="Q321" s="19">
        <v>42811.486111111109</v>
      </c>
      <c r="R321" s="19">
        <v>42801.765277777777</v>
      </c>
      <c r="S321" s="14" t="s">
        <v>139</v>
      </c>
      <c r="T321" s="14" t="s">
        <v>344</v>
      </c>
      <c r="U321" s="14" t="s">
        <v>117</v>
      </c>
      <c r="V321" s="14"/>
      <c r="W321" s="14">
        <v>0</v>
      </c>
      <c r="X321" s="14">
        <v>0</v>
      </c>
      <c r="Y321" s="14"/>
      <c r="Z321" s="14"/>
      <c r="AA321" s="14"/>
      <c r="AB321" s="14"/>
      <c r="AC321" s="14"/>
      <c r="AD321" s="14"/>
      <c r="AE321" s="14"/>
      <c r="AF321" s="14" t="s">
        <v>143</v>
      </c>
      <c r="AG321" s="14" t="s">
        <v>430</v>
      </c>
      <c r="AH321" s="14"/>
      <c r="AI321" s="14"/>
      <c r="AJ321" s="14"/>
      <c r="AK321" s="14"/>
      <c r="AL321" s="14"/>
      <c r="AM321" s="14"/>
      <c r="AN321" s="14" t="s">
        <v>431</v>
      </c>
      <c r="AO321" s="14" t="s">
        <v>432</v>
      </c>
      <c r="AP321" s="14"/>
      <c r="AQ321" s="14"/>
      <c r="AR321" s="67"/>
      <c r="AS321" s="67"/>
      <c r="AT321" s="67"/>
      <c r="AU321" s="67"/>
      <c r="AV321" s="22" t="str">
        <f>VLOOKUP(test1[[#This Row],[Assignee]],lookup[#All],2,FALSE)</f>
        <v>Test-SIT</v>
      </c>
      <c r="AW321" s="22">
        <f ca="1">IF(test1[[#This Row],[Status]]&lt;&gt;"Closed", TODAY()-INT(test1[[#This Row],[Created]]),INT(test1[[#This Row],[Resolved]])-INT(test1[[#This Row],[Created]]))</f>
        <v>32</v>
      </c>
    </row>
    <row r="322" spans="1:49" ht="171" x14ac:dyDescent="0.2">
      <c r="A322" s="47" t="s">
        <v>86</v>
      </c>
      <c r="B322" s="15" t="s">
        <v>422</v>
      </c>
      <c r="C322" s="14" t="s">
        <v>423</v>
      </c>
      <c r="D322" s="22" t="s">
        <v>89</v>
      </c>
      <c r="E322" s="22" t="s">
        <v>424</v>
      </c>
      <c r="F322" s="73"/>
      <c r="G322" s="73"/>
      <c r="H322" s="73"/>
      <c r="I322" s="73"/>
      <c r="J322" s="14" t="s">
        <v>91</v>
      </c>
      <c r="K322" s="14" t="s">
        <v>59</v>
      </c>
      <c r="L322" s="14" t="s">
        <v>93</v>
      </c>
      <c r="M322" s="14" t="s">
        <v>132</v>
      </c>
      <c r="N322" s="18" t="s">
        <v>24</v>
      </c>
      <c r="O322" s="14" t="s">
        <v>24</v>
      </c>
      <c r="P322" s="19">
        <v>42797.42083333333</v>
      </c>
      <c r="Q322" s="19">
        <v>42808.590277777781</v>
      </c>
      <c r="R322" s="19">
        <v>42808.590277777781</v>
      </c>
      <c r="S322" s="14" t="s">
        <v>203</v>
      </c>
      <c r="T322" s="14" t="s">
        <v>203</v>
      </c>
      <c r="U322" s="14" t="s">
        <v>117</v>
      </c>
      <c r="V322" s="14"/>
      <c r="W322" s="14">
        <v>0</v>
      </c>
      <c r="X322" s="14">
        <v>0</v>
      </c>
      <c r="Y322" s="14"/>
      <c r="Z322" s="14"/>
      <c r="AA322" s="14"/>
      <c r="AB322" s="14"/>
      <c r="AC322" s="14"/>
      <c r="AD322" s="14"/>
      <c r="AE322" s="14"/>
      <c r="AF322" s="14" t="s">
        <v>176</v>
      </c>
      <c r="AG322" s="14" t="s">
        <v>425</v>
      </c>
      <c r="AH322" s="14"/>
      <c r="AI322" s="14"/>
      <c r="AJ322" s="14"/>
      <c r="AK322" s="14"/>
      <c r="AL322" s="14"/>
      <c r="AM322" s="14"/>
      <c r="AN322" s="14" t="s">
        <v>426</v>
      </c>
      <c r="AO322" s="14"/>
      <c r="AP322" s="14"/>
      <c r="AQ322" s="14"/>
      <c r="AR322" s="67"/>
      <c r="AS322" s="67"/>
      <c r="AT322" s="67"/>
      <c r="AU322" s="67"/>
      <c r="AV322" s="22" t="str">
        <f>VLOOKUP(test1[[#This Row],[Assignee]],lookup[#All],2,FALSE)</f>
        <v>Test-SIT</v>
      </c>
      <c r="AW322" s="22">
        <f ca="1">IF(test1[[#This Row],[Status]]&lt;&gt;"Closed", TODAY()-INT(test1[[#This Row],[Created]]),INT(test1[[#This Row],[Resolved]])-INT(test1[[#This Row],[Created]]))</f>
        <v>31</v>
      </c>
    </row>
    <row r="323" spans="1:49" ht="327.75" x14ac:dyDescent="0.2">
      <c r="A323" s="47" t="s">
        <v>86</v>
      </c>
      <c r="B323" s="15" t="s">
        <v>418</v>
      </c>
      <c r="C323" s="14" t="s">
        <v>419</v>
      </c>
      <c r="D323" s="67" t="s">
        <v>96</v>
      </c>
      <c r="E323" s="67" t="s">
        <v>416</v>
      </c>
      <c r="F323" s="73"/>
      <c r="G323" s="73"/>
      <c r="H323" s="73"/>
      <c r="I323" s="73"/>
      <c r="J323" s="14" t="s">
        <v>91</v>
      </c>
      <c r="K323" s="14" t="s">
        <v>110</v>
      </c>
      <c r="L323" s="14" t="s">
        <v>93</v>
      </c>
      <c r="M323" s="17" t="s">
        <v>94</v>
      </c>
      <c r="N323" s="18" t="s">
        <v>111</v>
      </c>
      <c r="O323" s="14" t="s">
        <v>37</v>
      </c>
      <c r="P323" s="19">
        <v>42797.606944444444</v>
      </c>
      <c r="Q323" s="19">
        <v>42808.839583333334</v>
      </c>
      <c r="R323" s="14"/>
      <c r="S323" s="14" t="s">
        <v>104</v>
      </c>
      <c r="T323" s="14"/>
      <c r="U323" s="14" t="s">
        <v>89</v>
      </c>
      <c r="V323" s="14"/>
      <c r="W323" s="14">
        <v>0</v>
      </c>
      <c r="X323" s="14">
        <v>0</v>
      </c>
      <c r="Y323" s="20" t="s">
        <v>420</v>
      </c>
      <c r="Z323" s="14"/>
      <c r="AA323" s="14"/>
      <c r="AB323" s="14"/>
      <c r="AC323" s="14"/>
      <c r="AD323" s="14"/>
      <c r="AE323" s="14"/>
      <c r="AF323" s="14" t="s">
        <v>414</v>
      </c>
      <c r="AG323" s="14" t="s">
        <v>421</v>
      </c>
      <c r="AH323" s="14"/>
      <c r="AI323" s="14"/>
      <c r="AJ323" s="14"/>
      <c r="AK323" s="14"/>
      <c r="AL323" s="14"/>
      <c r="AM323" s="14"/>
      <c r="AN323" s="14" t="s">
        <v>149</v>
      </c>
      <c r="AO323" s="14"/>
      <c r="AP323" s="14"/>
      <c r="AQ323" s="14"/>
      <c r="AR323" s="67"/>
      <c r="AS323" s="67"/>
      <c r="AT323" s="67"/>
      <c r="AU323" s="67"/>
      <c r="AV323" s="22" t="e">
        <f>VLOOKUP(test1[[#This Row],[Assignee]],lookup[#All],2,FALSE)</f>
        <v>#N/A</v>
      </c>
      <c r="AW323" s="22">
        <f ca="1">IF(test1[[#This Row],[Status]]&lt;&gt;"Closed", TODAY()-INT(test1[[#This Row],[Created]]),INT(test1[[#This Row],[Resolved]])-INT(test1[[#This Row],[Created]]))</f>
        <v>31</v>
      </c>
    </row>
    <row r="324" spans="1:49" ht="409.5" x14ac:dyDescent="0.2">
      <c r="A324" s="47" t="s">
        <v>86</v>
      </c>
      <c r="B324" s="15" t="s">
        <v>410</v>
      </c>
      <c r="C324" s="14" t="s">
        <v>411</v>
      </c>
      <c r="D324" s="67" t="s">
        <v>117</v>
      </c>
      <c r="E324" s="67" t="s">
        <v>131</v>
      </c>
      <c r="F324" s="73"/>
      <c r="G324" s="73"/>
      <c r="H324" s="73"/>
      <c r="I324" s="73"/>
      <c r="J324" s="14" t="s">
        <v>91</v>
      </c>
      <c r="K324" s="14" t="s">
        <v>275</v>
      </c>
      <c r="L324" s="14" t="s">
        <v>103</v>
      </c>
      <c r="M324" s="14" t="s">
        <v>132</v>
      </c>
      <c r="N324" s="18" t="s">
        <v>202</v>
      </c>
      <c r="O324" s="14" t="s">
        <v>37</v>
      </c>
      <c r="P324" s="19">
        <v>42797.736805555556</v>
      </c>
      <c r="Q324" s="19">
        <v>42807.651388888888</v>
      </c>
      <c r="R324" s="19">
        <v>42804.587500000001</v>
      </c>
      <c r="S324" s="14" t="s">
        <v>104</v>
      </c>
      <c r="T324" s="14" t="s">
        <v>104</v>
      </c>
      <c r="U324" s="14" t="s">
        <v>412</v>
      </c>
      <c r="V324" s="14"/>
      <c r="W324" s="14">
        <v>0</v>
      </c>
      <c r="X324" s="14">
        <v>0</v>
      </c>
      <c r="Y324" s="14" t="s">
        <v>413</v>
      </c>
      <c r="Z324" s="14"/>
      <c r="AA324" s="14"/>
      <c r="AB324" s="14"/>
      <c r="AC324" s="14"/>
      <c r="AD324" s="14"/>
      <c r="AE324" s="14"/>
      <c r="AF324" s="14" t="s">
        <v>414</v>
      </c>
      <c r="AG324" s="14" t="s">
        <v>415</v>
      </c>
      <c r="AH324" s="14"/>
      <c r="AI324" s="14"/>
      <c r="AJ324" s="14"/>
      <c r="AK324" s="14"/>
      <c r="AL324" s="14"/>
      <c r="AM324" s="14"/>
      <c r="AN324" s="14" t="s">
        <v>416</v>
      </c>
      <c r="AO324" s="14" t="s">
        <v>417</v>
      </c>
      <c r="AP324" s="14"/>
      <c r="AQ324" s="14"/>
      <c r="AR324" s="67"/>
      <c r="AS324" s="67"/>
      <c r="AT324" s="67"/>
      <c r="AU324" s="67"/>
      <c r="AV324" s="22" t="e">
        <f>VLOOKUP(test1[[#This Row],[Assignee]],lookup[#All],2,FALSE)</f>
        <v>#N/A</v>
      </c>
      <c r="AW324" s="22">
        <f ca="1">IF(test1[[#This Row],[Status]]&lt;&gt;"Closed", TODAY()-INT(test1[[#This Row],[Created]]),INT(test1[[#This Row],[Resolved]])-INT(test1[[#This Row],[Created]]))</f>
        <v>7</v>
      </c>
    </row>
    <row r="325" spans="1:49" ht="156.75" x14ac:dyDescent="0.2">
      <c r="A325" s="47" t="s">
        <v>86</v>
      </c>
      <c r="B325" s="15" t="s">
        <v>405</v>
      </c>
      <c r="C325" s="14" t="s">
        <v>406</v>
      </c>
      <c r="D325" s="67" t="s">
        <v>117</v>
      </c>
      <c r="E325" s="67" t="s">
        <v>229</v>
      </c>
      <c r="F325" s="73"/>
      <c r="G325" s="73"/>
      <c r="H325" s="73"/>
      <c r="I325" s="73"/>
      <c r="J325" s="14" t="s">
        <v>91</v>
      </c>
      <c r="K325" s="14" t="s">
        <v>59</v>
      </c>
      <c r="L325" s="14" t="s">
        <v>124</v>
      </c>
      <c r="M325" s="14" t="s">
        <v>132</v>
      </c>
      <c r="N325" s="18" t="s">
        <v>23</v>
      </c>
      <c r="O325" s="14" t="s">
        <v>23</v>
      </c>
      <c r="P325" s="19">
        <v>42797.774305555555</v>
      </c>
      <c r="Q325" s="19">
        <v>42804.556944444441</v>
      </c>
      <c r="R325" s="19">
        <v>42804.556944444441</v>
      </c>
      <c r="S325" s="14" t="s">
        <v>139</v>
      </c>
      <c r="T325" s="14" t="s">
        <v>197</v>
      </c>
      <c r="U325" s="14" t="s">
        <v>117</v>
      </c>
      <c r="V325" s="14"/>
      <c r="W325" s="14">
        <v>0</v>
      </c>
      <c r="X325" s="14">
        <v>0</v>
      </c>
      <c r="Y325" s="14"/>
      <c r="Z325" s="14"/>
      <c r="AA325" s="14"/>
      <c r="AB325" s="14"/>
      <c r="AC325" s="14"/>
      <c r="AD325" s="14"/>
      <c r="AE325" s="14"/>
      <c r="AF325" s="14"/>
      <c r="AG325" s="14" t="s">
        <v>407</v>
      </c>
      <c r="AH325" s="14"/>
      <c r="AI325" s="14"/>
      <c r="AJ325" s="14"/>
      <c r="AK325" s="14"/>
      <c r="AL325" s="14"/>
      <c r="AM325" s="14"/>
      <c r="AN325" s="14" t="s">
        <v>408</v>
      </c>
      <c r="AO325" s="14" t="s">
        <v>409</v>
      </c>
      <c r="AP325" s="14"/>
      <c r="AQ325" s="14"/>
      <c r="AR325" s="67"/>
      <c r="AS325" s="67"/>
      <c r="AT325" s="67"/>
      <c r="AU325" s="67"/>
      <c r="AV325" s="22" t="str">
        <f>VLOOKUP(test1[[#This Row],[Assignee]],lookup[#All],2,FALSE)</f>
        <v>Test-SIT</v>
      </c>
      <c r="AW325" s="22">
        <f ca="1">IF(test1[[#This Row],[Status]]&lt;&gt;"Closed", TODAY()-INT(test1[[#This Row],[Created]]),INT(test1[[#This Row],[Resolved]])-INT(test1[[#This Row],[Created]]))</f>
        <v>31</v>
      </c>
    </row>
    <row r="326" spans="1:49" ht="327.75" x14ac:dyDescent="0.2">
      <c r="A326" s="47" t="s">
        <v>86</v>
      </c>
      <c r="B326" s="15" t="s">
        <v>401</v>
      </c>
      <c r="C326" s="14" t="s">
        <v>402</v>
      </c>
      <c r="D326" s="67" t="s">
        <v>241</v>
      </c>
      <c r="E326" s="67" t="s">
        <v>166</v>
      </c>
      <c r="F326" s="73"/>
      <c r="G326" s="73"/>
      <c r="H326" s="73"/>
      <c r="I326" s="73"/>
      <c r="J326" s="14" t="s">
        <v>91</v>
      </c>
      <c r="K326" s="14" t="s">
        <v>59</v>
      </c>
      <c r="L326" s="14" t="s">
        <v>93</v>
      </c>
      <c r="M326" s="14" t="s">
        <v>132</v>
      </c>
      <c r="N326" s="18" t="s">
        <v>27</v>
      </c>
      <c r="O326" s="14" t="s">
        <v>27</v>
      </c>
      <c r="P326" s="19">
        <v>42800.404166666667</v>
      </c>
      <c r="Q326" s="19">
        <v>42803.418749999997</v>
      </c>
      <c r="R326" s="19">
        <v>42803.418749999997</v>
      </c>
      <c r="S326" s="14" t="s">
        <v>139</v>
      </c>
      <c r="T326" s="14" t="s">
        <v>204</v>
      </c>
      <c r="U326" s="14" t="s">
        <v>117</v>
      </c>
      <c r="V326" s="14"/>
      <c r="W326" s="14">
        <v>0</v>
      </c>
      <c r="X326" s="14">
        <v>0</v>
      </c>
      <c r="Y326" s="14"/>
      <c r="Z326" s="14"/>
      <c r="AA326" s="14"/>
      <c r="AB326" s="14"/>
      <c r="AC326" s="14"/>
      <c r="AD326" s="14"/>
      <c r="AE326" s="14"/>
      <c r="AF326" s="14" t="s">
        <v>403</v>
      </c>
      <c r="AG326" s="14" t="s">
        <v>404</v>
      </c>
      <c r="AH326" s="14"/>
      <c r="AI326" s="14"/>
      <c r="AJ326" s="14"/>
      <c r="AK326" s="14"/>
      <c r="AL326" s="14"/>
      <c r="AM326" s="14"/>
      <c r="AN326" s="14" t="s">
        <v>229</v>
      </c>
      <c r="AO326" s="14" t="s">
        <v>229</v>
      </c>
      <c r="AP326" s="14"/>
      <c r="AQ326" s="14"/>
      <c r="AR326" s="67"/>
      <c r="AS326" s="67"/>
      <c r="AT326" s="67"/>
      <c r="AU326" s="67"/>
      <c r="AV326" s="22" t="str">
        <f>VLOOKUP(test1[[#This Row],[Assignee]],lookup[#All],2,FALSE)</f>
        <v>BTS-Dev</v>
      </c>
      <c r="AW326" s="22">
        <f ca="1">IF(test1[[#This Row],[Status]]&lt;&gt;"Closed", TODAY()-INT(test1[[#This Row],[Created]]),INT(test1[[#This Row],[Resolved]])-INT(test1[[#This Row],[Created]]))</f>
        <v>28</v>
      </c>
    </row>
    <row r="327" spans="1:49" ht="256.5" x14ac:dyDescent="0.2">
      <c r="A327" s="47" t="s">
        <v>86</v>
      </c>
      <c r="B327" s="15" t="s">
        <v>396</v>
      </c>
      <c r="C327" s="14" t="s">
        <v>397</v>
      </c>
      <c r="D327" s="67" t="s">
        <v>96</v>
      </c>
      <c r="E327" s="67" t="s">
        <v>398</v>
      </c>
      <c r="F327" s="73"/>
      <c r="G327" s="73"/>
      <c r="H327" s="73"/>
      <c r="I327" s="73"/>
      <c r="J327" s="14" t="s">
        <v>91</v>
      </c>
      <c r="K327" s="14" t="s">
        <v>59</v>
      </c>
      <c r="L327" s="14" t="s">
        <v>93</v>
      </c>
      <c r="M327" s="14" t="s">
        <v>132</v>
      </c>
      <c r="N327" s="18" t="s">
        <v>30</v>
      </c>
      <c r="O327" s="14" t="s">
        <v>8</v>
      </c>
      <c r="P327" s="19">
        <v>42800.529166666667</v>
      </c>
      <c r="Q327" s="19">
        <v>42804.490972222222</v>
      </c>
      <c r="R327" s="19">
        <v>42804.490972222222</v>
      </c>
      <c r="S327" s="14" t="s">
        <v>373</v>
      </c>
      <c r="T327" s="14"/>
      <c r="U327" s="14" t="s">
        <v>242</v>
      </c>
      <c r="V327" s="14"/>
      <c r="W327" s="14">
        <v>0</v>
      </c>
      <c r="X327" s="14">
        <v>0</v>
      </c>
      <c r="Y327" s="14"/>
      <c r="Z327" s="14"/>
      <c r="AA327" s="14"/>
      <c r="AB327" s="14"/>
      <c r="AC327" s="14"/>
      <c r="AD327" s="14"/>
      <c r="AE327" s="14"/>
      <c r="AF327" s="14"/>
      <c r="AG327" s="14" t="s">
        <v>399</v>
      </c>
      <c r="AH327" s="14"/>
      <c r="AI327" s="14"/>
      <c r="AJ327" s="14"/>
      <c r="AK327" s="14"/>
      <c r="AL327" s="14"/>
      <c r="AM327" s="14"/>
      <c r="AN327" s="14" t="s">
        <v>235</v>
      </c>
      <c r="AO327" s="14" t="s">
        <v>400</v>
      </c>
      <c r="AP327" s="14" t="s">
        <v>146</v>
      </c>
      <c r="AQ327" s="14"/>
      <c r="AR327" s="67"/>
      <c r="AS327" s="67"/>
      <c r="AT327" s="67"/>
      <c r="AU327" s="67"/>
      <c r="AV327" s="22" t="str">
        <f>VLOOKUP(test1[[#This Row],[Assignee]],lookup[#All],2,FALSE)</f>
        <v>Test-SIT</v>
      </c>
      <c r="AW327" s="22">
        <f ca="1">IF(test1[[#This Row],[Status]]&lt;&gt;"Closed", TODAY()-INT(test1[[#This Row],[Created]]),INT(test1[[#This Row],[Resolved]])-INT(test1[[#This Row],[Created]]))</f>
        <v>28</v>
      </c>
    </row>
    <row r="328" spans="1:49" ht="409.5" x14ac:dyDescent="0.2">
      <c r="A328" s="47" t="s">
        <v>86</v>
      </c>
      <c r="B328" s="15" t="s">
        <v>387</v>
      </c>
      <c r="C328" s="14" t="s">
        <v>388</v>
      </c>
      <c r="D328" s="67" t="s">
        <v>241</v>
      </c>
      <c r="E328" s="67" t="s">
        <v>229</v>
      </c>
      <c r="F328" s="73"/>
      <c r="G328" s="73"/>
      <c r="H328" s="73"/>
      <c r="I328" s="73"/>
      <c r="J328" s="14" t="s">
        <v>91</v>
      </c>
      <c r="K328" s="14" t="s">
        <v>59</v>
      </c>
      <c r="L328" s="14" t="s">
        <v>93</v>
      </c>
      <c r="M328" s="14" t="s">
        <v>132</v>
      </c>
      <c r="N328" s="18" t="s">
        <v>19</v>
      </c>
      <c r="O328" s="14" t="s">
        <v>19</v>
      </c>
      <c r="P328" s="19">
        <v>42800.626388888886</v>
      </c>
      <c r="Q328" s="19">
        <v>42807.466666666667</v>
      </c>
      <c r="R328" s="19">
        <v>42807.466666666667</v>
      </c>
      <c r="S328" s="14" t="s">
        <v>373</v>
      </c>
      <c r="T328" s="14"/>
      <c r="U328" s="14" t="s">
        <v>89</v>
      </c>
      <c r="V328" s="14"/>
      <c r="W328" s="14">
        <v>0</v>
      </c>
      <c r="X328" s="14">
        <v>0</v>
      </c>
      <c r="Y328" s="14"/>
      <c r="Z328" s="14"/>
      <c r="AA328" s="14"/>
      <c r="AB328" s="14"/>
      <c r="AC328" s="14"/>
      <c r="AD328" s="14"/>
      <c r="AE328" s="14"/>
      <c r="AF328" s="14"/>
      <c r="AG328" s="14" t="s">
        <v>389</v>
      </c>
      <c r="AH328" s="14"/>
      <c r="AI328" s="14"/>
      <c r="AJ328" s="14"/>
      <c r="AK328" s="14"/>
      <c r="AL328" s="14"/>
      <c r="AM328" s="14"/>
      <c r="AN328" s="14" t="s">
        <v>229</v>
      </c>
      <c r="AO328" s="14"/>
      <c r="AP328" s="14"/>
      <c r="AQ328" s="14"/>
      <c r="AR328" s="67"/>
      <c r="AS328" s="67"/>
      <c r="AT328" s="67"/>
      <c r="AU328" s="67"/>
      <c r="AV328" s="22" t="str">
        <f>VLOOKUP(test1[[#This Row],[Assignee]],lookup[#All],2,FALSE)</f>
        <v>Test-SIT</v>
      </c>
      <c r="AW328" s="22">
        <f ca="1">IF(test1[[#This Row],[Status]]&lt;&gt;"Closed", TODAY()-INT(test1[[#This Row],[Created]]),INT(test1[[#This Row],[Resolved]])-INT(test1[[#This Row],[Created]]))</f>
        <v>28</v>
      </c>
    </row>
    <row r="329" spans="1:49" ht="114" x14ac:dyDescent="0.2">
      <c r="A329" s="47" t="s">
        <v>86</v>
      </c>
      <c r="B329" s="15" t="s">
        <v>390</v>
      </c>
      <c r="C329" s="14" t="s">
        <v>391</v>
      </c>
      <c r="D329" s="67" t="s">
        <v>89</v>
      </c>
      <c r="E329" s="67" t="s">
        <v>229</v>
      </c>
      <c r="F329" s="73"/>
      <c r="G329" s="73"/>
      <c r="H329" s="73"/>
      <c r="I329" s="73"/>
      <c r="J329" s="14" t="s">
        <v>91</v>
      </c>
      <c r="K329" s="14" t="s">
        <v>110</v>
      </c>
      <c r="L329" s="14" t="s">
        <v>103</v>
      </c>
      <c r="M329" s="17" t="s">
        <v>94</v>
      </c>
      <c r="N329" s="18" t="s">
        <v>28</v>
      </c>
      <c r="O329" s="14" t="s">
        <v>37</v>
      </c>
      <c r="P329" s="19">
        <v>42800.626388888886</v>
      </c>
      <c r="Q329" s="19">
        <v>42808.736805555556</v>
      </c>
      <c r="R329" s="14"/>
      <c r="S329" s="14" t="s">
        <v>104</v>
      </c>
      <c r="T329" s="14" t="s">
        <v>392</v>
      </c>
      <c r="U329" s="14" t="s">
        <v>89</v>
      </c>
      <c r="V329" s="14"/>
      <c r="W329" s="14">
        <v>0</v>
      </c>
      <c r="X329" s="14">
        <v>0</v>
      </c>
      <c r="Y329" s="20" t="s">
        <v>393</v>
      </c>
      <c r="Z329" s="14"/>
      <c r="AA329" s="14"/>
      <c r="AB329" s="14"/>
      <c r="AC329" s="14"/>
      <c r="AD329" s="14"/>
      <c r="AE329" s="14"/>
      <c r="AF329" s="14" t="s">
        <v>106</v>
      </c>
      <c r="AG329" s="14" t="s">
        <v>394</v>
      </c>
      <c r="AH329" s="14"/>
      <c r="AI329" s="14"/>
      <c r="AJ329" s="14"/>
      <c r="AK329" s="14"/>
      <c r="AL329" s="14"/>
      <c r="AM329" s="14"/>
      <c r="AN329" s="14" t="s">
        <v>395</v>
      </c>
      <c r="AO329" s="14"/>
      <c r="AP329" s="14"/>
      <c r="AQ329" s="14"/>
      <c r="AR329" s="67"/>
      <c r="AS329" s="67"/>
      <c r="AT329" s="67"/>
      <c r="AU329" s="67"/>
      <c r="AV329" s="22" t="str">
        <f>VLOOKUP(test1[[#This Row],[Assignee]],lookup[#All],2,FALSE)</f>
        <v>TD-Dev</v>
      </c>
      <c r="AW329" s="22">
        <f ca="1">IF(test1[[#This Row],[Status]]&lt;&gt;"Closed", TODAY()-INT(test1[[#This Row],[Created]]),INT(test1[[#This Row],[Resolved]])-INT(test1[[#This Row],[Created]]))</f>
        <v>28</v>
      </c>
    </row>
    <row r="330" spans="1:49" ht="242.25" x14ac:dyDescent="0.2">
      <c r="A330" s="47" t="s">
        <v>86</v>
      </c>
      <c r="B330" s="15" t="s">
        <v>382</v>
      </c>
      <c r="C330" s="14" t="s">
        <v>383</v>
      </c>
      <c r="D330" s="67" t="s">
        <v>241</v>
      </c>
      <c r="E330" s="67" t="s">
        <v>229</v>
      </c>
      <c r="F330" s="73"/>
      <c r="G330" s="73"/>
      <c r="H330" s="73"/>
      <c r="I330" s="73"/>
      <c r="J330" s="14" t="s">
        <v>91</v>
      </c>
      <c r="K330" s="14" t="s">
        <v>59</v>
      </c>
      <c r="L330" s="14" t="s">
        <v>103</v>
      </c>
      <c r="M330" s="14" t="s">
        <v>132</v>
      </c>
      <c r="N330" s="18" t="s">
        <v>202</v>
      </c>
      <c r="O330" s="14" t="s">
        <v>37</v>
      </c>
      <c r="P330" s="19">
        <v>42800.640277777777</v>
      </c>
      <c r="Q330" s="19">
        <v>42802.614583333336</v>
      </c>
      <c r="R330" s="19">
        <v>42801.410416666666</v>
      </c>
      <c r="S330" s="14" t="s">
        <v>104</v>
      </c>
      <c r="T330" s="14" t="s">
        <v>204</v>
      </c>
      <c r="U330" s="14" t="s">
        <v>241</v>
      </c>
      <c r="V330" s="14"/>
      <c r="W330" s="14">
        <v>0</v>
      </c>
      <c r="X330" s="14">
        <v>0</v>
      </c>
      <c r="Y330" s="14" t="s">
        <v>384</v>
      </c>
      <c r="Z330" s="14"/>
      <c r="AA330" s="14"/>
      <c r="AB330" s="14"/>
      <c r="AC330" s="14"/>
      <c r="AD330" s="14"/>
      <c r="AE330" s="14"/>
      <c r="AF330" s="14" t="s">
        <v>106</v>
      </c>
      <c r="AG330" s="14" t="s">
        <v>385</v>
      </c>
      <c r="AH330" s="14"/>
      <c r="AI330" s="14"/>
      <c r="AJ330" s="14"/>
      <c r="AK330" s="14"/>
      <c r="AL330" s="14"/>
      <c r="AM330" s="14"/>
      <c r="AN330" s="14" t="s">
        <v>283</v>
      </c>
      <c r="AO330" s="14" t="s">
        <v>386</v>
      </c>
      <c r="AP330" s="14" t="s">
        <v>163</v>
      </c>
      <c r="AQ330" s="14"/>
      <c r="AR330" s="67"/>
      <c r="AS330" s="67"/>
      <c r="AT330" s="67"/>
      <c r="AU330" s="67"/>
      <c r="AV330" s="22" t="e">
        <f>VLOOKUP(test1[[#This Row],[Assignee]],lookup[#All],2,FALSE)</f>
        <v>#N/A</v>
      </c>
      <c r="AW330" s="22">
        <f ca="1">IF(test1[[#This Row],[Status]]&lt;&gt;"Closed", TODAY()-INT(test1[[#This Row],[Created]]),INT(test1[[#This Row],[Resolved]])-INT(test1[[#This Row],[Created]]))</f>
        <v>28</v>
      </c>
    </row>
    <row r="331" spans="1:49" ht="114" x14ac:dyDescent="0.2">
      <c r="A331" s="47" t="s">
        <v>86</v>
      </c>
      <c r="B331" s="15" t="s">
        <v>377</v>
      </c>
      <c r="C331" s="14" t="s">
        <v>378</v>
      </c>
      <c r="D331" s="67" t="s">
        <v>89</v>
      </c>
      <c r="E331" s="67" t="s">
        <v>149</v>
      </c>
      <c r="F331" s="73"/>
      <c r="G331" s="73"/>
      <c r="H331" s="73"/>
      <c r="I331" s="73"/>
      <c r="J331" s="14" t="s">
        <v>91</v>
      </c>
      <c r="K331" s="14" t="s">
        <v>59</v>
      </c>
      <c r="L331" s="14" t="s">
        <v>103</v>
      </c>
      <c r="M331" s="14" t="s">
        <v>132</v>
      </c>
      <c r="N331" s="18" t="s">
        <v>202</v>
      </c>
      <c r="O331" s="14" t="s">
        <v>37</v>
      </c>
      <c r="P331" s="19">
        <v>42800.650694444441</v>
      </c>
      <c r="Q331" s="19">
        <v>42802.615277777775</v>
      </c>
      <c r="R331" s="19">
        <v>42801.409722222219</v>
      </c>
      <c r="S331" s="14" t="s">
        <v>104</v>
      </c>
      <c r="T331" s="14" t="s">
        <v>204</v>
      </c>
      <c r="U331" s="14" t="s">
        <v>241</v>
      </c>
      <c r="V331" s="14"/>
      <c r="W331" s="14">
        <v>0</v>
      </c>
      <c r="X331" s="14">
        <v>0</v>
      </c>
      <c r="Y331" s="20" t="s">
        <v>379</v>
      </c>
      <c r="Z331" s="14"/>
      <c r="AA331" s="14"/>
      <c r="AB331" s="14"/>
      <c r="AC331" s="14"/>
      <c r="AD331" s="14"/>
      <c r="AE331" s="14"/>
      <c r="AF331" s="14" t="s">
        <v>106</v>
      </c>
      <c r="AG331" s="14" t="s">
        <v>380</v>
      </c>
      <c r="AH331" s="14"/>
      <c r="AI331" s="14"/>
      <c r="AJ331" s="14"/>
      <c r="AK331" s="14"/>
      <c r="AL331" s="14"/>
      <c r="AM331" s="14"/>
      <c r="AN331" s="14" t="s">
        <v>229</v>
      </c>
      <c r="AO331" s="14" t="s">
        <v>381</v>
      </c>
      <c r="AP331" s="14" t="s">
        <v>146</v>
      </c>
      <c r="AQ331" s="14"/>
      <c r="AR331" s="67"/>
      <c r="AS331" s="67"/>
      <c r="AT331" s="67"/>
      <c r="AU331" s="67"/>
      <c r="AV331" s="22" t="e">
        <f>VLOOKUP(test1[[#This Row],[Assignee]],lookup[#All],2,FALSE)</f>
        <v>#N/A</v>
      </c>
      <c r="AW331" s="22">
        <f ca="1">IF(test1[[#This Row],[Status]]&lt;&gt;"Closed", TODAY()-INT(test1[[#This Row],[Created]]),INT(test1[[#This Row],[Resolved]])-INT(test1[[#This Row],[Created]]))</f>
        <v>28</v>
      </c>
    </row>
    <row r="332" spans="1:49" ht="299.25" x14ac:dyDescent="0.2">
      <c r="A332" s="47" t="s">
        <v>86</v>
      </c>
      <c r="B332" s="15" t="s">
        <v>371</v>
      </c>
      <c r="C332" s="14" t="s">
        <v>372</v>
      </c>
      <c r="D332" s="67" t="s">
        <v>96</v>
      </c>
      <c r="E332" s="67" t="s">
        <v>261</v>
      </c>
      <c r="F332" s="73"/>
      <c r="G332" s="73"/>
      <c r="H332" s="73"/>
      <c r="I332" s="73"/>
      <c r="J332" s="14" t="s">
        <v>91</v>
      </c>
      <c r="K332" s="14" t="s">
        <v>59</v>
      </c>
      <c r="L332" s="14" t="s">
        <v>93</v>
      </c>
      <c r="M332" s="14" t="s">
        <v>132</v>
      </c>
      <c r="N332" s="18" t="s">
        <v>22</v>
      </c>
      <c r="O332" s="14" t="s">
        <v>30</v>
      </c>
      <c r="P332" s="19">
        <v>42800.668749999997</v>
      </c>
      <c r="Q332" s="19">
        <v>42807.835416666669</v>
      </c>
      <c r="R332" s="19">
        <v>42807.818055555559</v>
      </c>
      <c r="S332" s="14" t="s">
        <v>373</v>
      </c>
      <c r="T332" s="14"/>
      <c r="U332" s="14" t="s">
        <v>89</v>
      </c>
      <c r="V332" s="14"/>
      <c r="W332" s="14">
        <v>0</v>
      </c>
      <c r="X332" s="14">
        <v>0</v>
      </c>
      <c r="Y332" s="14"/>
      <c r="Z332" s="14"/>
      <c r="AA332" s="14"/>
      <c r="AB332" s="14"/>
      <c r="AC332" s="14"/>
      <c r="AD332" s="14"/>
      <c r="AE332" s="14" t="s">
        <v>374</v>
      </c>
      <c r="AF332" s="14"/>
      <c r="AG332" s="14" t="s">
        <v>375</v>
      </c>
      <c r="AH332" s="14"/>
      <c r="AI332" s="14"/>
      <c r="AJ332" s="14"/>
      <c r="AK332" s="14"/>
      <c r="AL332" s="14"/>
      <c r="AM332" s="14"/>
      <c r="AN332" s="14" t="s">
        <v>149</v>
      </c>
      <c r="AO332" s="14" t="s">
        <v>376</v>
      </c>
      <c r="AP332" s="14"/>
      <c r="AQ332" s="14"/>
      <c r="AR332" s="67"/>
      <c r="AS332" s="67"/>
      <c r="AT332" s="67"/>
      <c r="AU332" s="67"/>
      <c r="AV332" s="22" t="str">
        <f>VLOOKUP(test1[[#This Row],[Assignee]],lookup[#All],2,FALSE)</f>
        <v>Test-SIT</v>
      </c>
      <c r="AW332" s="22">
        <f ca="1">IF(test1[[#This Row],[Status]]&lt;&gt;"Closed", TODAY()-INT(test1[[#This Row],[Created]]),INT(test1[[#This Row],[Resolved]])-INT(test1[[#This Row],[Created]]))</f>
        <v>28</v>
      </c>
    </row>
    <row r="333" spans="1:49" ht="171" x14ac:dyDescent="0.2">
      <c r="A333" s="47" t="s">
        <v>86</v>
      </c>
      <c r="B333" s="15" t="s">
        <v>364</v>
      </c>
      <c r="C333" s="14" t="s">
        <v>365</v>
      </c>
      <c r="D333" s="67" t="s">
        <v>117</v>
      </c>
      <c r="E333" s="67" t="s">
        <v>366</v>
      </c>
      <c r="F333" s="73"/>
      <c r="G333" s="73"/>
      <c r="H333" s="73"/>
      <c r="I333" s="73"/>
      <c r="J333" s="14" t="s">
        <v>91</v>
      </c>
      <c r="K333" s="14" t="s">
        <v>59</v>
      </c>
      <c r="L333" s="14" t="s">
        <v>167</v>
      </c>
      <c r="M333" s="14" t="s">
        <v>132</v>
      </c>
      <c r="N333" s="18" t="s">
        <v>202</v>
      </c>
      <c r="O333" s="14" t="s">
        <v>37</v>
      </c>
      <c r="P333" s="19">
        <v>42800.673611111109</v>
      </c>
      <c r="Q333" s="19">
        <v>42807.593055555553</v>
      </c>
      <c r="R333" s="19">
        <v>42807.593055555553</v>
      </c>
      <c r="S333" s="14" t="s">
        <v>104</v>
      </c>
      <c r="T333" s="14" t="s">
        <v>155</v>
      </c>
      <c r="U333" s="14" t="s">
        <v>89</v>
      </c>
      <c r="V333" s="14"/>
      <c r="W333" s="14">
        <v>0</v>
      </c>
      <c r="X333" s="14">
        <v>0</v>
      </c>
      <c r="Y333" s="20" t="s">
        <v>367</v>
      </c>
      <c r="Z333" s="14"/>
      <c r="AA333" s="14"/>
      <c r="AB333" s="14"/>
      <c r="AC333" s="14"/>
      <c r="AD333" s="14"/>
      <c r="AE333" s="14"/>
      <c r="AF333" s="14" t="s">
        <v>106</v>
      </c>
      <c r="AG333" s="14" t="s">
        <v>368</v>
      </c>
      <c r="AH333" s="14"/>
      <c r="AI333" s="14"/>
      <c r="AJ333" s="14"/>
      <c r="AK333" s="14"/>
      <c r="AL333" s="14"/>
      <c r="AM333" s="14"/>
      <c r="AN333" s="14" t="s">
        <v>369</v>
      </c>
      <c r="AO333" s="14" t="s">
        <v>370</v>
      </c>
      <c r="AP333" s="14"/>
      <c r="AQ333" s="14"/>
      <c r="AR333" s="67"/>
      <c r="AS333" s="67"/>
      <c r="AT333" s="67"/>
      <c r="AU333" s="67"/>
      <c r="AV333" s="22" t="e">
        <f>VLOOKUP(test1[[#This Row],[Assignee]],lookup[#All],2,FALSE)</f>
        <v>#N/A</v>
      </c>
      <c r="AW333" s="22">
        <f ca="1">IF(test1[[#This Row],[Status]]&lt;&gt;"Closed", TODAY()-INT(test1[[#This Row],[Created]]),INT(test1[[#This Row],[Resolved]])-INT(test1[[#This Row],[Created]]))</f>
        <v>28</v>
      </c>
    </row>
    <row r="334" spans="1:49" ht="228" x14ac:dyDescent="0.2">
      <c r="A334" s="47" t="s">
        <v>86</v>
      </c>
      <c r="B334" s="15" t="s">
        <v>358</v>
      </c>
      <c r="C334" s="14" t="s">
        <v>359</v>
      </c>
      <c r="D334" s="67" t="s">
        <v>96</v>
      </c>
      <c r="E334" s="67" t="s">
        <v>99</v>
      </c>
      <c r="F334" s="73"/>
      <c r="G334" s="73"/>
      <c r="H334" s="73"/>
      <c r="I334" s="73"/>
      <c r="J334" s="14" t="s">
        <v>91</v>
      </c>
      <c r="K334" s="14" t="s">
        <v>174</v>
      </c>
      <c r="L334" s="14" t="s">
        <v>103</v>
      </c>
      <c r="M334" s="17" t="s">
        <v>94</v>
      </c>
      <c r="N334" s="18" t="s">
        <v>27</v>
      </c>
      <c r="O334" s="14" t="s">
        <v>36</v>
      </c>
      <c r="P334" s="19">
        <v>42800.805555555555</v>
      </c>
      <c r="Q334" s="19">
        <v>42811.484027777777</v>
      </c>
      <c r="R334" s="14"/>
      <c r="S334" s="14" t="s">
        <v>203</v>
      </c>
      <c r="T334" s="14" t="s">
        <v>203</v>
      </c>
      <c r="U334" s="14" t="s">
        <v>117</v>
      </c>
      <c r="V334" s="14"/>
      <c r="W334" s="14">
        <v>0</v>
      </c>
      <c r="X334" s="14">
        <v>0</v>
      </c>
      <c r="Y334" s="20" t="s">
        <v>360</v>
      </c>
      <c r="Z334" s="14"/>
      <c r="AA334" s="14"/>
      <c r="AB334" s="14"/>
      <c r="AC334" s="14"/>
      <c r="AD334" s="14"/>
      <c r="AE334" s="14"/>
      <c r="AF334" s="14" t="s">
        <v>126</v>
      </c>
      <c r="AG334" s="14" t="s">
        <v>361</v>
      </c>
      <c r="AH334" s="14"/>
      <c r="AI334" s="14"/>
      <c r="AJ334" s="14"/>
      <c r="AK334" s="14"/>
      <c r="AL334" s="14"/>
      <c r="AM334" s="14"/>
      <c r="AN334" s="14" t="s">
        <v>362</v>
      </c>
      <c r="AO334" s="14" t="s">
        <v>363</v>
      </c>
      <c r="AP334" s="14"/>
      <c r="AQ334" s="14"/>
      <c r="AR334" s="67"/>
      <c r="AS334" s="67"/>
      <c r="AT334" s="67"/>
      <c r="AU334" s="67"/>
      <c r="AV334" s="22" t="str">
        <f>VLOOKUP(test1[[#This Row],[Assignee]],lookup[#All],2,FALSE)</f>
        <v>BTS-Dev</v>
      </c>
      <c r="AW334" s="22">
        <f ca="1">IF(test1[[#This Row],[Status]]&lt;&gt;"Closed", TODAY()-INT(test1[[#This Row],[Created]]),INT(test1[[#This Row],[Resolved]])-INT(test1[[#This Row],[Created]]))</f>
        <v>28</v>
      </c>
    </row>
    <row r="335" spans="1:49" ht="199.5" x14ac:dyDescent="0.2">
      <c r="A335" s="47" t="s">
        <v>86</v>
      </c>
      <c r="B335" s="15" t="s">
        <v>353</v>
      </c>
      <c r="C335" s="14" t="s">
        <v>354</v>
      </c>
      <c r="D335" s="67" t="s">
        <v>117</v>
      </c>
      <c r="E335" s="67" t="s">
        <v>99</v>
      </c>
      <c r="F335" s="73"/>
      <c r="G335" s="73"/>
      <c r="H335" s="73"/>
      <c r="I335" s="73"/>
      <c r="J335" s="14" t="s">
        <v>91</v>
      </c>
      <c r="K335" s="14" t="s">
        <v>59</v>
      </c>
      <c r="L335" s="14" t="s">
        <v>103</v>
      </c>
      <c r="M335" s="14" t="s">
        <v>132</v>
      </c>
      <c r="N335" s="18" t="s">
        <v>202</v>
      </c>
      <c r="O335" s="14" t="s">
        <v>37</v>
      </c>
      <c r="P335" s="19">
        <v>42801.461805555555</v>
      </c>
      <c r="Q335" s="19">
        <v>42807.398611111108</v>
      </c>
      <c r="R335" s="19">
        <v>42807.398611111108</v>
      </c>
      <c r="S335" s="14" t="s">
        <v>104</v>
      </c>
      <c r="T335" s="14" t="s">
        <v>104</v>
      </c>
      <c r="U335" s="14" t="s">
        <v>96</v>
      </c>
      <c r="V335" s="14"/>
      <c r="W335" s="14">
        <v>0</v>
      </c>
      <c r="X335" s="14">
        <v>0</v>
      </c>
      <c r="Y335" s="14" t="s">
        <v>355</v>
      </c>
      <c r="Z335" s="14"/>
      <c r="AA335" s="14"/>
      <c r="AB335" s="14"/>
      <c r="AC335" s="14"/>
      <c r="AD335" s="14"/>
      <c r="AE335" s="14"/>
      <c r="AF335" s="14" t="s">
        <v>106</v>
      </c>
      <c r="AG335" s="14" t="s">
        <v>356</v>
      </c>
      <c r="AH335" s="14"/>
      <c r="AI335" s="14"/>
      <c r="AJ335" s="14"/>
      <c r="AK335" s="14"/>
      <c r="AL335" s="14"/>
      <c r="AM335" s="14"/>
      <c r="AN335" s="14" t="s">
        <v>261</v>
      </c>
      <c r="AO335" s="14" t="s">
        <v>357</v>
      </c>
      <c r="AP335" s="14" t="s">
        <v>250</v>
      </c>
      <c r="AQ335" s="14"/>
      <c r="AR335" s="67"/>
      <c r="AS335" s="67"/>
      <c r="AT335" s="67"/>
      <c r="AU335" s="67"/>
      <c r="AV335" s="22" t="e">
        <f>VLOOKUP(test1[[#This Row],[Assignee]],lookup[#All],2,FALSE)</f>
        <v>#N/A</v>
      </c>
      <c r="AW335" s="22">
        <f ca="1">IF(test1[[#This Row],[Status]]&lt;&gt;"Closed", TODAY()-INT(test1[[#This Row],[Created]]),INT(test1[[#This Row],[Resolved]])-INT(test1[[#This Row],[Created]]))</f>
        <v>27</v>
      </c>
    </row>
    <row r="336" spans="1:49" ht="409.5" x14ac:dyDescent="0.2">
      <c r="A336" s="47" t="s">
        <v>86</v>
      </c>
      <c r="B336" s="15" t="s">
        <v>348</v>
      </c>
      <c r="C336" s="14" t="s">
        <v>349</v>
      </c>
      <c r="D336" s="67" t="s">
        <v>117</v>
      </c>
      <c r="E336" s="67" t="s">
        <v>99</v>
      </c>
      <c r="F336" s="73"/>
      <c r="G336" s="73"/>
      <c r="H336" s="73"/>
      <c r="I336" s="73"/>
      <c r="J336" s="14" t="s">
        <v>91</v>
      </c>
      <c r="K336" s="14" t="s">
        <v>59</v>
      </c>
      <c r="L336" s="14" t="s">
        <v>93</v>
      </c>
      <c r="M336" s="14" t="s">
        <v>132</v>
      </c>
      <c r="N336" s="18" t="s">
        <v>24</v>
      </c>
      <c r="O336" s="14" t="s">
        <v>24</v>
      </c>
      <c r="P336" s="19">
        <v>42802.402777777781</v>
      </c>
      <c r="Q336" s="19">
        <v>42804.556250000001</v>
      </c>
      <c r="R336" s="19">
        <v>42804.556250000001</v>
      </c>
      <c r="S336" s="14" t="s">
        <v>139</v>
      </c>
      <c r="T336" s="14" t="s">
        <v>197</v>
      </c>
      <c r="U336" s="14" t="s">
        <v>117</v>
      </c>
      <c r="V336" s="14"/>
      <c r="W336" s="14">
        <v>0</v>
      </c>
      <c r="X336" s="14">
        <v>0</v>
      </c>
      <c r="Y336" s="14"/>
      <c r="Z336" s="14"/>
      <c r="AA336" s="14"/>
      <c r="AB336" s="14"/>
      <c r="AC336" s="14"/>
      <c r="AD336" s="14"/>
      <c r="AE336" s="14"/>
      <c r="AF336" s="14" t="s">
        <v>350</v>
      </c>
      <c r="AG336" s="14" t="s">
        <v>351</v>
      </c>
      <c r="AH336" s="14"/>
      <c r="AI336" s="14"/>
      <c r="AJ336" s="14"/>
      <c r="AK336" s="14"/>
      <c r="AL336" s="14"/>
      <c r="AM336" s="14"/>
      <c r="AN336" s="14" t="s">
        <v>99</v>
      </c>
      <c r="AO336" s="14" t="s">
        <v>352</v>
      </c>
      <c r="AP336" s="14" t="s">
        <v>146</v>
      </c>
      <c r="AQ336" s="14"/>
      <c r="AR336" s="67"/>
      <c r="AS336" s="67"/>
      <c r="AT336" s="67"/>
      <c r="AU336" s="67"/>
      <c r="AV336" s="22" t="str">
        <f>VLOOKUP(test1[[#This Row],[Assignee]],lookup[#All],2,FALSE)</f>
        <v>Test-SIT</v>
      </c>
      <c r="AW336" s="22">
        <f ca="1">IF(test1[[#This Row],[Status]]&lt;&gt;"Closed", TODAY()-INT(test1[[#This Row],[Created]]),INT(test1[[#This Row],[Resolved]])-INT(test1[[#This Row],[Created]]))</f>
        <v>26</v>
      </c>
    </row>
    <row r="337" spans="1:49" ht="409.5" x14ac:dyDescent="0.2">
      <c r="A337" s="47" t="s">
        <v>86</v>
      </c>
      <c r="B337" s="15" t="s">
        <v>342</v>
      </c>
      <c r="C337" s="14" t="s">
        <v>343</v>
      </c>
      <c r="D337" s="67" t="s">
        <v>89</v>
      </c>
      <c r="E337" s="67" t="s">
        <v>193</v>
      </c>
      <c r="F337" s="73"/>
      <c r="G337" s="73"/>
      <c r="H337" s="73"/>
      <c r="I337" s="73"/>
      <c r="J337" s="14" t="s">
        <v>91</v>
      </c>
      <c r="K337" s="14" t="s">
        <v>59</v>
      </c>
      <c r="L337" s="14" t="s">
        <v>93</v>
      </c>
      <c r="M337" s="14" t="s">
        <v>132</v>
      </c>
      <c r="N337" s="18" t="s">
        <v>24</v>
      </c>
      <c r="O337" s="14" t="s">
        <v>24</v>
      </c>
      <c r="P337" s="19">
        <v>42802.43472222222</v>
      </c>
      <c r="Q337" s="19">
        <v>42811.436805555553</v>
      </c>
      <c r="R337" s="19">
        <v>42804.554166666669</v>
      </c>
      <c r="S337" s="14" t="s">
        <v>139</v>
      </c>
      <c r="T337" s="14" t="s">
        <v>344</v>
      </c>
      <c r="U337" s="14" t="s">
        <v>117</v>
      </c>
      <c r="V337" s="14"/>
      <c r="W337" s="14">
        <v>0</v>
      </c>
      <c r="X337" s="14">
        <v>0</v>
      </c>
      <c r="Y337" s="14"/>
      <c r="Z337" s="14"/>
      <c r="AA337" s="14"/>
      <c r="AB337" s="14"/>
      <c r="AC337" s="14"/>
      <c r="AD337" s="14"/>
      <c r="AE337" s="14"/>
      <c r="AF337" s="14" t="s">
        <v>345</v>
      </c>
      <c r="AG337" s="14" t="s">
        <v>346</v>
      </c>
      <c r="AH337" s="14"/>
      <c r="AI337" s="14"/>
      <c r="AJ337" s="14"/>
      <c r="AK337" s="14"/>
      <c r="AL337" s="14"/>
      <c r="AM337" s="14"/>
      <c r="AN337" s="14" t="s">
        <v>99</v>
      </c>
      <c r="AO337" s="14" t="s">
        <v>347</v>
      </c>
      <c r="AP337" s="14"/>
      <c r="AQ337" s="14"/>
      <c r="AR337" s="67"/>
      <c r="AS337" s="67"/>
      <c r="AT337" s="67"/>
      <c r="AU337" s="67"/>
      <c r="AV337" s="22" t="str">
        <f>VLOOKUP(test1[[#This Row],[Assignee]],lookup[#All],2,FALSE)</f>
        <v>Test-SIT</v>
      </c>
      <c r="AW337" s="22">
        <f ca="1">IF(test1[[#This Row],[Status]]&lt;&gt;"Closed", TODAY()-INT(test1[[#This Row],[Created]]),INT(test1[[#This Row],[Resolved]])-INT(test1[[#This Row],[Created]]))</f>
        <v>26</v>
      </c>
    </row>
    <row r="338" spans="1:49" ht="409.5" x14ac:dyDescent="0.2">
      <c r="A338" s="47" t="s">
        <v>86</v>
      </c>
      <c r="B338" s="15" t="s">
        <v>338</v>
      </c>
      <c r="C338" s="14" t="s">
        <v>339</v>
      </c>
      <c r="D338" s="67" t="s">
        <v>117</v>
      </c>
      <c r="E338" s="67" t="s">
        <v>229</v>
      </c>
      <c r="F338" s="73"/>
      <c r="G338" s="73"/>
      <c r="H338" s="73"/>
      <c r="I338" s="73"/>
      <c r="J338" s="14" t="s">
        <v>91</v>
      </c>
      <c r="K338" s="14" t="s">
        <v>59</v>
      </c>
      <c r="L338" s="14" t="s">
        <v>93</v>
      </c>
      <c r="M338" s="14" t="s">
        <v>132</v>
      </c>
      <c r="N338" s="18" t="s">
        <v>19</v>
      </c>
      <c r="O338" s="14" t="s">
        <v>30</v>
      </c>
      <c r="P338" s="19">
        <v>42802.463888888888</v>
      </c>
      <c r="Q338" s="19">
        <v>42803.844444444447</v>
      </c>
      <c r="R338" s="19">
        <v>42803.844444444447</v>
      </c>
      <c r="S338" s="14" t="s">
        <v>330</v>
      </c>
      <c r="T338" s="14" t="s">
        <v>219</v>
      </c>
      <c r="U338" s="14" t="s">
        <v>89</v>
      </c>
      <c r="V338" s="14"/>
      <c r="W338" s="14">
        <v>0</v>
      </c>
      <c r="X338" s="14">
        <v>0</v>
      </c>
      <c r="Y338" s="14"/>
      <c r="Z338" s="14"/>
      <c r="AA338" s="14"/>
      <c r="AB338" s="14"/>
      <c r="AC338" s="14"/>
      <c r="AD338" s="14"/>
      <c r="AE338" s="14"/>
      <c r="AF338" s="14"/>
      <c r="AG338" s="14" t="s">
        <v>340</v>
      </c>
      <c r="AH338" s="14"/>
      <c r="AI338" s="14"/>
      <c r="AJ338" s="14"/>
      <c r="AK338" s="14"/>
      <c r="AL338" s="14"/>
      <c r="AM338" s="14"/>
      <c r="AN338" s="14" t="s">
        <v>193</v>
      </c>
      <c r="AO338" s="14" t="s">
        <v>341</v>
      </c>
      <c r="AP338" s="14"/>
      <c r="AQ338" s="14"/>
      <c r="AR338" s="67"/>
      <c r="AS338" s="67"/>
      <c r="AT338" s="67"/>
      <c r="AU338" s="67"/>
      <c r="AV338" s="22" t="str">
        <f>VLOOKUP(test1[[#This Row],[Assignee]],lookup[#All],2,FALSE)</f>
        <v>Test-SIT</v>
      </c>
      <c r="AW338" s="22">
        <f ca="1">IF(test1[[#This Row],[Status]]&lt;&gt;"Closed", TODAY()-INT(test1[[#This Row],[Created]]),INT(test1[[#This Row],[Resolved]])-INT(test1[[#This Row],[Created]]))</f>
        <v>26</v>
      </c>
    </row>
    <row r="339" spans="1:49" ht="409.5" x14ac:dyDescent="0.2">
      <c r="A339" s="47" t="s">
        <v>86</v>
      </c>
      <c r="B339" s="15" t="s">
        <v>334</v>
      </c>
      <c r="C339" s="14" t="s">
        <v>335</v>
      </c>
      <c r="D339" s="67" t="s">
        <v>89</v>
      </c>
      <c r="E339" s="67" t="s">
        <v>193</v>
      </c>
      <c r="F339" s="73"/>
      <c r="G339" s="73"/>
      <c r="H339" s="73"/>
      <c r="I339" s="73"/>
      <c r="J339" s="14" t="s">
        <v>91</v>
      </c>
      <c r="K339" s="14" t="s">
        <v>59</v>
      </c>
      <c r="L339" s="14" t="s">
        <v>103</v>
      </c>
      <c r="M339" s="14" t="s">
        <v>201</v>
      </c>
      <c r="N339" s="18" t="s">
        <v>24</v>
      </c>
      <c r="O339" s="14" t="s">
        <v>24</v>
      </c>
      <c r="P339" s="19">
        <v>42802.479861111111</v>
      </c>
      <c r="Q339" s="19">
        <v>42804.561111111114</v>
      </c>
      <c r="R339" s="19">
        <v>42804.560416666667</v>
      </c>
      <c r="S339" s="14" t="s">
        <v>139</v>
      </c>
      <c r="T339" s="14" t="s">
        <v>139</v>
      </c>
      <c r="U339" s="14" t="s">
        <v>117</v>
      </c>
      <c r="V339" s="14"/>
      <c r="W339" s="14">
        <v>0</v>
      </c>
      <c r="X339" s="14">
        <v>0</v>
      </c>
      <c r="Y339" s="14"/>
      <c r="Z339" s="14"/>
      <c r="AA339" s="14"/>
      <c r="AB339" s="14"/>
      <c r="AC339" s="14"/>
      <c r="AD339" s="14"/>
      <c r="AE339" s="14"/>
      <c r="AF339" s="14" t="s">
        <v>336</v>
      </c>
      <c r="AG339" s="14" t="s">
        <v>337</v>
      </c>
      <c r="AH339" s="14"/>
      <c r="AI339" s="14"/>
      <c r="AJ339" s="14"/>
      <c r="AK339" s="14"/>
      <c r="AL339" s="14"/>
      <c r="AM339" s="14"/>
      <c r="AN339" s="14" t="s">
        <v>229</v>
      </c>
      <c r="AO339" s="14"/>
      <c r="AP339" s="14"/>
      <c r="AQ339" s="14"/>
      <c r="AR339" s="79"/>
      <c r="AS339" s="79"/>
      <c r="AT339" s="79"/>
      <c r="AU339" s="79"/>
      <c r="AV339" s="52" t="str">
        <f>VLOOKUP(test1[[#This Row],[Assignee]],lookup[#All],2,FALSE)</f>
        <v>Test-SIT</v>
      </c>
      <c r="AW339" s="52">
        <f ca="1">IF(test1[[#This Row],[Status]]&lt;&gt;"Closed", TODAY()-INT(test1[[#This Row],[Created]]),INT(test1[[#This Row],[Resolved]])-INT(test1[[#This Row],[Created]]))</f>
        <v>26</v>
      </c>
    </row>
    <row r="340" spans="1:49" ht="242.25" x14ac:dyDescent="0.2">
      <c r="A340" s="47" t="s">
        <v>86</v>
      </c>
      <c r="B340" s="15" t="s">
        <v>328</v>
      </c>
      <c r="C340" s="14" t="s">
        <v>329</v>
      </c>
      <c r="D340" s="68" t="s">
        <v>117</v>
      </c>
      <c r="E340" s="68" t="s">
        <v>123</v>
      </c>
      <c r="F340" s="75"/>
      <c r="G340" s="75"/>
      <c r="H340" s="75"/>
      <c r="I340" s="75"/>
      <c r="J340" s="14" t="s">
        <v>91</v>
      </c>
      <c r="K340" s="14" t="s">
        <v>59</v>
      </c>
      <c r="L340" s="14" t="s">
        <v>93</v>
      </c>
      <c r="M340" s="14" t="s">
        <v>132</v>
      </c>
      <c r="N340" s="18" t="s">
        <v>19</v>
      </c>
      <c r="O340" s="14" t="s">
        <v>30</v>
      </c>
      <c r="P340" s="19">
        <v>42802.638194444444</v>
      </c>
      <c r="Q340" s="19">
        <v>42803.92083333333</v>
      </c>
      <c r="R340" s="19">
        <v>42803.92083333333</v>
      </c>
      <c r="S340" s="14" t="s">
        <v>330</v>
      </c>
      <c r="T340" s="14" t="s">
        <v>219</v>
      </c>
      <c r="U340" s="14" t="s">
        <v>89</v>
      </c>
      <c r="V340" s="14"/>
      <c r="W340" s="14">
        <v>0</v>
      </c>
      <c r="X340" s="14">
        <v>0</v>
      </c>
      <c r="Y340" s="14"/>
      <c r="Z340" s="14"/>
      <c r="AA340" s="14"/>
      <c r="AB340" s="14"/>
      <c r="AC340" s="14"/>
      <c r="AD340" s="14"/>
      <c r="AE340" s="14"/>
      <c r="AF340" s="14" t="s">
        <v>331</v>
      </c>
      <c r="AG340" s="14" t="s">
        <v>332</v>
      </c>
      <c r="AH340" s="14"/>
      <c r="AI340" s="14"/>
      <c r="AJ340" s="14"/>
      <c r="AK340" s="14"/>
      <c r="AL340" s="14"/>
      <c r="AM340" s="14"/>
      <c r="AN340" s="14" t="s">
        <v>308</v>
      </c>
      <c r="AO340" s="14" t="s">
        <v>333</v>
      </c>
      <c r="AP340" s="14"/>
      <c r="AQ340" s="14"/>
      <c r="AR340" s="79"/>
      <c r="AS340" s="79"/>
      <c r="AT340" s="79"/>
      <c r="AU340" s="79"/>
      <c r="AV340" s="52" t="str">
        <f>VLOOKUP(test1[[#This Row],[Assignee]],lookup[#All],2,FALSE)</f>
        <v>Test-SIT</v>
      </c>
      <c r="AW340" s="52">
        <f ca="1">IF(test1[[#This Row],[Status]]&lt;&gt;"Closed", TODAY()-INT(test1[[#This Row],[Created]]),INT(test1[[#This Row],[Resolved]])-INT(test1[[#This Row],[Created]]))</f>
        <v>26</v>
      </c>
    </row>
    <row r="341" spans="1:49" ht="199.5" x14ac:dyDescent="0.2">
      <c r="A341" s="47" t="s">
        <v>86</v>
      </c>
      <c r="B341" s="15" t="s">
        <v>321</v>
      </c>
      <c r="C341" s="14" t="s">
        <v>322</v>
      </c>
      <c r="D341" s="68" t="s">
        <v>117</v>
      </c>
      <c r="E341" s="68" t="s">
        <v>138</v>
      </c>
      <c r="F341" s="75"/>
      <c r="G341" s="75"/>
      <c r="H341" s="75"/>
      <c r="I341" s="75"/>
      <c r="J341" s="14" t="s">
        <v>91</v>
      </c>
      <c r="K341" s="14" t="s">
        <v>323</v>
      </c>
      <c r="L341" s="14" t="s">
        <v>93</v>
      </c>
      <c r="M341" s="17" t="s">
        <v>94</v>
      </c>
      <c r="N341" s="18" t="s">
        <v>24</v>
      </c>
      <c r="O341" s="14" t="s">
        <v>24</v>
      </c>
      <c r="P341" s="19">
        <v>42802.668055555558</v>
      </c>
      <c r="Q341" s="19">
        <v>42811.436111111114</v>
      </c>
      <c r="R341" s="14"/>
      <c r="S341" s="14" t="s">
        <v>139</v>
      </c>
      <c r="T341" s="14" t="s">
        <v>324</v>
      </c>
      <c r="U341" s="14" t="s">
        <v>117</v>
      </c>
      <c r="V341" s="14"/>
      <c r="W341" s="14">
        <v>0</v>
      </c>
      <c r="X341" s="14">
        <v>0</v>
      </c>
      <c r="Y341" s="14"/>
      <c r="Z341" s="14"/>
      <c r="AA341" s="14"/>
      <c r="AB341" s="14"/>
      <c r="AC341" s="14"/>
      <c r="AD341" s="14"/>
      <c r="AE341" s="14"/>
      <c r="AF341" s="14" t="s">
        <v>325</v>
      </c>
      <c r="AG341" s="14" t="s">
        <v>326</v>
      </c>
      <c r="AH341" s="14"/>
      <c r="AI341" s="14"/>
      <c r="AJ341" s="14"/>
      <c r="AK341" s="14"/>
      <c r="AL341" s="14"/>
      <c r="AM341" s="14"/>
      <c r="AN341" s="14" t="s">
        <v>123</v>
      </c>
      <c r="AO341" s="14" t="s">
        <v>327</v>
      </c>
      <c r="AP341" s="14"/>
      <c r="AQ341" s="14"/>
      <c r="AR341" s="79"/>
      <c r="AS341" s="79"/>
      <c r="AT341" s="79"/>
      <c r="AU341" s="79"/>
      <c r="AV341" s="52" t="str">
        <f>VLOOKUP(test1[[#This Row],[Assignee]],lookup[#All],2,FALSE)</f>
        <v>Test-SIT</v>
      </c>
      <c r="AW341" s="52">
        <f ca="1">IF(test1[[#This Row],[Status]]&lt;&gt;"Closed", TODAY()-INT(test1[[#This Row],[Created]]),INT(test1[[#This Row],[Resolved]])-INT(test1[[#This Row],[Created]]))</f>
        <v>26</v>
      </c>
    </row>
    <row r="342" spans="1:49" ht="142.5" x14ac:dyDescent="0.2">
      <c r="A342" s="47" t="s">
        <v>86</v>
      </c>
      <c r="B342" s="15" t="s">
        <v>316</v>
      </c>
      <c r="C342" s="14" t="s">
        <v>317</v>
      </c>
      <c r="D342" s="68" t="s">
        <v>96</v>
      </c>
      <c r="E342" s="68" t="s">
        <v>233</v>
      </c>
      <c r="F342" s="75"/>
      <c r="G342" s="75"/>
      <c r="H342" s="75"/>
      <c r="I342" s="75"/>
      <c r="J342" s="14" t="s">
        <v>91</v>
      </c>
      <c r="K342" s="14" t="s">
        <v>92</v>
      </c>
      <c r="L342" s="14" t="s">
        <v>93</v>
      </c>
      <c r="M342" s="17" t="s">
        <v>94</v>
      </c>
      <c r="N342" s="18" t="s">
        <v>318</v>
      </c>
      <c r="O342" s="14" t="s">
        <v>36</v>
      </c>
      <c r="P342" s="19">
        <v>42802.754861111112</v>
      </c>
      <c r="Q342" s="19">
        <v>42811.671527777777</v>
      </c>
      <c r="R342" s="14"/>
      <c r="S342" s="14" t="s">
        <v>203</v>
      </c>
      <c r="T342" s="14" t="s">
        <v>155</v>
      </c>
      <c r="U342" s="14" t="s">
        <v>117</v>
      </c>
      <c r="V342" s="14"/>
      <c r="W342" s="14">
        <v>0</v>
      </c>
      <c r="X342" s="14">
        <v>0</v>
      </c>
      <c r="Y342" s="20" t="s">
        <v>319</v>
      </c>
      <c r="Z342" s="14"/>
      <c r="AA342" s="14"/>
      <c r="AB342" s="14"/>
      <c r="AC342" s="14"/>
      <c r="AD342" s="14"/>
      <c r="AE342" s="14"/>
      <c r="AF342" s="14" t="s">
        <v>126</v>
      </c>
      <c r="AG342" s="14" t="s">
        <v>320</v>
      </c>
      <c r="AH342" s="14"/>
      <c r="AI342" s="14"/>
      <c r="AJ342" s="14"/>
      <c r="AK342" s="14"/>
      <c r="AL342" s="14"/>
      <c r="AM342" s="14"/>
      <c r="AN342" s="14" t="s">
        <v>145</v>
      </c>
      <c r="AO342" s="14"/>
      <c r="AP342" s="14"/>
      <c r="AQ342" s="14"/>
      <c r="AR342" s="79"/>
      <c r="AS342" s="79"/>
      <c r="AT342" s="79"/>
      <c r="AU342" s="79"/>
      <c r="AV342" s="52" t="e">
        <f>VLOOKUP(test1[[#This Row],[Assignee]],lookup[#All],2,FALSE)</f>
        <v>#N/A</v>
      </c>
      <c r="AW342" s="52">
        <f ca="1">IF(test1[[#This Row],[Status]]&lt;&gt;"Closed", TODAY()-INT(test1[[#This Row],[Created]]),INT(test1[[#This Row],[Resolved]])-INT(test1[[#This Row],[Created]]))</f>
        <v>26</v>
      </c>
    </row>
    <row r="343" spans="1:49" ht="142.5" x14ac:dyDescent="0.2">
      <c r="A343" s="47" t="s">
        <v>86</v>
      </c>
      <c r="B343" s="15" t="s">
        <v>310</v>
      </c>
      <c r="C343" s="14" t="s">
        <v>311</v>
      </c>
      <c r="D343" s="68" t="s">
        <v>89</v>
      </c>
      <c r="E343" s="68" t="s">
        <v>193</v>
      </c>
      <c r="F343" s="75"/>
      <c r="G343" s="75"/>
      <c r="H343" s="75"/>
      <c r="I343" s="75"/>
      <c r="J343" s="14" t="s">
        <v>91</v>
      </c>
      <c r="K343" s="14" t="s">
        <v>59</v>
      </c>
      <c r="L343" s="14" t="s">
        <v>93</v>
      </c>
      <c r="M343" s="14" t="s">
        <v>132</v>
      </c>
      <c r="N343" s="18" t="s">
        <v>30</v>
      </c>
      <c r="O343" s="14" t="s">
        <v>8</v>
      </c>
      <c r="P343" s="19">
        <v>42803.415277777778</v>
      </c>
      <c r="Q343" s="19">
        <v>42807.723611111112</v>
      </c>
      <c r="R343" s="19">
        <v>42807.723611111112</v>
      </c>
      <c r="S343" s="14" t="s">
        <v>312</v>
      </c>
      <c r="T343" s="14" t="s">
        <v>219</v>
      </c>
      <c r="U343" s="14" t="s">
        <v>96</v>
      </c>
      <c r="V343" s="14"/>
      <c r="W343" s="14">
        <v>0</v>
      </c>
      <c r="X343" s="14">
        <v>0</v>
      </c>
      <c r="Y343" s="14"/>
      <c r="Z343" s="14"/>
      <c r="AA343" s="14"/>
      <c r="AB343" s="14"/>
      <c r="AC343" s="14"/>
      <c r="AD343" s="14"/>
      <c r="AE343" s="14"/>
      <c r="AF343" s="14"/>
      <c r="AG343" s="14" t="s">
        <v>313</v>
      </c>
      <c r="AH343" s="14"/>
      <c r="AI343" s="14"/>
      <c r="AJ343" s="14"/>
      <c r="AK343" s="14"/>
      <c r="AL343" s="14"/>
      <c r="AM343" s="14"/>
      <c r="AN343" s="14" t="s">
        <v>235</v>
      </c>
      <c r="AO343" s="14" t="s">
        <v>314</v>
      </c>
      <c r="AP343" s="14" t="s">
        <v>315</v>
      </c>
      <c r="AQ343" s="14"/>
      <c r="AR343" s="79"/>
      <c r="AS343" s="79"/>
      <c r="AT343" s="79"/>
      <c r="AU343" s="79"/>
      <c r="AV343" s="52" t="str">
        <f>VLOOKUP(test1[[#This Row],[Assignee]],lookup[#All],2,FALSE)</f>
        <v>Test-SIT</v>
      </c>
      <c r="AW343" s="52">
        <f ca="1">IF(test1[[#This Row],[Status]]&lt;&gt;"Closed", TODAY()-INT(test1[[#This Row],[Created]]),INT(test1[[#This Row],[Resolved]])-INT(test1[[#This Row],[Created]]))</f>
        <v>25</v>
      </c>
    </row>
    <row r="344" spans="1:49" ht="199.5" x14ac:dyDescent="0.2">
      <c r="A344" s="47" t="s">
        <v>86</v>
      </c>
      <c r="B344" s="15" t="s">
        <v>304</v>
      </c>
      <c r="C344" s="14" t="s">
        <v>305</v>
      </c>
      <c r="D344" s="68" t="s">
        <v>241</v>
      </c>
      <c r="E344" s="68" t="s">
        <v>302</v>
      </c>
      <c r="F344" s="75"/>
      <c r="G344" s="75"/>
      <c r="H344" s="75"/>
      <c r="I344" s="75"/>
      <c r="J344" s="14" t="s">
        <v>91</v>
      </c>
      <c r="K344" s="14" t="s">
        <v>59</v>
      </c>
      <c r="L344" s="14" t="s">
        <v>93</v>
      </c>
      <c r="M344" s="14" t="s">
        <v>132</v>
      </c>
      <c r="N344" s="18" t="s">
        <v>35</v>
      </c>
      <c r="O344" s="14" t="s">
        <v>35</v>
      </c>
      <c r="P344" s="19">
        <v>42803.439583333333</v>
      </c>
      <c r="Q344" s="19">
        <v>42803.629166666666</v>
      </c>
      <c r="R344" s="19">
        <v>42803.629166666666</v>
      </c>
      <c r="S344" s="14" t="s">
        <v>104</v>
      </c>
      <c r="T344" s="14"/>
      <c r="U344" s="14" t="s">
        <v>89</v>
      </c>
      <c r="V344" s="14"/>
      <c r="W344" s="14">
        <v>0</v>
      </c>
      <c r="X344" s="14">
        <v>0</v>
      </c>
      <c r="Y344" s="14" t="s">
        <v>306</v>
      </c>
      <c r="Z344" s="14"/>
      <c r="AA344" s="14"/>
      <c r="AB344" s="14"/>
      <c r="AC344" s="14"/>
      <c r="AD344" s="14"/>
      <c r="AE344" s="14"/>
      <c r="AF344" s="14" t="s">
        <v>126</v>
      </c>
      <c r="AG344" s="14" t="s">
        <v>307</v>
      </c>
      <c r="AH344" s="14"/>
      <c r="AI344" s="14"/>
      <c r="AJ344" s="14"/>
      <c r="AK344" s="14"/>
      <c r="AL344" s="14"/>
      <c r="AM344" s="14"/>
      <c r="AN344" s="14" t="s">
        <v>308</v>
      </c>
      <c r="AO344" s="14" t="s">
        <v>309</v>
      </c>
      <c r="AP344" s="14" t="s">
        <v>146</v>
      </c>
      <c r="AQ344" s="14"/>
      <c r="AR344" s="79"/>
      <c r="AS344" s="79"/>
      <c r="AT344" s="79"/>
      <c r="AU344" s="79"/>
      <c r="AV344" s="52" t="str">
        <f>VLOOKUP(test1[[#This Row],[Assignee]],lookup[#All],2,FALSE)</f>
        <v>DMO</v>
      </c>
      <c r="AW344" s="52">
        <f ca="1">IF(test1[[#This Row],[Status]]&lt;&gt;"Closed", TODAY()-INT(test1[[#This Row],[Created]]),INT(test1[[#This Row],[Resolved]])-INT(test1[[#This Row],[Created]]))</f>
        <v>25</v>
      </c>
    </row>
    <row r="345" spans="1:49" ht="409.5" x14ac:dyDescent="0.2">
      <c r="A345" s="47" t="s">
        <v>86</v>
      </c>
      <c r="B345" s="15" t="s">
        <v>298</v>
      </c>
      <c r="C345" s="14" t="s">
        <v>299</v>
      </c>
      <c r="D345" s="68" t="s">
        <v>89</v>
      </c>
      <c r="E345" s="68" t="s">
        <v>193</v>
      </c>
      <c r="F345" s="75"/>
      <c r="G345" s="75"/>
      <c r="H345" s="75"/>
      <c r="I345" s="75"/>
      <c r="J345" s="14" t="s">
        <v>91</v>
      </c>
      <c r="K345" s="14" t="s">
        <v>59</v>
      </c>
      <c r="L345" s="14" t="s">
        <v>103</v>
      </c>
      <c r="M345" s="14" t="s">
        <v>132</v>
      </c>
      <c r="N345" s="18" t="s">
        <v>202</v>
      </c>
      <c r="O345" s="14" t="s">
        <v>37</v>
      </c>
      <c r="P345" s="19">
        <v>42803.44027777778</v>
      </c>
      <c r="Q345" s="19">
        <v>42807.675694444442</v>
      </c>
      <c r="R345" s="19">
        <v>42807.675694444442</v>
      </c>
      <c r="S345" s="14" t="s">
        <v>104</v>
      </c>
      <c r="T345" s="14" t="s">
        <v>104</v>
      </c>
      <c r="U345" s="14" t="s">
        <v>241</v>
      </c>
      <c r="V345" s="14"/>
      <c r="W345" s="14">
        <v>0</v>
      </c>
      <c r="X345" s="14">
        <v>0</v>
      </c>
      <c r="Y345" s="14"/>
      <c r="Z345" s="14"/>
      <c r="AA345" s="14"/>
      <c r="AB345" s="14"/>
      <c r="AC345" s="14"/>
      <c r="AD345" s="14"/>
      <c r="AE345" s="14"/>
      <c r="AF345" s="14" t="s">
        <v>300</v>
      </c>
      <c r="AG345" s="14" t="s">
        <v>301</v>
      </c>
      <c r="AH345" s="14"/>
      <c r="AI345" s="14"/>
      <c r="AJ345" s="14"/>
      <c r="AK345" s="14"/>
      <c r="AL345" s="14"/>
      <c r="AM345" s="14"/>
      <c r="AN345" s="14" t="s">
        <v>302</v>
      </c>
      <c r="AO345" s="14" t="s">
        <v>303</v>
      </c>
      <c r="AP345" s="14"/>
      <c r="AQ345" s="14"/>
      <c r="AR345" s="79"/>
      <c r="AS345" s="79"/>
      <c r="AT345" s="79"/>
      <c r="AU345" s="79"/>
      <c r="AV345" s="52" t="e">
        <f>VLOOKUP(test1[[#This Row],[Assignee]],lookup[#All],2,FALSE)</f>
        <v>#N/A</v>
      </c>
      <c r="AW345" s="52">
        <f ca="1">IF(test1[[#This Row],[Status]]&lt;&gt;"Closed", TODAY()-INT(test1[[#This Row],[Created]]),INT(test1[[#This Row],[Resolved]])-INT(test1[[#This Row],[Created]]))</f>
        <v>25</v>
      </c>
    </row>
    <row r="346" spans="1:49" ht="199.5" x14ac:dyDescent="0.2">
      <c r="A346" s="47" t="s">
        <v>86</v>
      </c>
      <c r="B346" s="15" t="s">
        <v>293</v>
      </c>
      <c r="C346" s="14" t="s">
        <v>294</v>
      </c>
      <c r="D346" s="68" t="s">
        <v>89</v>
      </c>
      <c r="E346" s="68" t="s">
        <v>123</v>
      </c>
      <c r="F346" s="75"/>
      <c r="G346" s="75"/>
      <c r="H346" s="75"/>
      <c r="I346" s="75"/>
      <c r="J346" s="14" t="s">
        <v>91</v>
      </c>
      <c r="K346" s="14" t="s">
        <v>59</v>
      </c>
      <c r="L346" s="14" t="s">
        <v>93</v>
      </c>
      <c r="M346" s="14" t="s">
        <v>132</v>
      </c>
      <c r="N346" s="18" t="s">
        <v>35</v>
      </c>
      <c r="O346" s="14" t="s">
        <v>35</v>
      </c>
      <c r="P346" s="19">
        <v>42803.445138888892</v>
      </c>
      <c r="Q346" s="19">
        <v>42803.628472222219</v>
      </c>
      <c r="R346" s="19">
        <v>42803.628472222219</v>
      </c>
      <c r="S346" s="14" t="s">
        <v>104</v>
      </c>
      <c r="T346" s="14"/>
      <c r="U346" s="14" t="s">
        <v>89</v>
      </c>
      <c r="V346" s="14"/>
      <c r="W346" s="14">
        <v>0</v>
      </c>
      <c r="X346" s="14">
        <v>0</v>
      </c>
      <c r="Y346" s="14" t="s">
        <v>295</v>
      </c>
      <c r="Z346" s="14"/>
      <c r="AA346" s="14"/>
      <c r="AB346" s="14"/>
      <c r="AC346" s="14"/>
      <c r="AD346" s="14"/>
      <c r="AE346" s="14"/>
      <c r="AF346" s="14" t="s">
        <v>126</v>
      </c>
      <c r="AG346" s="14" t="s">
        <v>296</v>
      </c>
      <c r="AH346" s="14"/>
      <c r="AI346" s="14"/>
      <c r="AJ346" s="14"/>
      <c r="AK346" s="14"/>
      <c r="AL346" s="14"/>
      <c r="AM346" s="14"/>
      <c r="AN346" s="14" t="s">
        <v>193</v>
      </c>
      <c r="AO346" s="14" t="s">
        <v>297</v>
      </c>
      <c r="AP346" s="14" t="s">
        <v>146</v>
      </c>
      <c r="AQ346" s="14"/>
      <c r="AR346" s="79"/>
      <c r="AS346" s="79"/>
      <c r="AT346" s="79"/>
      <c r="AU346" s="79"/>
      <c r="AV346" s="52" t="str">
        <f>VLOOKUP(test1[[#This Row],[Assignee]],lookup[#All],2,FALSE)</f>
        <v>DMO</v>
      </c>
      <c r="AW346" s="52">
        <f ca="1">IF(test1[[#This Row],[Status]]&lt;&gt;"Closed", TODAY()-INT(test1[[#This Row],[Created]]),INT(test1[[#This Row],[Resolved]])-INT(test1[[#This Row],[Created]]))</f>
        <v>25</v>
      </c>
    </row>
    <row r="347" spans="1:49" ht="171" x14ac:dyDescent="0.2">
      <c r="A347" s="47" t="s">
        <v>86</v>
      </c>
      <c r="B347" s="15" t="s">
        <v>289</v>
      </c>
      <c r="C347" s="14" t="s">
        <v>290</v>
      </c>
      <c r="D347" s="68" t="s">
        <v>89</v>
      </c>
      <c r="E347" s="68" t="s">
        <v>193</v>
      </c>
      <c r="F347" s="75"/>
      <c r="G347" s="75"/>
      <c r="H347" s="75"/>
      <c r="I347" s="75"/>
      <c r="J347" s="14" t="s">
        <v>91</v>
      </c>
      <c r="K347" s="14" t="s">
        <v>110</v>
      </c>
      <c r="L347" s="14" t="s">
        <v>103</v>
      </c>
      <c r="M347" s="17" t="s">
        <v>94</v>
      </c>
      <c r="N347" s="18" t="s">
        <v>21</v>
      </c>
      <c r="O347" s="14" t="s">
        <v>36</v>
      </c>
      <c r="P347" s="19">
        <v>42803.447222222225</v>
      </c>
      <c r="Q347" s="19">
        <v>42810.713194444441</v>
      </c>
      <c r="R347" s="14"/>
      <c r="S347" s="14" t="s">
        <v>203</v>
      </c>
      <c r="T347" s="14"/>
      <c r="U347" s="14" t="s">
        <v>89</v>
      </c>
      <c r="V347" s="14"/>
      <c r="W347" s="14">
        <v>0</v>
      </c>
      <c r="X347" s="14">
        <v>0</v>
      </c>
      <c r="Y347" s="14" t="s">
        <v>291</v>
      </c>
      <c r="Z347" s="14"/>
      <c r="AA347" s="14"/>
      <c r="AB347" s="14"/>
      <c r="AC347" s="14"/>
      <c r="AD347" s="14"/>
      <c r="AE347" s="14"/>
      <c r="AF347" s="14" t="s">
        <v>126</v>
      </c>
      <c r="AG347" s="14" t="s">
        <v>292</v>
      </c>
      <c r="AH347" s="14"/>
      <c r="AI347" s="14"/>
      <c r="AJ347" s="14"/>
      <c r="AK347" s="14"/>
      <c r="AL347" s="14"/>
      <c r="AM347" s="14"/>
      <c r="AN347" s="14"/>
      <c r="AO347" s="14"/>
      <c r="AP347" s="14"/>
      <c r="AQ347" s="14"/>
      <c r="AR347" s="79"/>
      <c r="AS347" s="79"/>
      <c r="AT347" s="79"/>
      <c r="AU347" s="79"/>
      <c r="AV347" s="52" t="str">
        <f>VLOOKUP(test1[[#This Row],[Assignee]],lookup[#All],2,FALSE)</f>
        <v>Test-SIT</v>
      </c>
      <c r="AW347" s="52">
        <f ca="1">IF(test1[[#This Row],[Status]]&lt;&gt;"Closed", TODAY()-INT(test1[[#This Row],[Created]]),INT(test1[[#This Row],[Resolved]])-INT(test1[[#This Row],[Created]]))</f>
        <v>25</v>
      </c>
    </row>
    <row r="348" spans="1:49" ht="85.5" x14ac:dyDescent="0.2">
      <c r="A348" s="47" t="s">
        <v>86</v>
      </c>
      <c r="B348" s="15" t="s">
        <v>285</v>
      </c>
      <c r="C348" s="14" t="s">
        <v>286</v>
      </c>
      <c r="D348" s="68" t="s">
        <v>96</v>
      </c>
      <c r="E348" s="68" t="s">
        <v>229</v>
      </c>
      <c r="F348" s="75"/>
      <c r="G348" s="75"/>
      <c r="H348" s="75"/>
      <c r="I348" s="75"/>
      <c r="J348" s="14" t="s">
        <v>91</v>
      </c>
      <c r="K348" s="14" t="s">
        <v>59</v>
      </c>
      <c r="L348" s="14" t="s">
        <v>103</v>
      </c>
      <c r="M348" s="14" t="s">
        <v>132</v>
      </c>
      <c r="N348" s="18" t="s">
        <v>202</v>
      </c>
      <c r="O348" s="14" t="s">
        <v>37</v>
      </c>
      <c r="P348" s="19">
        <v>42803.447916666664</v>
      </c>
      <c r="Q348" s="19">
        <v>42807.501388888886</v>
      </c>
      <c r="R348" s="19">
        <v>42807.501388888886</v>
      </c>
      <c r="S348" s="14"/>
      <c r="T348" s="14"/>
      <c r="U348" s="14" t="s">
        <v>89</v>
      </c>
      <c r="V348" s="14"/>
      <c r="W348" s="14">
        <v>0</v>
      </c>
      <c r="X348" s="14">
        <v>0</v>
      </c>
      <c r="Y348" s="14"/>
      <c r="Z348" s="14"/>
      <c r="AA348" s="14"/>
      <c r="AB348" s="14"/>
      <c r="AC348" s="14"/>
      <c r="AD348" s="14"/>
      <c r="AE348" s="14"/>
      <c r="AF348" s="14" t="s">
        <v>106</v>
      </c>
      <c r="AG348" s="14" t="s">
        <v>287</v>
      </c>
      <c r="AH348" s="14"/>
      <c r="AI348" s="14"/>
      <c r="AJ348" s="14"/>
      <c r="AK348" s="14"/>
      <c r="AL348" s="14"/>
      <c r="AM348" s="14"/>
      <c r="AN348" s="14" t="s">
        <v>193</v>
      </c>
      <c r="AO348" s="14" t="s">
        <v>288</v>
      </c>
      <c r="AP348" s="14"/>
      <c r="AQ348" s="14"/>
      <c r="AR348" s="79"/>
      <c r="AS348" s="79"/>
      <c r="AT348" s="79"/>
      <c r="AU348" s="79"/>
      <c r="AV348" s="52" t="e">
        <f>VLOOKUP(test1[[#This Row],[Assignee]],lookup[#All],2,FALSE)</f>
        <v>#N/A</v>
      </c>
      <c r="AW348" s="52">
        <f ca="1">IF(test1[[#This Row],[Status]]&lt;&gt;"Closed", TODAY()-INT(test1[[#This Row],[Created]]),INT(test1[[#This Row],[Resolved]])-INT(test1[[#This Row],[Created]]))</f>
        <v>25</v>
      </c>
    </row>
    <row r="349" spans="1:49" ht="228" x14ac:dyDescent="0.2">
      <c r="A349" s="47" t="s">
        <v>86</v>
      </c>
      <c r="B349" s="15" t="s">
        <v>279</v>
      </c>
      <c r="C349" s="14" t="s">
        <v>280</v>
      </c>
      <c r="D349" s="68" t="s">
        <v>96</v>
      </c>
      <c r="E349" s="68" t="s">
        <v>229</v>
      </c>
      <c r="F349" s="75"/>
      <c r="G349" s="75"/>
      <c r="H349" s="75"/>
      <c r="I349" s="75"/>
      <c r="J349" s="14" t="s">
        <v>91</v>
      </c>
      <c r="K349" s="14" t="s">
        <v>59</v>
      </c>
      <c r="L349" s="14" t="s">
        <v>167</v>
      </c>
      <c r="M349" s="14" t="s">
        <v>132</v>
      </c>
      <c r="N349" s="18" t="s">
        <v>35</v>
      </c>
      <c r="O349" s="14" t="s">
        <v>35</v>
      </c>
      <c r="P349" s="19">
        <v>42803.459027777775</v>
      </c>
      <c r="Q349" s="19">
        <v>42803.569444444445</v>
      </c>
      <c r="R349" s="19">
        <v>42803.563194444447</v>
      </c>
      <c r="S349" s="14" t="s">
        <v>104</v>
      </c>
      <c r="T349" s="14" t="s">
        <v>204</v>
      </c>
      <c r="U349" s="14" t="s">
        <v>96</v>
      </c>
      <c r="V349" s="14"/>
      <c r="W349" s="14">
        <v>0</v>
      </c>
      <c r="X349" s="14">
        <v>0</v>
      </c>
      <c r="Y349" s="20" t="s">
        <v>281</v>
      </c>
      <c r="Z349" s="14"/>
      <c r="AA349" s="14"/>
      <c r="AB349" s="14"/>
      <c r="AC349" s="14"/>
      <c r="AD349" s="14"/>
      <c r="AE349" s="14"/>
      <c r="AF349" s="14" t="s">
        <v>126</v>
      </c>
      <c r="AG349" s="14" t="s">
        <v>282</v>
      </c>
      <c r="AH349" s="14"/>
      <c r="AI349" s="14"/>
      <c r="AJ349" s="14"/>
      <c r="AK349" s="14"/>
      <c r="AL349" s="14"/>
      <c r="AM349" s="14"/>
      <c r="AN349" s="14" t="s">
        <v>283</v>
      </c>
      <c r="AO349" s="14" t="s">
        <v>284</v>
      </c>
      <c r="AP349" s="14"/>
      <c r="AQ349" s="14"/>
      <c r="AR349" s="79"/>
      <c r="AS349" s="79"/>
      <c r="AT349" s="79"/>
      <c r="AU349" s="79"/>
      <c r="AV349" s="52" t="str">
        <f>VLOOKUP(test1[[#This Row],[Assignee]],lookup[#All],2,FALSE)</f>
        <v>DMO</v>
      </c>
      <c r="AW349" s="52">
        <f ca="1">IF(test1[[#This Row],[Status]]&lt;&gt;"Closed", TODAY()-INT(test1[[#This Row],[Created]]),INT(test1[[#This Row],[Resolved]])-INT(test1[[#This Row],[Created]]))</f>
        <v>25</v>
      </c>
    </row>
    <row r="350" spans="1:49" ht="199.5" x14ac:dyDescent="0.2">
      <c r="A350" s="47" t="s">
        <v>86</v>
      </c>
      <c r="B350" s="15" t="s">
        <v>273</v>
      </c>
      <c r="C350" s="14" t="s">
        <v>274</v>
      </c>
      <c r="D350" s="68" t="s">
        <v>117</v>
      </c>
      <c r="E350" s="68" t="s">
        <v>123</v>
      </c>
      <c r="F350" s="75"/>
      <c r="G350" s="75"/>
      <c r="H350" s="75"/>
      <c r="I350" s="75"/>
      <c r="J350" s="14" t="s">
        <v>91</v>
      </c>
      <c r="K350" s="14" t="s">
        <v>275</v>
      </c>
      <c r="L350" s="14" t="s">
        <v>93</v>
      </c>
      <c r="M350" s="14" t="s">
        <v>201</v>
      </c>
      <c r="N350" s="18" t="s">
        <v>35</v>
      </c>
      <c r="O350" s="14" t="s">
        <v>35</v>
      </c>
      <c r="P350" s="19">
        <v>42803.47152777778</v>
      </c>
      <c r="Q350" s="19">
        <v>42807.37222222222</v>
      </c>
      <c r="R350" s="19">
        <v>42803.490277777775</v>
      </c>
      <c r="S350" s="14" t="s">
        <v>104</v>
      </c>
      <c r="T350" s="14" t="s">
        <v>204</v>
      </c>
      <c r="U350" s="14" t="s">
        <v>96</v>
      </c>
      <c r="V350" s="14"/>
      <c r="W350" s="14">
        <v>0</v>
      </c>
      <c r="X350" s="14">
        <v>0</v>
      </c>
      <c r="Y350" s="20" t="s">
        <v>276</v>
      </c>
      <c r="Z350" s="14"/>
      <c r="AA350" s="14"/>
      <c r="AB350" s="14"/>
      <c r="AC350" s="14"/>
      <c r="AD350" s="14"/>
      <c r="AE350" s="14"/>
      <c r="AF350" s="14" t="s">
        <v>126</v>
      </c>
      <c r="AG350" s="14" t="s">
        <v>277</v>
      </c>
      <c r="AH350" s="14"/>
      <c r="AI350" s="14"/>
      <c r="AJ350" s="14"/>
      <c r="AK350" s="14"/>
      <c r="AL350" s="14"/>
      <c r="AM350" s="14"/>
      <c r="AN350" s="14" t="s">
        <v>229</v>
      </c>
      <c r="AO350" s="14" t="s">
        <v>278</v>
      </c>
      <c r="AP350" s="14" t="s">
        <v>146</v>
      </c>
      <c r="AQ350" s="14"/>
      <c r="AR350" s="79"/>
      <c r="AS350" s="79"/>
      <c r="AT350" s="79"/>
      <c r="AU350" s="79"/>
      <c r="AV350" s="52" t="str">
        <f>VLOOKUP(test1[[#This Row],[Assignee]],lookup[#All],2,FALSE)</f>
        <v>DMO</v>
      </c>
      <c r="AW350" s="52">
        <f ca="1">IF(test1[[#This Row],[Status]]&lt;&gt;"Closed", TODAY()-INT(test1[[#This Row],[Created]]),INT(test1[[#This Row],[Resolved]])-INT(test1[[#This Row],[Created]]))</f>
        <v>0</v>
      </c>
    </row>
    <row r="351" spans="1:49" ht="370.5" x14ac:dyDescent="0.2">
      <c r="A351" s="47" t="s">
        <v>86</v>
      </c>
      <c r="B351" s="15" t="s">
        <v>269</v>
      </c>
      <c r="C351" s="14" t="s">
        <v>270</v>
      </c>
      <c r="D351" s="68" t="s">
        <v>89</v>
      </c>
      <c r="E351" s="68" t="s">
        <v>193</v>
      </c>
      <c r="F351" s="75"/>
      <c r="G351" s="75"/>
      <c r="H351" s="75"/>
      <c r="I351" s="75"/>
      <c r="J351" s="14" t="s">
        <v>91</v>
      </c>
      <c r="K351" s="14" t="s">
        <v>92</v>
      </c>
      <c r="L351" s="14" t="s">
        <v>93</v>
      </c>
      <c r="M351" s="17" t="s">
        <v>94</v>
      </c>
      <c r="N351" s="18" t="s">
        <v>24</v>
      </c>
      <c r="O351" s="14" t="s">
        <v>24</v>
      </c>
      <c r="P351" s="19">
        <v>42803.472916666666</v>
      </c>
      <c r="Q351" s="19">
        <v>42811.45208333333</v>
      </c>
      <c r="R351" s="14"/>
      <c r="S351" s="14" t="s">
        <v>139</v>
      </c>
      <c r="T351" s="14" t="s">
        <v>139</v>
      </c>
      <c r="U351" s="14" t="s">
        <v>117</v>
      </c>
      <c r="V351" s="14"/>
      <c r="W351" s="14">
        <v>0</v>
      </c>
      <c r="X351" s="14">
        <v>0</v>
      </c>
      <c r="Y351" s="14"/>
      <c r="Z351" s="14"/>
      <c r="AA351" s="14"/>
      <c r="AB351" s="14"/>
      <c r="AC351" s="14"/>
      <c r="AD351" s="14"/>
      <c r="AE351" s="14"/>
      <c r="AF351" s="14" t="s">
        <v>271</v>
      </c>
      <c r="AG351" s="14" t="s">
        <v>272</v>
      </c>
      <c r="AH351" s="14"/>
      <c r="AI351" s="14"/>
      <c r="AJ351" s="14"/>
      <c r="AK351" s="14"/>
      <c r="AL351" s="14"/>
      <c r="AM351" s="14"/>
      <c r="AN351" s="14" t="s">
        <v>123</v>
      </c>
      <c r="AO351" s="14"/>
      <c r="AP351" s="14" t="s">
        <v>146</v>
      </c>
      <c r="AQ351" s="14"/>
      <c r="AR351" s="79"/>
      <c r="AS351" s="79"/>
      <c r="AT351" s="79"/>
      <c r="AU351" s="79"/>
      <c r="AV351" s="52" t="str">
        <f>VLOOKUP(test1[[#This Row],[Assignee]],lookup[#All],2,FALSE)</f>
        <v>Test-SIT</v>
      </c>
      <c r="AW351" s="52">
        <f ca="1">IF(test1[[#This Row],[Status]]&lt;&gt;"Closed", TODAY()-INT(test1[[#This Row],[Created]]),INT(test1[[#This Row],[Resolved]])-INT(test1[[#This Row],[Created]]))</f>
        <v>25</v>
      </c>
    </row>
    <row r="352" spans="1:49" ht="399" x14ac:dyDescent="0.2">
      <c r="A352" s="47" t="s">
        <v>86</v>
      </c>
      <c r="B352" s="15" t="s">
        <v>263</v>
      </c>
      <c r="C352" s="14" t="s">
        <v>264</v>
      </c>
      <c r="D352" s="68" t="s">
        <v>96</v>
      </c>
      <c r="E352" s="68" t="s">
        <v>261</v>
      </c>
      <c r="F352" s="75"/>
      <c r="G352" s="75"/>
      <c r="H352" s="75"/>
      <c r="I352" s="75"/>
      <c r="J352" s="14" t="s">
        <v>91</v>
      </c>
      <c r="K352" s="14" t="s">
        <v>59</v>
      </c>
      <c r="L352" s="14" t="s">
        <v>93</v>
      </c>
      <c r="M352" s="14" t="s">
        <v>132</v>
      </c>
      <c r="N352" s="18" t="s">
        <v>22</v>
      </c>
      <c r="O352" s="14" t="s">
        <v>30</v>
      </c>
      <c r="P352" s="19">
        <v>42803.491666666669</v>
      </c>
      <c r="Q352" s="19">
        <v>42807.372916666667</v>
      </c>
      <c r="R352" s="19">
        <v>42807.372916666667</v>
      </c>
      <c r="S352" s="14" t="s">
        <v>265</v>
      </c>
      <c r="T352" s="14"/>
      <c r="U352" s="14" t="s">
        <v>89</v>
      </c>
      <c r="V352" s="14"/>
      <c r="W352" s="14">
        <v>0</v>
      </c>
      <c r="X352" s="14">
        <v>0</v>
      </c>
      <c r="Y352" s="14"/>
      <c r="Z352" s="14"/>
      <c r="AA352" s="14"/>
      <c r="AB352" s="14"/>
      <c r="AC352" s="14"/>
      <c r="AD352" s="14"/>
      <c r="AE352" s="14"/>
      <c r="AF352" s="14" t="s">
        <v>266</v>
      </c>
      <c r="AG352" s="14" t="s">
        <v>267</v>
      </c>
      <c r="AH352" s="14"/>
      <c r="AI352" s="14"/>
      <c r="AJ352" s="14"/>
      <c r="AK352" s="14"/>
      <c r="AL352" s="14"/>
      <c r="AM352" s="14"/>
      <c r="AN352" s="14" t="s">
        <v>193</v>
      </c>
      <c r="AO352" s="14" t="s">
        <v>268</v>
      </c>
      <c r="AP352" s="14"/>
      <c r="AQ352" s="14"/>
      <c r="AR352" s="78"/>
      <c r="AS352" s="78"/>
      <c r="AT352" s="78"/>
      <c r="AU352" s="78"/>
      <c r="AV352" s="22" t="str">
        <f>VLOOKUP(test1[[#This Row],[Assignee]],lookup[#All],2,FALSE)</f>
        <v>Test-SIT</v>
      </c>
      <c r="AW352" s="22">
        <f ca="1">IF(test1[[#This Row],[Status]]&lt;&gt;"Closed", TODAY()-INT(test1[[#This Row],[Created]]),INT(test1[[#This Row],[Resolved]])-INT(test1[[#This Row],[Created]]))</f>
        <v>25</v>
      </c>
    </row>
    <row r="353" spans="1:49" ht="256.5" x14ac:dyDescent="0.2">
      <c r="A353" s="47" t="s">
        <v>86</v>
      </c>
      <c r="B353" s="15" t="s">
        <v>256</v>
      </c>
      <c r="C353" s="14" t="s">
        <v>257</v>
      </c>
      <c r="D353" s="67" t="s">
        <v>117</v>
      </c>
      <c r="E353" s="67" t="s">
        <v>258</v>
      </c>
      <c r="F353" s="73"/>
      <c r="G353" s="73"/>
      <c r="H353" s="73"/>
      <c r="I353" s="73"/>
      <c r="J353" s="14" t="s">
        <v>91</v>
      </c>
      <c r="K353" s="14" t="s">
        <v>59</v>
      </c>
      <c r="L353" s="14" t="s">
        <v>103</v>
      </c>
      <c r="M353" s="14" t="s">
        <v>132</v>
      </c>
      <c r="N353" s="18" t="s">
        <v>202</v>
      </c>
      <c r="O353" s="14" t="s">
        <v>37</v>
      </c>
      <c r="P353" s="19">
        <v>42803.736111111109</v>
      </c>
      <c r="Q353" s="19">
        <v>42807.578472222223</v>
      </c>
      <c r="R353" s="19">
        <v>42807.578472222223</v>
      </c>
      <c r="S353" s="14" t="s">
        <v>104</v>
      </c>
      <c r="T353" s="14"/>
      <c r="U353" s="14" t="s">
        <v>96</v>
      </c>
      <c r="V353" s="14"/>
      <c r="W353" s="14">
        <v>0</v>
      </c>
      <c r="X353" s="14">
        <v>0</v>
      </c>
      <c r="Y353" s="20" t="s">
        <v>259</v>
      </c>
      <c r="Z353" s="14"/>
      <c r="AA353" s="14"/>
      <c r="AB353" s="14"/>
      <c r="AC353" s="14"/>
      <c r="AD353" s="14"/>
      <c r="AE353" s="14"/>
      <c r="AF353" s="14" t="s">
        <v>106</v>
      </c>
      <c r="AG353" s="14" t="s">
        <v>260</v>
      </c>
      <c r="AH353" s="14"/>
      <c r="AI353" s="14"/>
      <c r="AJ353" s="14"/>
      <c r="AK353" s="14"/>
      <c r="AL353" s="14"/>
      <c r="AM353" s="14"/>
      <c r="AN353" s="14" t="s">
        <v>261</v>
      </c>
      <c r="AO353" s="14" t="s">
        <v>262</v>
      </c>
      <c r="AP353" s="14"/>
      <c r="AQ353" s="14"/>
      <c r="AR353" s="67"/>
      <c r="AS353" s="67"/>
      <c r="AT353" s="67"/>
      <c r="AU353" s="67"/>
      <c r="AV353" s="22" t="e">
        <f>VLOOKUP(test1[[#This Row],[Assignee]],lookup[#All],2,FALSE)</f>
        <v>#N/A</v>
      </c>
      <c r="AW353" s="22">
        <f ca="1">IF(test1[[#This Row],[Status]]&lt;&gt;"Closed", TODAY()-INT(test1[[#This Row],[Created]]),INT(test1[[#This Row],[Resolved]])-INT(test1[[#This Row],[Created]]))</f>
        <v>25</v>
      </c>
    </row>
    <row r="354" spans="1:49" ht="409.5" x14ac:dyDescent="0.2">
      <c r="A354" s="47" t="s">
        <v>86</v>
      </c>
      <c r="B354" s="15" t="s">
        <v>251</v>
      </c>
      <c r="C354" s="14" t="s">
        <v>252</v>
      </c>
      <c r="D354" s="67" t="s">
        <v>96</v>
      </c>
      <c r="E354" s="67" t="s">
        <v>233</v>
      </c>
      <c r="F354" s="73"/>
      <c r="G354" s="73"/>
      <c r="H354" s="73"/>
      <c r="I354" s="73"/>
      <c r="J354" s="14" t="s">
        <v>91</v>
      </c>
      <c r="K354" s="14" t="s">
        <v>110</v>
      </c>
      <c r="L354" s="14" t="s">
        <v>124</v>
      </c>
      <c r="M354" s="17" t="s">
        <v>94</v>
      </c>
      <c r="N354" s="18" t="s">
        <v>111</v>
      </c>
      <c r="O354" s="14" t="s">
        <v>24</v>
      </c>
      <c r="P354" s="19">
        <v>42804.620138888888</v>
      </c>
      <c r="Q354" s="19">
        <v>42811.45208333333</v>
      </c>
      <c r="R354" s="14"/>
      <c r="S354" s="14" t="s">
        <v>203</v>
      </c>
      <c r="T354" s="14" t="s">
        <v>140</v>
      </c>
      <c r="U354" s="14" t="s">
        <v>117</v>
      </c>
      <c r="V354" s="14"/>
      <c r="W354" s="14">
        <v>0</v>
      </c>
      <c r="X354" s="14">
        <v>0</v>
      </c>
      <c r="Y354" s="14"/>
      <c r="Z354" s="14"/>
      <c r="AA354" s="14"/>
      <c r="AB354" s="14"/>
      <c r="AC354" s="14"/>
      <c r="AD354" s="14"/>
      <c r="AE354" s="14"/>
      <c r="AF354" s="14" t="s">
        <v>253</v>
      </c>
      <c r="AG354" s="14" t="s">
        <v>254</v>
      </c>
      <c r="AH354" s="14"/>
      <c r="AI354" s="14"/>
      <c r="AJ354" s="14"/>
      <c r="AK354" s="14"/>
      <c r="AL354" s="14"/>
      <c r="AM354" s="14"/>
      <c r="AN354" s="14" t="s">
        <v>255</v>
      </c>
      <c r="AO354" s="14"/>
      <c r="AP354" s="14" t="s">
        <v>146</v>
      </c>
      <c r="AQ354" s="14"/>
      <c r="AR354" s="67"/>
      <c r="AS354" s="67"/>
      <c r="AT354" s="67"/>
      <c r="AU354" s="67"/>
      <c r="AV354" s="22" t="e">
        <f>VLOOKUP(test1[[#This Row],[Assignee]],lookup[#All],2,FALSE)</f>
        <v>#N/A</v>
      </c>
      <c r="AW354" s="22">
        <f ca="1">IF(test1[[#This Row],[Status]]&lt;&gt;"Closed", TODAY()-INT(test1[[#This Row],[Created]]),INT(test1[[#This Row],[Resolved]])-INT(test1[[#This Row],[Created]]))</f>
        <v>24</v>
      </c>
    </row>
    <row r="355" spans="1:49" ht="99.75" x14ac:dyDescent="0.2">
      <c r="A355" s="47" t="s">
        <v>86</v>
      </c>
      <c r="B355" s="15" t="s">
        <v>246</v>
      </c>
      <c r="C355" s="14" t="s">
        <v>247</v>
      </c>
      <c r="D355" s="67" t="s">
        <v>96</v>
      </c>
      <c r="E355" s="67" t="s">
        <v>233</v>
      </c>
      <c r="F355" s="73"/>
      <c r="G355" s="73"/>
      <c r="H355" s="73"/>
      <c r="I355" s="73"/>
      <c r="J355" s="14" t="s">
        <v>91</v>
      </c>
      <c r="K355" s="14" t="s">
        <v>110</v>
      </c>
      <c r="L355" s="14" t="s">
        <v>103</v>
      </c>
      <c r="M355" s="17" t="s">
        <v>94</v>
      </c>
      <c r="N355" s="18" t="s">
        <v>111</v>
      </c>
      <c r="O355" s="14" t="s">
        <v>37</v>
      </c>
      <c r="P355" s="19">
        <v>42804.667361111111</v>
      </c>
      <c r="Q355" s="19">
        <v>42807.845138888886</v>
      </c>
      <c r="R355" s="14"/>
      <c r="S355" s="14" t="s">
        <v>104</v>
      </c>
      <c r="T355" s="14"/>
      <c r="U355" s="14" t="s">
        <v>241</v>
      </c>
      <c r="V355" s="14"/>
      <c r="W355" s="14">
        <v>0</v>
      </c>
      <c r="X355" s="14">
        <v>0</v>
      </c>
      <c r="Y355" s="20" t="s">
        <v>248</v>
      </c>
      <c r="Z355" s="14"/>
      <c r="AA355" s="14"/>
      <c r="AB355" s="14"/>
      <c r="AC355" s="14"/>
      <c r="AD355" s="14"/>
      <c r="AE355" s="14"/>
      <c r="AF355" s="14" t="s">
        <v>106</v>
      </c>
      <c r="AG355" s="14" t="s">
        <v>249</v>
      </c>
      <c r="AH355" s="14"/>
      <c r="AI355" s="14"/>
      <c r="AJ355" s="14"/>
      <c r="AK355" s="14"/>
      <c r="AL355" s="14"/>
      <c r="AM355" s="14"/>
      <c r="AN355" s="14" t="s">
        <v>235</v>
      </c>
      <c r="AO355" s="14"/>
      <c r="AP355" s="14" t="s">
        <v>250</v>
      </c>
      <c r="AQ355" s="14"/>
      <c r="AR355" s="67"/>
      <c r="AS355" s="67"/>
      <c r="AT355" s="67"/>
      <c r="AU355" s="67"/>
      <c r="AV355" s="22" t="e">
        <f>VLOOKUP(test1[[#This Row],[Assignee]],lookup[#All],2,FALSE)</f>
        <v>#N/A</v>
      </c>
      <c r="AW355" s="22">
        <f ca="1">IF(test1[[#This Row],[Status]]&lt;&gt;"Closed", TODAY()-INT(test1[[#This Row],[Created]]),INT(test1[[#This Row],[Resolved]])-INT(test1[[#This Row],[Created]]))</f>
        <v>24</v>
      </c>
    </row>
    <row r="356" spans="1:49" ht="327.75" x14ac:dyDescent="0.2">
      <c r="A356" s="47" t="s">
        <v>86</v>
      </c>
      <c r="B356" s="15" t="s">
        <v>239</v>
      </c>
      <c r="C356" s="14" t="s">
        <v>240</v>
      </c>
      <c r="D356" s="67" t="s">
        <v>241</v>
      </c>
      <c r="E356" s="67" t="s">
        <v>149</v>
      </c>
      <c r="F356" s="73"/>
      <c r="G356" s="73"/>
      <c r="H356" s="73"/>
      <c r="I356" s="73"/>
      <c r="J356" s="14" t="s">
        <v>91</v>
      </c>
      <c r="K356" s="14" t="s">
        <v>59</v>
      </c>
      <c r="L356" s="14" t="s">
        <v>167</v>
      </c>
      <c r="M356" s="14" t="s">
        <v>132</v>
      </c>
      <c r="N356" s="18" t="s">
        <v>202</v>
      </c>
      <c r="O356" s="14" t="s">
        <v>37</v>
      </c>
      <c r="P356" s="19">
        <v>42804.683333333334</v>
      </c>
      <c r="Q356" s="19">
        <v>42807.631944444445</v>
      </c>
      <c r="R356" s="19">
        <v>42807.631944444445</v>
      </c>
      <c r="S356" s="14"/>
      <c r="T356" s="14"/>
      <c r="U356" s="14" t="s">
        <v>242</v>
      </c>
      <c r="V356" s="14"/>
      <c r="W356" s="14">
        <v>0</v>
      </c>
      <c r="X356" s="14">
        <v>0</v>
      </c>
      <c r="Y356" s="14" t="s">
        <v>243</v>
      </c>
      <c r="Z356" s="14"/>
      <c r="AA356" s="14"/>
      <c r="AB356" s="14"/>
      <c r="AC356" s="14"/>
      <c r="AD356" s="14"/>
      <c r="AE356" s="14"/>
      <c r="AF356" s="14"/>
      <c r="AG356" s="14" t="s">
        <v>244</v>
      </c>
      <c r="AH356" s="14"/>
      <c r="AI356" s="14"/>
      <c r="AJ356" s="14"/>
      <c r="AK356" s="14"/>
      <c r="AL356" s="14"/>
      <c r="AM356" s="14"/>
      <c r="AN356" s="14" t="s">
        <v>235</v>
      </c>
      <c r="AO356" s="14" t="s">
        <v>245</v>
      </c>
      <c r="AP356" s="14"/>
      <c r="AQ356" s="14"/>
      <c r="AR356" s="67"/>
      <c r="AS356" s="67"/>
      <c r="AT356" s="67"/>
      <c r="AU356" s="67"/>
      <c r="AV356" s="22" t="e">
        <f>VLOOKUP(test1[[#This Row],[Assignee]],lookup[#All],2,FALSE)</f>
        <v>#N/A</v>
      </c>
      <c r="AW356" s="22">
        <f ca="1">IF(test1[[#This Row],[Status]]&lt;&gt;"Closed", TODAY()-INT(test1[[#This Row],[Created]]),INT(test1[[#This Row],[Resolved]])-INT(test1[[#This Row],[Created]]))</f>
        <v>24</v>
      </c>
    </row>
    <row r="357" spans="1:49" ht="409.5" x14ac:dyDescent="0.2">
      <c r="A357" s="47" t="s">
        <v>86</v>
      </c>
      <c r="B357" s="15" t="s">
        <v>236</v>
      </c>
      <c r="C357" s="14" t="s">
        <v>237</v>
      </c>
      <c r="D357" s="68" t="s">
        <v>117</v>
      </c>
      <c r="E357" s="68" t="s">
        <v>123</v>
      </c>
      <c r="F357" s="75"/>
      <c r="G357" s="75"/>
      <c r="H357" s="75"/>
      <c r="I357" s="75"/>
      <c r="J357" s="14" t="s">
        <v>91</v>
      </c>
      <c r="K357" s="14" t="s">
        <v>92</v>
      </c>
      <c r="L357" s="14" t="s">
        <v>103</v>
      </c>
      <c r="M357" s="17" t="s">
        <v>94</v>
      </c>
      <c r="N357" s="18" t="s">
        <v>111</v>
      </c>
      <c r="O357" s="14" t="s">
        <v>24</v>
      </c>
      <c r="P357" s="19">
        <v>42804.717361111114</v>
      </c>
      <c r="Q357" s="19">
        <v>42811.435416666667</v>
      </c>
      <c r="R357" s="14"/>
      <c r="S357" s="14" t="s">
        <v>139</v>
      </c>
      <c r="T357" s="14" t="s">
        <v>95</v>
      </c>
      <c r="U357" s="14" t="s">
        <v>117</v>
      </c>
      <c r="V357" s="14"/>
      <c r="W357" s="14">
        <v>0</v>
      </c>
      <c r="X357" s="14">
        <v>0</v>
      </c>
      <c r="Y357" s="14"/>
      <c r="Z357" s="14"/>
      <c r="AA357" s="14"/>
      <c r="AB357" s="14"/>
      <c r="AC357" s="14"/>
      <c r="AD357" s="14"/>
      <c r="AE357" s="14"/>
      <c r="AF357" s="14" t="s">
        <v>156</v>
      </c>
      <c r="AG357" s="14" t="s">
        <v>238</v>
      </c>
      <c r="AH357" s="14"/>
      <c r="AI357" s="14"/>
      <c r="AJ357" s="14"/>
      <c r="AK357" s="14"/>
      <c r="AL357" s="14"/>
      <c r="AM357" s="14"/>
      <c r="AN357" s="14" t="s">
        <v>123</v>
      </c>
      <c r="AO357" s="14"/>
      <c r="AP357" s="14" t="s">
        <v>146</v>
      </c>
      <c r="AQ357" s="14"/>
      <c r="AR357" s="78"/>
      <c r="AS357" s="78"/>
      <c r="AT357" s="78"/>
      <c r="AU357" s="78"/>
      <c r="AV357" s="22" t="e">
        <f>VLOOKUP(test1[[#This Row],[Assignee]],lookup[#All],2,FALSE)</f>
        <v>#N/A</v>
      </c>
      <c r="AW357" s="22">
        <f ca="1">IF(test1[[#This Row],[Status]]&lt;&gt;"Closed", TODAY()-INT(test1[[#This Row],[Created]]),INT(test1[[#This Row],[Resolved]])-INT(test1[[#This Row],[Created]]))</f>
        <v>24</v>
      </c>
    </row>
    <row r="358" spans="1:49" ht="370.5" x14ac:dyDescent="0.2">
      <c r="A358" s="47" t="s">
        <v>86</v>
      </c>
      <c r="B358" s="15" t="s">
        <v>231</v>
      </c>
      <c r="C358" s="14" t="s">
        <v>232</v>
      </c>
      <c r="D358" s="68" t="s">
        <v>117</v>
      </c>
      <c r="E358" s="68" t="s">
        <v>233</v>
      </c>
      <c r="F358" s="75"/>
      <c r="G358" s="75"/>
      <c r="H358" s="75"/>
      <c r="I358" s="75"/>
      <c r="J358" s="14" t="s">
        <v>91</v>
      </c>
      <c r="K358" s="14" t="s">
        <v>110</v>
      </c>
      <c r="L358" s="14" t="s">
        <v>93</v>
      </c>
      <c r="M358" s="17" t="s">
        <v>94</v>
      </c>
      <c r="N358" s="18" t="s">
        <v>111</v>
      </c>
      <c r="O358" s="14" t="s">
        <v>24</v>
      </c>
      <c r="P358" s="19">
        <v>42807.443055555559</v>
      </c>
      <c r="Q358" s="19">
        <v>42810.686805555553</v>
      </c>
      <c r="R358" s="14"/>
      <c r="S358" s="14" t="s">
        <v>139</v>
      </c>
      <c r="T358" s="14" t="s">
        <v>197</v>
      </c>
      <c r="U358" s="14" t="s">
        <v>117</v>
      </c>
      <c r="V358" s="14"/>
      <c r="W358" s="14">
        <v>0</v>
      </c>
      <c r="X358" s="14">
        <v>0</v>
      </c>
      <c r="Y358" s="14"/>
      <c r="Z358" s="14"/>
      <c r="AA358" s="14"/>
      <c r="AB358" s="14"/>
      <c r="AC358" s="14"/>
      <c r="AD358" s="14"/>
      <c r="AE358" s="14"/>
      <c r="AF358" s="14" t="s">
        <v>143</v>
      </c>
      <c r="AG358" s="14" t="s">
        <v>234</v>
      </c>
      <c r="AH358" s="14"/>
      <c r="AI358" s="14"/>
      <c r="AJ358" s="14"/>
      <c r="AK358" s="14"/>
      <c r="AL358" s="14"/>
      <c r="AM358" s="14"/>
      <c r="AN358" s="14" t="s">
        <v>235</v>
      </c>
      <c r="AO358" s="14"/>
      <c r="AP358" s="14"/>
      <c r="AQ358" s="14"/>
      <c r="AR358" s="78"/>
      <c r="AS358" s="78"/>
      <c r="AT358" s="78"/>
      <c r="AU358" s="78"/>
      <c r="AV358" s="22" t="e">
        <f>VLOOKUP(test1[[#This Row],[Assignee]],lookup[#All],2,FALSE)</f>
        <v>#N/A</v>
      </c>
      <c r="AW358" s="22">
        <f ca="1">IF(test1[[#This Row],[Status]]&lt;&gt;"Closed", TODAY()-INT(test1[[#This Row],[Created]]),INT(test1[[#This Row],[Resolved]])-INT(test1[[#This Row],[Created]]))</f>
        <v>21</v>
      </c>
    </row>
    <row r="359" spans="1:49" ht="409.5" x14ac:dyDescent="0.2">
      <c r="A359" s="47" t="s">
        <v>86</v>
      </c>
      <c r="B359" s="15" t="s">
        <v>227</v>
      </c>
      <c r="C359" s="14" t="s">
        <v>228</v>
      </c>
      <c r="D359" s="68" t="s">
        <v>117</v>
      </c>
      <c r="E359" s="68" t="s">
        <v>229</v>
      </c>
      <c r="F359" s="75"/>
      <c r="G359" s="75"/>
      <c r="H359" s="75"/>
      <c r="I359" s="75"/>
      <c r="J359" s="14" t="s">
        <v>91</v>
      </c>
      <c r="K359" s="14" t="s">
        <v>59</v>
      </c>
      <c r="L359" s="14" t="s">
        <v>103</v>
      </c>
      <c r="M359" s="14" t="s">
        <v>201</v>
      </c>
      <c r="N359" s="18" t="s">
        <v>24</v>
      </c>
      <c r="O359" s="14" t="s">
        <v>24</v>
      </c>
      <c r="P359" s="19">
        <v>42807.543055555558</v>
      </c>
      <c r="Q359" s="19">
        <v>42808.663888888892</v>
      </c>
      <c r="R359" s="19">
        <v>42808.663888888892</v>
      </c>
      <c r="S359" s="14" t="s">
        <v>139</v>
      </c>
      <c r="T359" s="14" t="s">
        <v>139</v>
      </c>
      <c r="U359" s="14" t="s">
        <v>117</v>
      </c>
      <c r="V359" s="14"/>
      <c r="W359" s="14">
        <v>0</v>
      </c>
      <c r="X359" s="14">
        <v>0</v>
      </c>
      <c r="Y359" s="14"/>
      <c r="Z359" s="14"/>
      <c r="AA359" s="14"/>
      <c r="AB359" s="14"/>
      <c r="AC359" s="14"/>
      <c r="AD359" s="14"/>
      <c r="AE359" s="14"/>
      <c r="AF359" s="14" t="s">
        <v>156</v>
      </c>
      <c r="AG359" s="14" t="s">
        <v>230</v>
      </c>
      <c r="AH359" s="14"/>
      <c r="AI359" s="14"/>
      <c r="AJ359" s="14"/>
      <c r="AK359" s="14"/>
      <c r="AL359" s="14"/>
      <c r="AM359" s="14"/>
      <c r="AN359" s="14" t="s">
        <v>229</v>
      </c>
      <c r="AO359" s="14"/>
      <c r="AP359" s="14"/>
      <c r="AQ359" s="14"/>
      <c r="AR359" s="78"/>
      <c r="AS359" s="78"/>
      <c r="AT359" s="78"/>
      <c r="AU359" s="78"/>
      <c r="AV359" s="22" t="str">
        <f>VLOOKUP(test1[[#This Row],[Assignee]],lookup[#All],2,FALSE)</f>
        <v>Test-SIT</v>
      </c>
      <c r="AW359" s="22">
        <f ca="1">IF(test1[[#This Row],[Status]]&lt;&gt;"Closed", TODAY()-INT(test1[[#This Row],[Created]]),INT(test1[[#This Row],[Resolved]])-INT(test1[[#This Row],[Created]]))</f>
        <v>21</v>
      </c>
    </row>
    <row r="360" spans="1:49" ht="409.5" x14ac:dyDescent="0.2">
      <c r="A360" s="47" t="s">
        <v>86</v>
      </c>
      <c r="B360" s="15" t="s">
        <v>222</v>
      </c>
      <c r="C360" s="14" t="s">
        <v>223</v>
      </c>
      <c r="D360" s="68" t="s">
        <v>89</v>
      </c>
      <c r="E360" s="68" t="s">
        <v>149</v>
      </c>
      <c r="F360" s="75"/>
      <c r="G360" s="75"/>
      <c r="H360" s="75"/>
      <c r="I360" s="75"/>
      <c r="J360" s="14" t="s">
        <v>91</v>
      </c>
      <c r="K360" s="14" t="s">
        <v>59</v>
      </c>
      <c r="L360" s="14" t="s">
        <v>93</v>
      </c>
      <c r="M360" s="14" t="s">
        <v>132</v>
      </c>
      <c r="N360" s="18" t="s">
        <v>21</v>
      </c>
      <c r="O360" s="14" t="s">
        <v>19</v>
      </c>
      <c r="P360" s="19">
        <v>42807.626388888886</v>
      </c>
      <c r="Q360" s="19">
        <v>42808.479861111111</v>
      </c>
      <c r="R360" s="19">
        <v>42808.479861111111</v>
      </c>
      <c r="S360" s="14" t="s">
        <v>104</v>
      </c>
      <c r="T360" s="14" t="s">
        <v>219</v>
      </c>
      <c r="U360" s="14" t="s">
        <v>89</v>
      </c>
      <c r="V360" s="14"/>
      <c r="W360" s="14">
        <v>0</v>
      </c>
      <c r="X360" s="14">
        <v>0</v>
      </c>
      <c r="Y360" s="14"/>
      <c r="Z360" s="14"/>
      <c r="AA360" s="14"/>
      <c r="AB360" s="14"/>
      <c r="AC360" s="14"/>
      <c r="AD360" s="14"/>
      <c r="AE360" s="14" t="s">
        <v>224</v>
      </c>
      <c r="AF360" s="14"/>
      <c r="AG360" s="14" t="s">
        <v>225</v>
      </c>
      <c r="AH360" s="14"/>
      <c r="AI360" s="14"/>
      <c r="AJ360" s="14"/>
      <c r="AK360" s="14"/>
      <c r="AL360" s="14"/>
      <c r="AM360" s="14"/>
      <c r="AN360" s="14" t="s">
        <v>149</v>
      </c>
      <c r="AO360" s="14" t="s">
        <v>226</v>
      </c>
      <c r="AP360" s="14"/>
      <c r="AQ360" s="14"/>
      <c r="AR360" s="78"/>
      <c r="AS360" s="78"/>
      <c r="AT360" s="78"/>
      <c r="AU360" s="78"/>
      <c r="AV360" s="22" t="str">
        <f>VLOOKUP(test1[[#This Row],[Assignee]],lookup[#All],2,FALSE)</f>
        <v>Test-SIT</v>
      </c>
      <c r="AW360" s="22">
        <f ca="1">IF(test1[[#This Row],[Status]]&lt;&gt;"Closed", TODAY()-INT(test1[[#This Row],[Created]]),INT(test1[[#This Row],[Resolved]])-INT(test1[[#This Row],[Created]]))</f>
        <v>21</v>
      </c>
    </row>
    <row r="361" spans="1:49" ht="409.5" x14ac:dyDescent="0.2">
      <c r="A361" s="47" t="s">
        <v>86</v>
      </c>
      <c r="B361" s="15" t="s">
        <v>217</v>
      </c>
      <c r="C361" s="14" t="s">
        <v>218</v>
      </c>
      <c r="D361" s="68" t="s">
        <v>89</v>
      </c>
      <c r="E361" s="68" t="s">
        <v>149</v>
      </c>
      <c r="F361" s="75"/>
      <c r="G361" s="75"/>
      <c r="H361" s="75"/>
      <c r="I361" s="75"/>
      <c r="J361" s="14" t="s">
        <v>91</v>
      </c>
      <c r="K361" s="14" t="s">
        <v>59</v>
      </c>
      <c r="L361" s="14" t="s">
        <v>93</v>
      </c>
      <c r="M361" s="14" t="s">
        <v>132</v>
      </c>
      <c r="N361" s="18" t="s">
        <v>21</v>
      </c>
      <c r="O361" s="14" t="s">
        <v>19</v>
      </c>
      <c r="P361" s="19">
        <v>42807.629861111112</v>
      </c>
      <c r="Q361" s="19">
        <v>42808.486111111109</v>
      </c>
      <c r="R361" s="19">
        <v>42808.486111111109</v>
      </c>
      <c r="S361" s="14" t="s">
        <v>104</v>
      </c>
      <c r="T361" s="14" t="s">
        <v>219</v>
      </c>
      <c r="U361" s="14" t="s">
        <v>89</v>
      </c>
      <c r="V361" s="14"/>
      <c r="W361" s="14">
        <v>0</v>
      </c>
      <c r="X361" s="14">
        <v>0</v>
      </c>
      <c r="Y361" s="14"/>
      <c r="Z361" s="14"/>
      <c r="AA361" s="14"/>
      <c r="AB361" s="14"/>
      <c r="AC361" s="14"/>
      <c r="AD361" s="14"/>
      <c r="AE361" s="14"/>
      <c r="AF361" s="14"/>
      <c r="AG361" s="14" t="s">
        <v>220</v>
      </c>
      <c r="AH361" s="14"/>
      <c r="AI361" s="14"/>
      <c r="AJ361" s="14"/>
      <c r="AK361" s="14"/>
      <c r="AL361" s="14"/>
      <c r="AM361" s="14"/>
      <c r="AN361" s="14" t="s">
        <v>149</v>
      </c>
      <c r="AO361" s="14" t="s">
        <v>221</v>
      </c>
      <c r="AP361" s="14"/>
      <c r="AQ361" s="14"/>
      <c r="AR361" s="78"/>
      <c r="AS361" s="78"/>
      <c r="AT361" s="78"/>
      <c r="AU361" s="78"/>
      <c r="AV361" s="22" t="str">
        <f>VLOOKUP(test1[[#This Row],[Assignee]],lookup[#All],2,FALSE)</f>
        <v>Test-SIT</v>
      </c>
      <c r="AW361" s="22">
        <f ca="1">IF(test1[[#This Row],[Status]]&lt;&gt;"Closed", TODAY()-INT(test1[[#This Row],[Created]]),INT(test1[[#This Row],[Resolved]])-INT(test1[[#This Row],[Created]]))</f>
        <v>21</v>
      </c>
    </row>
    <row r="362" spans="1:49" ht="409.5" x14ac:dyDescent="0.2">
      <c r="A362" s="47" t="s">
        <v>86</v>
      </c>
      <c r="B362" s="15" t="s">
        <v>212</v>
      </c>
      <c r="C362" s="14" t="s">
        <v>213</v>
      </c>
      <c r="D362" s="68" t="s">
        <v>89</v>
      </c>
      <c r="E362" s="68" t="s">
        <v>214</v>
      </c>
      <c r="F362" s="75"/>
      <c r="G362" s="75"/>
      <c r="H362" s="75"/>
      <c r="I362" s="75"/>
      <c r="J362" s="14" t="s">
        <v>91</v>
      </c>
      <c r="K362" s="14" t="s">
        <v>110</v>
      </c>
      <c r="L362" s="14" t="s">
        <v>93</v>
      </c>
      <c r="M362" s="17" t="s">
        <v>94</v>
      </c>
      <c r="N362" s="18" t="s">
        <v>111</v>
      </c>
      <c r="O362" s="14" t="s">
        <v>19</v>
      </c>
      <c r="P362" s="19">
        <v>42807.640972222223</v>
      </c>
      <c r="Q362" s="19">
        <v>42811.728472222225</v>
      </c>
      <c r="R362" s="14"/>
      <c r="S362" s="14" t="s">
        <v>104</v>
      </c>
      <c r="T362" s="14"/>
      <c r="U362" s="14" t="s">
        <v>89</v>
      </c>
      <c r="V362" s="14"/>
      <c r="W362" s="14">
        <v>0</v>
      </c>
      <c r="X362" s="14">
        <v>0</v>
      </c>
      <c r="Y362" s="14"/>
      <c r="Z362" s="14"/>
      <c r="AA362" s="14"/>
      <c r="AB362" s="14"/>
      <c r="AC362" s="14"/>
      <c r="AD362" s="14"/>
      <c r="AE362" s="14"/>
      <c r="AF362" s="14"/>
      <c r="AG362" s="14" t="s">
        <v>215</v>
      </c>
      <c r="AH362" s="14"/>
      <c r="AI362" s="14"/>
      <c r="AJ362" s="14"/>
      <c r="AK362" s="14"/>
      <c r="AL362" s="14"/>
      <c r="AM362" s="14"/>
      <c r="AN362" s="14" t="s">
        <v>216</v>
      </c>
      <c r="AO362" s="14"/>
      <c r="AP362" s="14"/>
      <c r="AQ362" s="14"/>
      <c r="AR362" s="78"/>
      <c r="AS362" s="78"/>
      <c r="AT362" s="78"/>
      <c r="AU362" s="78"/>
      <c r="AV362" s="22" t="e">
        <f>VLOOKUP(test1[[#This Row],[Assignee]],lookup[#All],2,FALSE)</f>
        <v>#N/A</v>
      </c>
      <c r="AW362" s="22">
        <f ca="1">IF(test1[[#This Row],[Status]]&lt;&gt;"Closed", TODAY()-INT(test1[[#This Row],[Created]]),INT(test1[[#This Row],[Resolved]])-INT(test1[[#This Row],[Created]]))</f>
        <v>21</v>
      </c>
    </row>
    <row r="363" spans="1:49" ht="299.25" x14ac:dyDescent="0.2">
      <c r="A363" s="47" t="s">
        <v>86</v>
      </c>
      <c r="B363" s="15" t="s">
        <v>208</v>
      </c>
      <c r="C363" s="14" t="s">
        <v>209</v>
      </c>
      <c r="D363" s="68" t="s">
        <v>117</v>
      </c>
      <c r="E363" s="68" t="s">
        <v>193</v>
      </c>
      <c r="F363" s="75"/>
      <c r="G363" s="75"/>
      <c r="H363" s="75"/>
      <c r="I363" s="75"/>
      <c r="J363" s="14" t="s">
        <v>91</v>
      </c>
      <c r="K363" s="14" t="s">
        <v>110</v>
      </c>
      <c r="L363" s="14" t="s">
        <v>103</v>
      </c>
      <c r="M363" s="17" t="s">
        <v>94</v>
      </c>
      <c r="N363" s="18" t="s">
        <v>111</v>
      </c>
      <c r="O363" s="14" t="s">
        <v>24</v>
      </c>
      <c r="P363" s="19">
        <v>42807.647222222222</v>
      </c>
      <c r="Q363" s="19">
        <v>42811.438888888886</v>
      </c>
      <c r="R363" s="14"/>
      <c r="S363" s="14" t="s">
        <v>139</v>
      </c>
      <c r="T363" s="14" t="s">
        <v>210</v>
      </c>
      <c r="U363" s="14" t="s">
        <v>117</v>
      </c>
      <c r="V363" s="14"/>
      <c r="W363" s="14">
        <v>0</v>
      </c>
      <c r="X363" s="14">
        <v>0</v>
      </c>
      <c r="Y363" s="14"/>
      <c r="Z363" s="14"/>
      <c r="AA363" s="14"/>
      <c r="AB363" s="14"/>
      <c r="AC363" s="14"/>
      <c r="AD363" s="14"/>
      <c r="AE363" s="14"/>
      <c r="AF363" s="14" t="s">
        <v>143</v>
      </c>
      <c r="AG363" s="14" t="s">
        <v>211</v>
      </c>
      <c r="AH363" s="14"/>
      <c r="AI363" s="14"/>
      <c r="AJ363" s="14"/>
      <c r="AK363" s="14"/>
      <c r="AL363" s="14"/>
      <c r="AM363" s="14"/>
      <c r="AN363" s="14" t="s">
        <v>193</v>
      </c>
      <c r="AO363" s="14"/>
      <c r="AP363" s="14" t="s">
        <v>146</v>
      </c>
      <c r="AQ363" s="14"/>
      <c r="AR363" s="78"/>
      <c r="AS363" s="78"/>
      <c r="AT363" s="78"/>
      <c r="AU363" s="78"/>
      <c r="AV363" s="22" t="e">
        <f>VLOOKUP(test1[[#This Row],[Assignee]],lookup[#All],2,FALSE)</f>
        <v>#N/A</v>
      </c>
      <c r="AW363" s="22">
        <f ca="1">IF(test1[[#This Row],[Status]]&lt;&gt;"Closed", TODAY()-INT(test1[[#This Row],[Created]]),INT(test1[[#This Row],[Resolved]])-INT(test1[[#This Row],[Created]]))</f>
        <v>21</v>
      </c>
    </row>
    <row r="364" spans="1:49" ht="142.5" x14ac:dyDescent="0.2">
      <c r="A364" s="47" t="s">
        <v>86</v>
      </c>
      <c r="B364" s="15" t="s">
        <v>199</v>
      </c>
      <c r="C364" s="14" t="s">
        <v>200</v>
      </c>
      <c r="D364" s="68" t="s">
        <v>96</v>
      </c>
      <c r="E364" s="68" t="s">
        <v>166</v>
      </c>
      <c r="F364" s="75"/>
      <c r="G364" s="75"/>
      <c r="H364" s="75"/>
      <c r="I364" s="75"/>
      <c r="J364" s="14" t="s">
        <v>91</v>
      </c>
      <c r="K364" s="14" t="s">
        <v>59</v>
      </c>
      <c r="L364" s="14" t="s">
        <v>167</v>
      </c>
      <c r="M364" s="14" t="s">
        <v>201</v>
      </c>
      <c r="N364" s="18" t="s">
        <v>202</v>
      </c>
      <c r="O364" s="14" t="s">
        <v>36</v>
      </c>
      <c r="P364" s="19">
        <v>42807.65347222222</v>
      </c>
      <c r="Q364" s="19">
        <v>42808.656944444447</v>
      </c>
      <c r="R364" s="19">
        <v>42808.656944444447</v>
      </c>
      <c r="S364" s="14" t="s">
        <v>203</v>
      </c>
      <c r="T364" s="14" t="s">
        <v>204</v>
      </c>
      <c r="U364" s="14" t="s">
        <v>96</v>
      </c>
      <c r="V364" s="14"/>
      <c r="W364" s="14">
        <v>0</v>
      </c>
      <c r="X364" s="14">
        <v>0</v>
      </c>
      <c r="Y364" s="14" t="s">
        <v>205</v>
      </c>
      <c r="Z364" s="14"/>
      <c r="AA364" s="14"/>
      <c r="AB364" s="14"/>
      <c r="AC364" s="14"/>
      <c r="AD364" s="14"/>
      <c r="AE364" s="14"/>
      <c r="AF364" s="14" t="s">
        <v>126</v>
      </c>
      <c r="AG364" s="14" t="s">
        <v>206</v>
      </c>
      <c r="AH364" s="14"/>
      <c r="AI364" s="14"/>
      <c r="AJ364" s="14"/>
      <c r="AK364" s="14"/>
      <c r="AL364" s="14"/>
      <c r="AM364" s="14"/>
      <c r="AN364" s="14"/>
      <c r="AO364" s="14" t="s">
        <v>207</v>
      </c>
      <c r="AP364" s="14" t="s">
        <v>146</v>
      </c>
      <c r="AQ364" s="14"/>
      <c r="AR364" s="78"/>
      <c r="AS364" s="78"/>
      <c r="AT364" s="78"/>
      <c r="AU364" s="78"/>
      <c r="AV364" s="22" t="e">
        <f>VLOOKUP(test1[[#This Row],[Assignee]],lookup[#All],2,FALSE)</f>
        <v>#N/A</v>
      </c>
      <c r="AW364" s="22">
        <f ca="1">IF(test1[[#This Row],[Status]]&lt;&gt;"Closed", TODAY()-INT(test1[[#This Row],[Created]]),INT(test1[[#This Row],[Resolved]])-INT(test1[[#This Row],[Created]]))</f>
        <v>21</v>
      </c>
    </row>
    <row r="365" spans="1:49" ht="270.75" x14ac:dyDescent="0.2">
      <c r="A365" s="47" t="s">
        <v>86</v>
      </c>
      <c r="B365" s="15" t="s">
        <v>195</v>
      </c>
      <c r="C365" s="14" t="s">
        <v>196</v>
      </c>
      <c r="D365" s="68" t="s">
        <v>117</v>
      </c>
      <c r="E365" s="68" t="s">
        <v>154</v>
      </c>
      <c r="F365" s="75"/>
      <c r="G365" s="75"/>
      <c r="H365" s="75"/>
      <c r="I365" s="75"/>
      <c r="J365" s="14" t="s">
        <v>91</v>
      </c>
      <c r="K365" s="14" t="s">
        <v>110</v>
      </c>
      <c r="L365" s="14" t="s">
        <v>93</v>
      </c>
      <c r="M365" s="17" t="s">
        <v>94</v>
      </c>
      <c r="N365" s="18" t="s">
        <v>111</v>
      </c>
      <c r="O365" s="14" t="s">
        <v>24</v>
      </c>
      <c r="P365" s="19">
        <v>42807.679166666669</v>
      </c>
      <c r="Q365" s="19">
        <v>42810.688194444447</v>
      </c>
      <c r="R365" s="14"/>
      <c r="S365" s="14" t="s">
        <v>139</v>
      </c>
      <c r="T365" s="14" t="s">
        <v>197</v>
      </c>
      <c r="U365" s="14" t="s">
        <v>117</v>
      </c>
      <c r="V365" s="14"/>
      <c r="W365" s="14">
        <v>0</v>
      </c>
      <c r="X365" s="14">
        <v>0</v>
      </c>
      <c r="Y365" s="14"/>
      <c r="Z365" s="14"/>
      <c r="AA365" s="14"/>
      <c r="AB365" s="14"/>
      <c r="AC365" s="14"/>
      <c r="AD365" s="14"/>
      <c r="AE365" s="14"/>
      <c r="AF365" s="14" t="s">
        <v>156</v>
      </c>
      <c r="AG365" s="14" t="s">
        <v>198</v>
      </c>
      <c r="AH365" s="14"/>
      <c r="AI365" s="14"/>
      <c r="AJ365" s="14"/>
      <c r="AK365" s="14"/>
      <c r="AL365" s="14"/>
      <c r="AM365" s="14"/>
      <c r="AN365" s="14" t="s">
        <v>158</v>
      </c>
      <c r="AO365" s="14"/>
      <c r="AP365" s="14"/>
      <c r="AQ365" s="14"/>
      <c r="AR365" s="78"/>
      <c r="AS365" s="78"/>
      <c r="AT365" s="78"/>
      <c r="AU365" s="78"/>
      <c r="AV365" s="22" t="e">
        <f>VLOOKUP(test1[[#This Row],[Assignee]],lookup[#All],2,FALSE)</f>
        <v>#N/A</v>
      </c>
      <c r="AW365" s="22">
        <f ca="1">IF(test1[[#This Row],[Status]]&lt;&gt;"Closed", TODAY()-INT(test1[[#This Row],[Created]]),INT(test1[[#This Row],[Resolved]])-INT(test1[[#This Row],[Created]]))</f>
        <v>21</v>
      </c>
    </row>
    <row r="366" spans="1:49" ht="285" x14ac:dyDescent="0.2">
      <c r="A366" s="47" t="s">
        <v>86</v>
      </c>
      <c r="B366" s="15" t="s">
        <v>191</v>
      </c>
      <c r="C366" s="14" t="s">
        <v>192</v>
      </c>
      <c r="D366" s="68" t="s">
        <v>117</v>
      </c>
      <c r="E366" s="68" t="s">
        <v>193</v>
      </c>
      <c r="F366" s="75"/>
      <c r="G366" s="75"/>
      <c r="H366" s="75"/>
      <c r="I366" s="75"/>
      <c r="J366" s="14" t="s">
        <v>91</v>
      </c>
      <c r="K366" s="14" t="s">
        <v>110</v>
      </c>
      <c r="L366" s="14" t="s">
        <v>167</v>
      </c>
      <c r="M366" s="17" t="s">
        <v>94</v>
      </c>
      <c r="N366" s="18" t="s">
        <v>111</v>
      </c>
      <c r="O366" s="14" t="s">
        <v>23</v>
      </c>
      <c r="P366" s="19">
        <v>42807.696527777778</v>
      </c>
      <c r="Q366" s="19">
        <v>42810.688888888886</v>
      </c>
      <c r="R366" s="14"/>
      <c r="S366" s="14" t="s">
        <v>139</v>
      </c>
      <c r="T366" s="14" t="s">
        <v>139</v>
      </c>
      <c r="U366" s="14" t="s">
        <v>117</v>
      </c>
      <c r="V366" s="14"/>
      <c r="W366" s="14">
        <v>0</v>
      </c>
      <c r="X366" s="14">
        <v>0</v>
      </c>
      <c r="Y366" s="14"/>
      <c r="Z366" s="14"/>
      <c r="AA366" s="14"/>
      <c r="AB366" s="14"/>
      <c r="AC366" s="14"/>
      <c r="AD366" s="14"/>
      <c r="AE366" s="14"/>
      <c r="AF366" s="14"/>
      <c r="AG366" s="14" t="s">
        <v>194</v>
      </c>
      <c r="AH366" s="14"/>
      <c r="AI366" s="14"/>
      <c r="AJ366" s="14"/>
      <c r="AK366" s="14"/>
      <c r="AL366" s="14"/>
      <c r="AM366" s="14"/>
      <c r="AN366" s="14" t="s">
        <v>193</v>
      </c>
      <c r="AO366" s="14"/>
      <c r="AP366" s="14"/>
      <c r="AQ366" s="14"/>
      <c r="AR366" s="78"/>
      <c r="AS366" s="78"/>
      <c r="AT366" s="78"/>
      <c r="AU366" s="78"/>
      <c r="AV366" s="22" t="e">
        <f>VLOOKUP(test1[[#This Row],[Assignee]],lookup[#All],2,FALSE)</f>
        <v>#N/A</v>
      </c>
      <c r="AW366" s="22">
        <f ca="1">IF(test1[[#This Row],[Status]]&lt;&gt;"Closed", TODAY()-INT(test1[[#This Row],[Created]]),INT(test1[[#This Row],[Resolved]])-INT(test1[[#This Row],[Created]]))</f>
        <v>21</v>
      </c>
    </row>
    <row r="367" spans="1:49" ht="299.25" x14ac:dyDescent="0.2">
      <c r="A367" s="47" t="s">
        <v>86</v>
      </c>
      <c r="B367" s="15" t="s">
        <v>150</v>
      </c>
      <c r="C367" s="14" t="s">
        <v>186</v>
      </c>
      <c r="D367" s="68" t="s">
        <v>89</v>
      </c>
      <c r="E367" s="68" t="s">
        <v>149</v>
      </c>
      <c r="F367" s="75"/>
      <c r="G367" s="75"/>
      <c r="H367" s="75"/>
      <c r="I367" s="75"/>
      <c r="J367" s="14" t="s">
        <v>91</v>
      </c>
      <c r="K367" s="14" t="s">
        <v>92</v>
      </c>
      <c r="L367" s="14" t="s">
        <v>124</v>
      </c>
      <c r="M367" s="17" t="s">
        <v>94</v>
      </c>
      <c r="N367" s="18" t="s">
        <v>187</v>
      </c>
      <c r="O367" s="14" t="s">
        <v>36</v>
      </c>
      <c r="P367" s="19">
        <v>42807.761805555558</v>
      </c>
      <c r="Q367" s="19">
        <v>42809.429166666669</v>
      </c>
      <c r="R367" s="14"/>
      <c r="S367" s="14" t="s">
        <v>104</v>
      </c>
      <c r="T367" s="14"/>
      <c r="U367" s="14" t="s">
        <v>89</v>
      </c>
      <c r="V367" s="14"/>
      <c r="W367" s="14">
        <v>0</v>
      </c>
      <c r="X367" s="14">
        <v>0</v>
      </c>
      <c r="Y367" s="14" t="s">
        <v>188</v>
      </c>
      <c r="Z367" s="14"/>
      <c r="AA367" s="14"/>
      <c r="AB367" s="14"/>
      <c r="AC367" s="14"/>
      <c r="AD367" s="14"/>
      <c r="AE367" s="14" t="s">
        <v>189</v>
      </c>
      <c r="AF367" s="14" t="s">
        <v>126</v>
      </c>
      <c r="AG367" s="14" t="s">
        <v>190</v>
      </c>
      <c r="AH367" s="14"/>
      <c r="AI367" s="14"/>
      <c r="AJ367" s="14"/>
      <c r="AK367" s="14"/>
      <c r="AL367" s="14"/>
      <c r="AM367" s="14"/>
      <c r="AN367" s="14"/>
      <c r="AO367" s="14"/>
      <c r="AP367" s="14"/>
      <c r="AQ367" s="14"/>
      <c r="AR367" s="78"/>
      <c r="AS367" s="78"/>
      <c r="AT367" s="78"/>
      <c r="AU367" s="78"/>
      <c r="AV367" s="22" t="e">
        <f>VLOOKUP(test1[[#This Row],[Assignee]],lookup[#All],2,FALSE)</f>
        <v>#N/A</v>
      </c>
      <c r="AW367" s="22">
        <f ca="1">IF(test1[[#This Row],[Status]]&lt;&gt;"Closed", TODAY()-INT(test1[[#This Row],[Created]]),INT(test1[[#This Row],[Resolved]])-INT(test1[[#This Row],[Created]]))</f>
        <v>21</v>
      </c>
    </row>
    <row r="368" spans="1:49" ht="409.5" x14ac:dyDescent="0.2">
      <c r="A368" s="47" t="s">
        <v>86</v>
      </c>
      <c r="B368" s="15" t="s">
        <v>183</v>
      </c>
      <c r="C368" s="14" t="s">
        <v>184</v>
      </c>
      <c r="D368" s="68" t="s">
        <v>117</v>
      </c>
      <c r="E368" s="68" t="s">
        <v>123</v>
      </c>
      <c r="F368" s="75"/>
      <c r="G368" s="75"/>
      <c r="H368" s="75"/>
      <c r="I368" s="75"/>
      <c r="J368" s="14" t="s">
        <v>91</v>
      </c>
      <c r="K368" s="14" t="s">
        <v>110</v>
      </c>
      <c r="L368" s="14" t="s">
        <v>93</v>
      </c>
      <c r="M368" s="17" t="s">
        <v>94</v>
      </c>
      <c r="N368" s="18" t="s">
        <v>111</v>
      </c>
      <c r="O368" s="14" t="s">
        <v>24</v>
      </c>
      <c r="P368" s="19">
        <v>42807.765277777777</v>
      </c>
      <c r="Q368" s="19">
        <v>42811.436805555553</v>
      </c>
      <c r="R368" s="14"/>
      <c r="S368" s="14" t="s">
        <v>139</v>
      </c>
      <c r="T368" s="14" t="s">
        <v>139</v>
      </c>
      <c r="U368" s="14" t="s">
        <v>117</v>
      </c>
      <c r="V368" s="14"/>
      <c r="W368" s="14">
        <v>0</v>
      </c>
      <c r="X368" s="14">
        <v>0</v>
      </c>
      <c r="Y368" s="14"/>
      <c r="Z368" s="14"/>
      <c r="AA368" s="14"/>
      <c r="AB368" s="14"/>
      <c r="AC368" s="14"/>
      <c r="AD368" s="14"/>
      <c r="AE368" s="14"/>
      <c r="AF368" s="14" t="s">
        <v>156</v>
      </c>
      <c r="AG368" s="14" t="s">
        <v>185</v>
      </c>
      <c r="AH368" s="14"/>
      <c r="AI368" s="14"/>
      <c r="AJ368" s="14"/>
      <c r="AK368" s="14"/>
      <c r="AL368" s="14"/>
      <c r="AM368" s="14"/>
      <c r="AN368" s="14" t="s">
        <v>123</v>
      </c>
      <c r="AO368" s="14"/>
      <c r="AP368" s="14" t="s">
        <v>146</v>
      </c>
      <c r="AQ368" s="14"/>
      <c r="AR368" s="78"/>
      <c r="AS368" s="78"/>
      <c r="AT368" s="78"/>
      <c r="AU368" s="78"/>
      <c r="AV368" s="22" t="e">
        <f>VLOOKUP(test1[[#This Row],[Assignee]],lookup[#All],2,FALSE)</f>
        <v>#N/A</v>
      </c>
      <c r="AW368" s="22">
        <f ca="1">IF(test1[[#This Row],[Status]]&lt;&gt;"Closed", TODAY()-INT(test1[[#This Row],[Created]]),INT(test1[[#This Row],[Resolved]])-INT(test1[[#This Row],[Created]]))</f>
        <v>21</v>
      </c>
    </row>
    <row r="369" spans="1:49" ht="171" x14ac:dyDescent="0.2">
      <c r="A369" s="47" t="s">
        <v>86</v>
      </c>
      <c r="B369" s="15" t="s">
        <v>179</v>
      </c>
      <c r="C369" s="14" t="s">
        <v>180</v>
      </c>
      <c r="D369" s="68" t="s">
        <v>89</v>
      </c>
      <c r="E369" s="68" t="s">
        <v>149</v>
      </c>
      <c r="F369" s="75"/>
      <c r="G369" s="75"/>
      <c r="H369" s="75"/>
      <c r="I369" s="75"/>
      <c r="J369" s="14" t="s">
        <v>91</v>
      </c>
      <c r="K369" s="14" t="s">
        <v>92</v>
      </c>
      <c r="L369" s="14" t="s">
        <v>93</v>
      </c>
      <c r="M369" s="17" t="s">
        <v>94</v>
      </c>
      <c r="N369" s="18" t="s">
        <v>29</v>
      </c>
      <c r="O369" s="14" t="s">
        <v>36</v>
      </c>
      <c r="P369" s="19">
        <v>42808.642361111109</v>
      </c>
      <c r="Q369" s="19">
        <v>42809.458333333336</v>
      </c>
      <c r="R369" s="14"/>
      <c r="S369" s="14" t="s">
        <v>104</v>
      </c>
      <c r="T369" s="14"/>
      <c r="U369" s="14" t="s">
        <v>89</v>
      </c>
      <c r="V369" s="14"/>
      <c r="W369" s="14">
        <v>0</v>
      </c>
      <c r="X369" s="14">
        <v>0</v>
      </c>
      <c r="Y369" s="14" t="s">
        <v>181</v>
      </c>
      <c r="Z369" s="14"/>
      <c r="AA369" s="14"/>
      <c r="AB369" s="14"/>
      <c r="AC369" s="14"/>
      <c r="AD369" s="14"/>
      <c r="AE369" s="14" t="s">
        <v>150</v>
      </c>
      <c r="AF369" s="14" t="s">
        <v>126</v>
      </c>
      <c r="AG369" s="14" t="s">
        <v>182</v>
      </c>
      <c r="AH369" s="14"/>
      <c r="AI369" s="14"/>
      <c r="AJ369" s="14"/>
      <c r="AK369" s="14"/>
      <c r="AL369" s="14"/>
      <c r="AM369" s="14"/>
      <c r="AN369" s="14" t="s">
        <v>149</v>
      </c>
      <c r="AO369" s="14"/>
      <c r="AP369" s="14"/>
      <c r="AQ369" s="14"/>
      <c r="AR369" s="78"/>
      <c r="AS369" s="78"/>
      <c r="AT369" s="78"/>
      <c r="AU369" s="78"/>
      <c r="AV369" s="22" t="str">
        <f>VLOOKUP(test1[[#This Row],[Assignee]],lookup[#All],2,FALSE)</f>
        <v>BTS-Platform</v>
      </c>
      <c r="AW369" s="22">
        <f ca="1">IF(test1[[#This Row],[Status]]&lt;&gt;"Closed", TODAY()-INT(test1[[#This Row],[Created]]),INT(test1[[#This Row],[Resolved]])-INT(test1[[#This Row],[Created]]))</f>
        <v>20</v>
      </c>
    </row>
    <row r="370" spans="1:49" ht="256.5" x14ac:dyDescent="0.2">
      <c r="A370" s="47" t="s">
        <v>86</v>
      </c>
      <c r="B370" s="15" t="s">
        <v>171</v>
      </c>
      <c r="C370" s="14" t="s">
        <v>172</v>
      </c>
      <c r="D370" s="68" t="s">
        <v>117</v>
      </c>
      <c r="E370" s="68" t="s">
        <v>173</v>
      </c>
      <c r="F370" s="75"/>
      <c r="G370" s="75"/>
      <c r="H370" s="75"/>
      <c r="I370" s="75"/>
      <c r="J370" s="14" t="s">
        <v>91</v>
      </c>
      <c r="K370" s="14" t="s">
        <v>174</v>
      </c>
      <c r="L370" s="14" t="s">
        <v>124</v>
      </c>
      <c r="M370" s="17" t="s">
        <v>94</v>
      </c>
      <c r="N370" s="18" t="s">
        <v>23</v>
      </c>
      <c r="O370" s="14" t="s">
        <v>23</v>
      </c>
      <c r="P370" s="19">
        <v>42808.65347222222</v>
      </c>
      <c r="Q370" s="19">
        <v>42810.738888888889</v>
      </c>
      <c r="R370" s="14"/>
      <c r="S370" s="14" t="s">
        <v>104</v>
      </c>
      <c r="T370" s="14" t="s">
        <v>104</v>
      </c>
      <c r="U370" s="14" t="s">
        <v>117</v>
      </c>
      <c r="V370" s="14"/>
      <c r="W370" s="14">
        <v>0</v>
      </c>
      <c r="X370" s="14">
        <v>0</v>
      </c>
      <c r="Y370" s="20" t="s">
        <v>175</v>
      </c>
      <c r="Z370" s="14"/>
      <c r="AA370" s="14"/>
      <c r="AB370" s="14"/>
      <c r="AC370" s="14"/>
      <c r="AD370" s="14"/>
      <c r="AE370" s="14"/>
      <c r="AF370" s="14" t="s">
        <v>176</v>
      </c>
      <c r="AG370" s="14" t="s">
        <v>177</v>
      </c>
      <c r="AH370" s="14"/>
      <c r="AI370" s="14"/>
      <c r="AJ370" s="14"/>
      <c r="AK370" s="14"/>
      <c r="AL370" s="14"/>
      <c r="AM370" s="14"/>
      <c r="AN370" s="14" t="s">
        <v>173</v>
      </c>
      <c r="AO370" s="14" t="s">
        <v>178</v>
      </c>
      <c r="AP370" s="14"/>
      <c r="AQ370" s="14"/>
      <c r="AR370" s="78"/>
      <c r="AS370" s="78"/>
      <c r="AT370" s="78"/>
      <c r="AU370" s="78"/>
      <c r="AV370" s="22" t="str">
        <f>VLOOKUP(test1[[#This Row],[Assignee]],lookup[#All],2,FALSE)</f>
        <v>Test-SIT</v>
      </c>
      <c r="AW370" s="22">
        <f ca="1">IF(test1[[#This Row],[Status]]&lt;&gt;"Closed", TODAY()-INT(test1[[#This Row],[Created]]),INT(test1[[#This Row],[Resolved]])-INT(test1[[#This Row],[Created]]))</f>
        <v>20</v>
      </c>
    </row>
    <row r="371" spans="1:49" ht="99.75" x14ac:dyDescent="0.2">
      <c r="A371" s="47" t="s">
        <v>86</v>
      </c>
      <c r="B371" s="15" t="s">
        <v>164</v>
      </c>
      <c r="C371" s="14" t="s">
        <v>165</v>
      </c>
      <c r="D371" s="68" t="s">
        <v>96</v>
      </c>
      <c r="E371" s="68" t="s">
        <v>166</v>
      </c>
      <c r="F371" s="75"/>
      <c r="G371" s="75"/>
      <c r="H371" s="75"/>
      <c r="I371" s="75"/>
      <c r="J371" s="14" t="s">
        <v>91</v>
      </c>
      <c r="K371" s="14" t="s">
        <v>59</v>
      </c>
      <c r="L371" s="14" t="s">
        <v>167</v>
      </c>
      <c r="M371" s="14" t="s">
        <v>132</v>
      </c>
      <c r="N371" s="18" t="s">
        <v>36</v>
      </c>
      <c r="O371" s="14" t="s">
        <v>36</v>
      </c>
      <c r="P371" s="19">
        <v>42808.661111111112</v>
      </c>
      <c r="Q371" s="19">
        <v>42809.45</v>
      </c>
      <c r="R371" s="19">
        <v>42809.45</v>
      </c>
      <c r="S371" s="14" t="s">
        <v>104</v>
      </c>
      <c r="T371" s="14"/>
      <c r="U371" s="14" t="s">
        <v>96</v>
      </c>
      <c r="V371" s="14"/>
      <c r="W371" s="14">
        <v>0</v>
      </c>
      <c r="X371" s="14">
        <v>0</v>
      </c>
      <c r="Y371" s="20" t="s">
        <v>168</v>
      </c>
      <c r="Z371" s="14"/>
      <c r="AA371" s="14"/>
      <c r="AB371" s="14"/>
      <c r="AC371" s="14"/>
      <c r="AD371" s="14"/>
      <c r="AE371" s="14"/>
      <c r="AF371" s="14" t="s">
        <v>126</v>
      </c>
      <c r="AG371" s="14" t="s">
        <v>169</v>
      </c>
      <c r="AH371" s="14"/>
      <c r="AI371" s="14"/>
      <c r="AJ371" s="14"/>
      <c r="AK371" s="14"/>
      <c r="AL371" s="14"/>
      <c r="AM371" s="14"/>
      <c r="AN371" s="14"/>
      <c r="AO371" s="14" t="s">
        <v>170</v>
      </c>
      <c r="AP371" s="14"/>
      <c r="AQ371" s="14"/>
      <c r="AR371" s="78"/>
      <c r="AS371" s="78"/>
      <c r="AT371" s="78"/>
      <c r="AU371" s="78"/>
      <c r="AV371" s="22" t="str">
        <f>VLOOKUP(test1[[#This Row],[Assignee]],lookup[#All],2,FALSE)</f>
        <v>DMO</v>
      </c>
      <c r="AW371" s="22">
        <f ca="1">IF(test1[[#This Row],[Status]]&lt;&gt;"Closed", TODAY()-INT(test1[[#This Row],[Created]]),INT(test1[[#This Row],[Resolved]])-INT(test1[[#This Row],[Created]]))</f>
        <v>20</v>
      </c>
    </row>
    <row r="372" spans="1:49" ht="313.5" x14ac:dyDescent="0.2">
      <c r="A372" s="47" t="s">
        <v>86</v>
      </c>
      <c r="B372" s="15" t="s">
        <v>159</v>
      </c>
      <c r="C372" s="14" t="s">
        <v>160</v>
      </c>
      <c r="D372" s="68" t="s">
        <v>89</v>
      </c>
      <c r="E372" s="68" t="s">
        <v>149</v>
      </c>
      <c r="F372" s="75"/>
      <c r="G372" s="75"/>
      <c r="H372" s="75"/>
      <c r="I372" s="75"/>
      <c r="J372" s="14" t="s">
        <v>91</v>
      </c>
      <c r="K372" s="14" t="s">
        <v>92</v>
      </c>
      <c r="L372" s="14" t="s">
        <v>124</v>
      </c>
      <c r="M372" s="17" t="s">
        <v>94</v>
      </c>
      <c r="N372" s="18" t="s">
        <v>29</v>
      </c>
      <c r="O372" s="14" t="s">
        <v>37</v>
      </c>
      <c r="P372" s="19">
        <v>42808.665972222225</v>
      </c>
      <c r="Q372" s="19">
        <v>42809.455555555556</v>
      </c>
      <c r="R372" s="14"/>
      <c r="S372" s="14" t="s">
        <v>104</v>
      </c>
      <c r="T372" s="14"/>
      <c r="U372" s="14" t="s">
        <v>89</v>
      </c>
      <c r="V372" s="14"/>
      <c r="W372" s="14">
        <v>0</v>
      </c>
      <c r="X372" s="14">
        <v>0</v>
      </c>
      <c r="Y372" s="14"/>
      <c r="Z372" s="14"/>
      <c r="AA372" s="14"/>
      <c r="AB372" s="14"/>
      <c r="AC372" s="14"/>
      <c r="AD372" s="14"/>
      <c r="AE372" s="14" t="s">
        <v>150</v>
      </c>
      <c r="AF372" s="14" t="s">
        <v>161</v>
      </c>
      <c r="AG372" s="14" t="s">
        <v>162</v>
      </c>
      <c r="AH372" s="14"/>
      <c r="AI372" s="14"/>
      <c r="AJ372" s="14"/>
      <c r="AK372" s="14"/>
      <c r="AL372" s="14"/>
      <c r="AM372" s="14"/>
      <c r="AN372" s="14" t="s">
        <v>149</v>
      </c>
      <c r="AO372" s="14"/>
      <c r="AP372" s="14" t="s">
        <v>163</v>
      </c>
      <c r="AQ372" s="14"/>
      <c r="AR372" s="78"/>
      <c r="AS372" s="78"/>
      <c r="AT372" s="78"/>
      <c r="AU372" s="78"/>
      <c r="AV372" s="22" t="str">
        <f>VLOOKUP(test1[[#This Row],[Assignee]],lookup[#All],2,FALSE)</f>
        <v>BTS-Platform</v>
      </c>
      <c r="AW372" s="22">
        <f ca="1">IF(test1[[#This Row],[Status]]&lt;&gt;"Closed", TODAY()-INT(test1[[#This Row],[Created]]),INT(test1[[#This Row],[Resolved]])-INT(test1[[#This Row],[Created]]))</f>
        <v>20</v>
      </c>
    </row>
    <row r="373" spans="1:49" ht="299.25" x14ac:dyDescent="0.2">
      <c r="A373" s="47" t="s">
        <v>86</v>
      </c>
      <c r="B373" s="15" t="s">
        <v>152</v>
      </c>
      <c r="C373" s="14" t="s">
        <v>153</v>
      </c>
      <c r="D373" s="68" t="s">
        <v>117</v>
      </c>
      <c r="E373" s="68" t="s">
        <v>154</v>
      </c>
      <c r="F373" s="75"/>
      <c r="G373" s="75"/>
      <c r="H373" s="75"/>
      <c r="I373" s="75"/>
      <c r="J373" s="14" t="s">
        <v>91</v>
      </c>
      <c r="K373" s="14" t="s">
        <v>92</v>
      </c>
      <c r="L373" s="14" t="s">
        <v>103</v>
      </c>
      <c r="M373" s="17" t="s">
        <v>94</v>
      </c>
      <c r="N373" s="18" t="s">
        <v>18</v>
      </c>
      <c r="O373" s="14" t="s">
        <v>24</v>
      </c>
      <c r="P373" s="19">
        <v>42808.669444444444</v>
      </c>
      <c r="Q373" s="19">
        <v>42811.797222222223</v>
      </c>
      <c r="R373" s="14"/>
      <c r="S373" s="14" t="s">
        <v>139</v>
      </c>
      <c r="T373" s="14" t="s">
        <v>155</v>
      </c>
      <c r="U373" s="14" t="s">
        <v>117</v>
      </c>
      <c r="V373" s="14"/>
      <c r="W373" s="14">
        <v>0</v>
      </c>
      <c r="X373" s="14">
        <v>0</v>
      </c>
      <c r="Y373" s="14"/>
      <c r="Z373" s="14"/>
      <c r="AA373" s="14"/>
      <c r="AB373" s="14"/>
      <c r="AC373" s="14"/>
      <c r="AD373" s="14"/>
      <c r="AE373" s="14"/>
      <c r="AF373" s="14" t="s">
        <v>156</v>
      </c>
      <c r="AG373" s="14" t="s">
        <v>157</v>
      </c>
      <c r="AH373" s="14"/>
      <c r="AI373" s="14"/>
      <c r="AJ373" s="14"/>
      <c r="AK373" s="14"/>
      <c r="AL373" s="14"/>
      <c r="AM373" s="14"/>
      <c r="AN373" s="14" t="s">
        <v>158</v>
      </c>
      <c r="AO373" s="14"/>
      <c r="AP373" s="14" t="s">
        <v>146</v>
      </c>
      <c r="AQ373" s="14"/>
      <c r="AR373" s="78"/>
      <c r="AS373" s="78"/>
      <c r="AT373" s="78"/>
      <c r="AU373" s="78"/>
      <c r="AV373" s="22" t="str">
        <f>VLOOKUP(test1[[#This Row],[Assignee]],lookup[#All],2,FALSE)</f>
        <v>TD-Dev</v>
      </c>
      <c r="AW373" s="22">
        <f ca="1">IF(test1[[#This Row],[Status]]&lt;&gt;"Closed", TODAY()-INT(test1[[#This Row],[Created]]),INT(test1[[#This Row],[Resolved]])-INT(test1[[#This Row],[Created]]))</f>
        <v>20</v>
      </c>
    </row>
    <row r="374" spans="1:49" ht="409.5" x14ac:dyDescent="0.2">
      <c r="A374" s="47" t="s">
        <v>86</v>
      </c>
      <c r="B374" s="15" t="s">
        <v>147</v>
      </c>
      <c r="C374" s="14" t="s">
        <v>148</v>
      </c>
      <c r="D374" s="68" t="s">
        <v>89</v>
      </c>
      <c r="E374" s="68" t="s">
        <v>149</v>
      </c>
      <c r="F374" s="75"/>
      <c r="G374" s="75"/>
      <c r="H374" s="75"/>
      <c r="I374" s="75"/>
      <c r="J374" s="14" t="s">
        <v>91</v>
      </c>
      <c r="K374" s="14" t="s">
        <v>92</v>
      </c>
      <c r="L374" s="14" t="s">
        <v>124</v>
      </c>
      <c r="M374" s="17" t="s">
        <v>94</v>
      </c>
      <c r="N374" s="18" t="s">
        <v>29</v>
      </c>
      <c r="O374" s="14" t="s">
        <v>37</v>
      </c>
      <c r="P374" s="19">
        <v>42808.709027777775</v>
      </c>
      <c r="Q374" s="19">
        <v>42809.455555555556</v>
      </c>
      <c r="R374" s="14"/>
      <c r="S374" s="14" t="s">
        <v>104</v>
      </c>
      <c r="T374" s="14"/>
      <c r="U374" s="14" t="s">
        <v>89</v>
      </c>
      <c r="V374" s="14"/>
      <c r="W374" s="14">
        <v>0</v>
      </c>
      <c r="X374" s="14">
        <v>0</v>
      </c>
      <c r="Y374" s="14"/>
      <c r="Z374" s="14"/>
      <c r="AA374" s="14"/>
      <c r="AB374" s="14"/>
      <c r="AC374" s="14"/>
      <c r="AD374" s="14"/>
      <c r="AE374" s="14" t="s">
        <v>150</v>
      </c>
      <c r="AF374" s="14"/>
      <c r="AG374" s="14" t="s">
        <v>151</v>
      </c>
      <c r="AH374" s="14"/>
      <c r="AI374" s="14"/>
      <c r="AJ374" s="14"/>
      <c r="AK374" s="14"/>
      <c r="AL374" s="14"/>
      <c r="AM374" s="14"/>
      <c r="AN374" s="14" t="s">
        <v>149</v>
      </c>
      <c r="AO374" s="14"/>
      <c r="AP374" s="14"/>
      <c r="AQ374" s="14"/>
      <c r="AR374" s="78"/>
      <c r="AS374" s="78"/>
      <c r="AT374" s="78"/>
      <c r="AU374" s="78"/>
      <c r="AV374" s="22" t="str">
        <f>VLOOKUP(test1[[#This Row],[Assignee]],lookup[#All],2,FALSE)</f>
        <v>BTS-Platform</v>
      </c>
      <c r="AW374" s="22">
        <f ca="1">IF(test1[[#This Row],[Status]]&lt;&gt;"Closed", TODAY()-INT(test1[[#This Row],[Created]]),INT(test1[[#This Row],[Resolved]])-INT(test1[[#This Row],[Created]]))</f>
        <v>20</v>
      </c>
    </row>
    <row r="375" spans="1:49" ht="409.5" x14ac:dyDescent="0.2">
      <c r="A375" s="47" t="s">
        <v>86</v>
      </c>
      <c r="B375" s="15" t="s">
        <v>136</v>
      </c>
      <c r="C375" s="14" t="s">
        <v>137</v>
      </c>
      <c r="D375" s="68" t="s">
        <v>117</v>
      </c>
      <c r="E375" s="68" t="s">
        <v>138</v>
      </c>
      <c r="F375" s="75"/>
      <c r="G375" s="75"/>
      <c r="H375" s="75"/>
      <c r="I375" s="75"/>
      <c r="J375" s="14" t="s">
        <v>91</v>
      </c>
      <c r="K375" s="14" t="s">
        <v>110</v>
      </c>
      <c r="L375" s="14" t="s">
        <v>93</v>
      </c>
      <c r="M375" s="17" t="s">
        <v>94</v>
      </c>
      <c r="N375" s="18" t="s">
        <v>111</v>
      </c>
      <c r="O375" s="14" t="s">
        <v>24</v>
      </c>
      <c r="P375" s="19">
        <v>42808.731249999997</v>
      </c>
      <c r="Q375" s="19">
        <v>42811.468055555553</v>
      </c>
      <c r="R375" s="14"/>
      <c r="S375" s="14" t="s">
        <v>139</v>
      </c>
      <c r="T375" s="14" t="s">
        <v>140</v>
      </c>
      <c r="U375" s="14" t="s">
        <v>117</v>
      </c>
      <c r="V375" s="14"/>
      <c r="W375" s="14">
        <v>0</v>
      </c>
      <c r="X375" s="14">
        <v>0</v>
      </c>
      <c r="Y375" s="14" t="s">
        <v>141</v>
      </c>
      <c r="Z375" s="14"/>
      <c r="AA375" s="14"/>
      <c r="AB375" s="14"/>
      <c r="AC375" s="14"/>
      <c r="AD375" s="14"/>
      <c r="AE375" s="14" t="s">
        <v>142</v>
      </c>
      <c r="AF375" s="14" t="s">
        <v>143</v>
      </c>
      <c r="AG375" s="14" t="s">
        <v>144</v>
      </c>
      <c r="AH375" s="14"/>
      <c r="AI375" s="14"/>
      <c r="AJ375" s="14"/>
      <c r="AK375" s="14"/>
      <c r="AL375" s="14"/>
      <c r="AM375" s="14"/>
      <c r="AN375" s="14" t="s">
        <v>145</v>
      </c>
      <c r="AO375" s="14"/>
      <c r="AP375" s="14" t="s">
        <v>146</v>
      </c>
      <c r="AQ375" s="14"/>
      <c r="AR375" s="78"/>
      <c r="AS375" s="78"/>
      <c r="AT375" s="78"/>
      <c r="AU375" s="78"/>
      <c r="AV375" s="22" t="e">
        <f>VLOOKUP(test1[[#This Row],[Assignee]],lookup[#All],2,FALSE)</f>
        <v>#N/A</v>
      </c>
      <c r="AW375" s="22">
        <f ca="1">IF(test1[[#This Row],[Status]]&lt;&gt;"Closed", TODAY()-INT(test1[[#This Row],[Created]]),INT(test1[[#This Row],[Resolved]])-INT(test1[[#This Row],[Created]]))</f>
        <v>20</v>
      </c>
    </row>
    <row r="376" spans="1:49" ht="57" x14ac:dyDescent="0.2">
      <c r="A376" s="47" t="s">
        <v>86</v>
      </c>
      <c r="B376" s="15" t="s">
        <v>128</v>
      </c>
      <c r="C376" s="14" t="s">
        <v>129</v>
      </c>
      <c r="D376" s="68" t="s">
        <v>130</v>
      </c>
      <c r="E376" s="68" t="s">
        <v>131</v>
      </c>
      <c r="F376" s="75"/>
      <c r="G376" s="75"/>
      <c r="H376" s="75"/>
      <c r="I376" s="75"/>
      <c r="J376" s="14" t="s">
        <v>91</v>
      </c>
      <c r="K376" s="14" t="s">
        <v>59</v>
      </c>
      <c r="L376" s="14" t="s">
        <v>124</v>
      </c>
      <c r="M376" s="14" t="s">
        <v>132</v>
      </c>
      <c r="N376" s="18" t="s">
        <v>36</v>
      </c>
      <c r="O376" s="14" t="s">
        <v>36</v>
      </c>
      <c r="P376" s="19">
        <v>42808.73333333333</v>
      </c>
      <c r="Q376" s="19">
        <v>42809.443749999999</v>
      </c>
      <c r="R376" s="19">
        <v>42809.443749999999</v>
      </c>
      <c r="S376" s="14" t="s">
        <v>104</v>
      </c>
      <c r="T376" s="14"/>
      <c r="U376" s="14" t="s">
        <v>96</v>
      </c>
      <c r="V376" s="14"/>
      <c r="W376" s="14">
        <v>0</v>
      </c>
      <c r="X376" s="14">
        <v>0</v>
      </c>
      <c r="Y376" s="20" t="s">
        <v>133</v>
      </c>
      <c r="Z376" s="14"/>
      <c r="AA376" s="14"/>
      <c r="AB376" s="14"/>
      <c r="AC376" s="14"/>
      <c r="AD376" s="14"/>
      <c r="AE376" s="14"/>
      <c r="AF376" s="14" t="s">
        <v>126</v>
      </c>
      <c r="AG376" s="14" t="s">
        <v>134</v>
      </c>
      <c r="AH376" s="14"/>
      <c r="AI376" s="14"/>
      <c r="AJ376" s="14"/>
      <c r="AK376" s="14"/>
      <c r="AL376" s="14"/>
      <c r="AM376" s="14"/>
      <c r="AN376" s="14"/>
      <c r="AO376" s="14" t="s">
        <v>135</v>
      </c>
      <c r="AP376" s="14"/>
      <c r="AQ376" s="14"/>
      <c r="AR376" s="78"/>
      <c r="AS376" s="78"/>
      <c r="AT376" s="78"/>
      <c r="AU376" s="78"/>
      <c r="AV376" s="22" t="str">
        <f>VLOOKUP(test1[[#This Row],[Assignee]],lookup[#All],2,FALSE)</f>
        <v>DMO</v>
      </c>
      <c r="AW376" s="22">
        <f ca="1">IF(test1[[#This Row],[Status]]&lt;&gt;"Closed", TODAY()-INT(test1[[#This Row],[Created]]),INT(test1[[#This Row],[Resolved]])-INT(test1[[#This Row],[Created]]))</f>
        <v>20</v>
      </c>
    </row>
    <row r="377" spans="1:49" ht="171" x14ac:dyDescent="0.2">
      <c r="A377" s="47" t="s">
        <v>86</v>
      </c>
      <c r="B377" s="15" t="s">
        <v>121</v>
      </c>
      <c r="C377" s="14" t="s">
        <v>122</v>
      </c>
      <c r="D377" s="68" t="s">
        <v>96</v>
      </c>
      <c r="E377" s="68" t="s">
        <v>123</v>
      </c>
      <c r="F377" s="75"/>
      <c r="G377" s="75"/>
      <c r="H377" s="75"/>
      <c r="I377" s="75"/>
      <c r="J377" s="14" t="s">
        <v>91</v>
      </c>
      <c r="K377" s="14" t="s">
        <v>110</v>
      </c>
      <c r="L377" s="14" t="s">
        <v>124</v>
      </c>
      <c r="M377" s="17" t="s">
        <v>94</v>
      </c>
      <c r="N377" s="18" t="s">
        <v>111</v>
      </c>
      <c r="O377" s="14" t="s">
        <v>36</v>
      </c>
      <c r="P377" s="19">
        <v>42809.705555555556</v>
      </c>
      <c r="Q377" s="19">
        <v>42811.784722222219</v>
      </c>
      <c r="R377" s="14"/>
      <c r="S377" s="14" t="s">
        <v>104</v>
      </c>
      <c r="T377" s="14"/>
      <c r="U377" s="14" t="s">
        <v>96</v>
      </c>
      <c r="V377" s="14"/>
      <c r="W377" s="14">
        <v>0</v>
      </c>
      <c r="X377" s="14">
        <v>0</v>
      </c>
      <c r="Y377" s="14" t="s">
        <v>125</v>
      </c>
      <c r="Z377" s="14"/>
      <c r="AA377" s="14"/>
      <c r="AB377" s="14"/>
      <c r="AC377" s="14"/>
      <c r="AD377" s="14"/>
      <c r="AE377" s="14"/>
      <c r="AF377" s="14" t="s">
        <v>126</v>
      </c>
      <c r="AG377" s="14" t="s">
        <v>127</v>
      </c>
      <c r="AH377" s="14"/>
      <c r="AI377" s="14"/>
      <c r="AJ377" s="14"/>
      <c r="AK377" s="14"/>
      <c r="AL377" s="14"/>
      <c r="AM377" s="14"/>
      <c r="AN377" s="14"/>
      <c r="AO377" s="14"/>
      <c r="AP377" s="14"/>
      <c r="AQ377" s="14"/>
      <c r="AR377" s="78"/>
      <c r="AS377" s="78"/>
      <c r="AT377" s="78"/>
      <c r="AU377" s="78"/>
      <c r="AV377" s="22" t="e">
        <f>VLOOKUP(test1[[#This Row],[Assignee]],lookup[#All],2,FALSE)</f>
        <v>#N/A</v>
      </c>
      <c r="AW377" s="22">
        <f ca="1">IF(test1[[#This Row],[Status]]&lt;&gt;"Closed", TODAY()-INT(test1[[#This Row],[Created]]),INT(test1[[#This Row],[Resolved]])-INT(test1[[#This Row],[Created]]))</f>
        <v>19</v>
      </c>
    </row>
    <row r="378" spans="1:49" ht="409.5" x14ac:dyDescent="0.2">
      <c r="A378" s="47" t="s">
        <v>86</v>
      </c>
      <c r="B378" s="15" t="s">
        <v>115</v>
      </c>
      <c r="C378" s="14" t="s">
        <v>116</v>
      </c>
      <c r="D378" s="67" t="s">
        <v>117</v>
      </c>
      <c r="E378" s="67" t="s">
        <v>118</v>
      </c>
      <c r="F378" s="73"/>
      <c r="G378" s="73"/>
      <c r="H378" s="73"/>
      <c r="I378" s="73"/>
      <c r="J378" s="14" t="s">
        <v>91</v>
      </c>
      <c r="K378" s="14" t="s">
        <v>92</v>
      </c>
      <c r="L378" s="14" t="s">
        <v>93</v>
      </c>
      <c r="M378" s="17" t="s">
        <v>94</v>
      </c>
      <c r="N378" s="18" t="s">
        <v>18</v>
      </c>
      <c r="O378" s="14" t="s">
        <v>23</v>
      </c>
      <c r="P378" s="19">
        <v>42810.74722222222</v>
      </c>
      <c r="Q378" s="19">
        <v>42811.78125</v>
      </c>
      <c r="R378" s="14"/>
      <c r="S378" s="14" t="s">
        <v>104</v>
      </c>
      <c r="T378" s="14" t="s">
        <v>104</v>
      </c>
      <c r="U378" s="14" t="s">
        <v>117</v>
      </c>
      <c r="V378" s="14"/>
      <c r="W378" s="14">
        <v>0</v>
      </c>
      <c r="X378" s="14">
        <v>0</v>
      </c>
      <c r="Y378" s="14"/>
      <c r="Z378" s="14"/>
      <c r="AA378" s="14"/>
      <c r="AB378" s="14"/>
      <c r="AC378" s="14"/>
      <c r="AD378" s="14"/>
      <c r="AE378" s="14"/>
      <c r="AF378" s="14"/>
      <c r="AG378" s="14" t="s">
        <v>119</v>
      </c>
      <c r="AH378" s="14"/>
      <c r="AI378" s="14"/>
      <c r="AJ378" s="14"/>
      <c r="AK378" s="14"/>
      <c r="AL378" s="14"/>
      <c r="AM378" s="14"/>
      <c r="AN378" s="14" t="s">
        <v>120</v>
      </c>
      <c r="AO378" s="14"/>
      <c r="AP378" s="14"/>
      <c r="AQ378" s="14"/>
      <c r="AR378" s="67"/>
      <c r="AS378" s="67"/>
      <c r="AT378" s="67"/>
      <c r="AU378" s="67"/>
      <c r="AV378" s="22" t="str">
        <f>VLOOKUP(test1[[#This Row],[Assignee]],lookup[#All],2,FALSE)</f>
        <v>TD-Dev</v>
      </c>
      <c r="AW378" s="22">
        <f ca="1">IF(test1[[#This Row],[Status]]&lt;&gt;"Closed", TODAY()-INT(test1[[#This Row],[Created]]),INT(test1[[#This Row],[Resolved]])-INT(test1[[#This Row],[Created]]))</f>
        <v>18</v>
      </c>
    </row>
    <row r="379" spans="1:49" ht="185.25" x14ac:dyDescent="0.2">
      <c r="A379" s="47" t="s">
        <v>86</v>
      </c>
      <c r="B379" s="15" t="s">
        <v>108</v>
      </c>
      <c r="C379" s="14" t="s">
        <v>109</v>
      </c>
      <c r="D379" s="67" t="s">
        <v>89</v>
      </c>
      <c r="E379" s="67" t="s">
        <v>90</v>
      </c>
      <c r="F379" s="73"/>
      <c r="G379" s="73"/>
      <c r="H379" s="73"/>
      <c r="I379" s="73"/>
      <c r="J379" s="14" t="s">
        <v>91</v>
      </c>
      <c r="K379" s="14" t="s">
        <v>110</v>
      </c>
      <c r="L379" s="14" t="s">
        <v>93</v>
      </c>
      <c r="M379" s="17" t="s">
        <v>94</v>
      </c>
      <c r="N379" s="18" t="s">
        <v>111</v>
      </c>
      <c r="O379" s="14" t="s">
        <v>30</v>
      </c>
      <c r="P379" s="19">
        <v>42811.436111111114</v>
      </c>
      <c r="Q379" s="19">
        <v>42811.788888888892</v>
      </c>
      <c r="R379" s="14"/>
      <c r="S379" s="14" t="s">
        <v>112</v>
      </c>
      <c r="T379" s="14"/>
      <c r="U379" s="14" t="s">
        <v>96</v>
      </c>
      <c r="V379" s="14"/>
      <c r="W379" s="14">
        <v>0</v>
      </c>
      <c r="X379" s="14">
        <v>0</v>
      </c>
      <c r="Y379" s="14"/>
      <c r="Z379" s="14"/>
      <c r="AA379" s="14"/>
      <c r="AB379" s="14"/>
      <c r="AC379" s="14"/>
      <c r="AD379" s="14"/>
      <c r="AE379" s="14"/>
      <c r="AF379" s="14" t="s">
        <v>90</v>
      </c>
      <c r="AG379" s="14" t="s">
        <v>113</v>
      </c>
      <c r="AH379" s="14"/>
      <c r="AI379" s="14"/>
      <c r="AJ379" s="14"/>
      <c r="AK379" s="14"/>
      <c r="AL379" s="14"/>
      <c r="AM379" s="14"/>
      <c r="AN379" s="14" t="s">
        <v>114</v>
      </c>
      <c r="AO379" s="14"/>
      <c r="AP379" s="14"/>
      <c r="AQ379" s="14"/>
      <c r="AR379" s="67"/>
      <c r="AS379" s="67"/>
      <c r="AT379" s="67"/>
      <c r="AU379" s="67"/>
      <c r="AV379" s="22" t="e">
        <f>VLOOKUP(test1[[#This Row],[Assignee]],lookup[#All],2,FALSE)</f>
        <v>#N/A</v>
      </c>
      <c r="AW379" s="22">
        <f ca="1">IF(test1[[#This Row],[Status]]&lt;&gt;"Closed", TODAY()-INT(test1[[#This Row],[Created]]),INT(test1[[#This Row],[Resolved]])-INT(test1[[#This Row],[Created]]))</f>
        <v>17</v>
      </c>
    </row>
    <row r="380" spans="1:49" ht="114" x14ac:dyDescent="0.2">
      <c r="A380" s="47" t="s">
        <v>86</v>
      </c>
      <c r="B380" s="15" t="s">
        <v>100</v>
      </c>
      <c r="C380" s="14" t="s">
        <v>101</v>
      </c>
      <c r="D380" s="67" t="s">
        <v>89</v>
      </c>
      <c r="E380" s="67" t="s">
        <v>102</v>
      </c>
      <c r="F380" s="73"/>
      <c r="G380" s="73"/>
      <c r="H380" s="73"/>
      <c r="I380" s="73"/>
      <c r="J380" s="14" t="s">
        <v>91</v>
      </c>
      <c r="K380" s="14" t="s">
        <v>92</v>
      </c>
      <c r="L380" s="14" t="s">
        <v>103</v>
      </c>
      <c r="M380" s="17" t="s">
        <v>94</v>
      </c>
      <c r="N380" s="18" t="s">
        <v>37</v>
      </c>
      <c r="O380" s="14" t="s">
        <v>37</v>
      </c>
      <c r="P380" s="19">
        <v>42811.755555555559</v>
      </c>
      <c r="Q380" s="19">
        <v>42813.01666666667</v>
      </c>
      <c r="R380" s="14"/>
      <c r="S380" s="14" t="s">
        <v>104</v>
      </c>
      <c r="T380" s="14"/>
      <c r="U380" s="14" t="s">
        <v>96</v>
      </c>
      <c r="V380" s="14"/>
      <c r="W380" s="14">
        <v>0</v>
      </c>
      <c r="X380" s="14">
        <v>0</v>
      </c>
      <c r="Y380" s="14" t="s">
        <v>105</v>
      </c>
      <c r="Z380" s="14"/>
      <c r="AA380" s="14"/>
      <c r="AB380" s="14"/>
      <c r="AC380" s="14"/>
      <c r="AD380" s="14"/>
      <c r="AE380" s="14"/>
      <c r="AF380" s="14" t="s">
        <v>106</v>
      </c>
      <c r="AG380" s="14" t="s">
        <v>107</v>
      </c>
      <c r="AH380" s="14"/>
      <c r="AI380" s="14"/>
      <c r="AJ380" s="14"/>
      <c r="AK380" s="14"/>
      <c r="AL380" s="14"/>
      <c r="AM380" s="14"/>
      <c r="AN380" s="14"/>
      <c r="AO380" s="14"/>
      <c r="AP380" s="14"/>
      <c r="AQ380" s="14"/>
      <c r="AR380" s="67"/>
      <c r="AS380" s="67"/>
      <c r="AT380" s="67"/>
      <c r="AU380" s="67"/>
      <c r="AV380" s="22" t="str">
        <f>VLOOKUP(test1[[#This Row],[Assignee]],lookup[#All],2,FALSE)</f>
        <v>DMO</v>
      </c>
      <c r="AW380" s="22">
        <f ca="1">IF(test1[[#This Row],[Status]]&lt;&gt;"Closed", TODAY()-INT(test1[[#This Row],[Created]]),INT(test1[[#This Row],[Resolved]])-INT(test1[[#This Row],[Created]]))</f>
        <v>17</v>
      </c>
    </row>
    <row r="381" spans="1:49" ht="156.75" x14ac:dyDescent="0.2">
      <c r="A381" s="47" t="s">
        <v>86</v>
      </c>
      <c r="B381" s="15" t="s">
        <v>87</v>
      </c>
      <c r="C381" s="14" t="s">
        <v>88</v>
      </c>
      <c r="D381" s="67" t="s">
        <v>89</v>
      </c>
      <c r="E381" s="67" t="s">
        <v>90</v>
      </c>
      <c r="F381" s="73"/>
      <c r="G381" s="73"/>
      <c r="H381" s="73"/>
      <c r="I381" s="73"/>
      <c r="J381" s="14" t="s">
        <v>91</v>
      </c>
      <c r="K381" s="14" t="s">
        <v>92</v>
      </c>
      <c r="L381" s="14" t="s">
        <v>93</v>
      </c>
      <c r="M381" s="17" t="s">
        <v>94</v>
      </c>
      <c r="N381" s="18" t="s">
        <v>29</v>
      </c>
      <c r="O381" s="14" t="s">
        <v>19</v>
      </c>
      <c r="P381" s="19">
        <v>42813.107638888891</v>
      </c>
      <c r="Q381" s="19">
        <v>42813.107638888891</v>
      </c>
      <c r="R381" s="59"/>
      <c r="S381" s="14" t="s">
        <v>95</v>
      </c>
      <c r="T381" s="14"/>
      <c r="U381" s="14" t="s">
        <v>96</v>
      </c>
      <c r="V381" s="14"/>
      <c r="W381" s="14">
        <v>0</v>
      </c>
      <c r="X381" s="14">
        <v>0</v>
      </c>
      <c r="Y381" s="14"/>
      <c r="Z381" s="14"/>
      <c r="AA381" s="14"/>
      <c r="AB381" s="14"/>
      <c r="AC381" s="14"/>
      <c r="AD381" s="14"/>
      <c r="AE381" s="14"/>
      <c r="AF381" s="14" t="s">
        <v>97</v>
      </c>
      <c r="AG381" s="14" t="s">
        <v>98</v>
      </c>
      <c r="AH381" s="14"/>
      <c r="AI381" s="14"/>
      <c r="AJ381" s="14"/>
      <c r="AK381" s="14"/>
      <c r="AL381" s="14"/>
      <c r="AM381" s="14"/>
      <c r="AN381" s="14" t="s">
        <v>99</v>
      </c>
      <c r="AO381" s="14"/>
      <c r="AP381" s="14"/>
      <c r="AQ381" s="14"/>
      <c r="AR381" s="67"/>
      <c r="AS381" s="67"/>
      <c r="AT381" s="67"/>
      <c r="AU381" s="67"/>
      <c r="AV381" s="83" t="str">
        <f>VLOOKUP(test1[[#This Row],[Assignee]],lookup[#All],2,FALSE)</f>
        <v>BTS-Platform</v>
      </c>
      <c r="AW381" s="83">
        <f ca="1">IF(test1[[#This Row],[Status]]&lt;&gt;"Closed", TODAY()-INT(test1[[#This Row],[Created]]),INT(test1[[#This Row],[Resolved]])-INT(test1[[#This Row],[Created]]))</f>
        <v>15</v>
      </c>
    </row>
  </sheetData>
  <hyperlinks>
    <hyperlink ref="B313" r:id="rId1" display="http://jiraproj.sg.uobnet.com/browse/PEDAGML-353"/>
    <hyperlink ref="B312" r:id="rId2" display="http://jiraproj.sg.uobnet.com/browse/PEDAGML-352"/>
    <hyperlink ref="B311" r:id="rId3" display="http://jiraproj.sg.uobnet.com/browse/PEDAGML-351"/>
    <hyperlink ref="B310" r:id="rId4" display="http://jiraproj.sg.uobnet.com/browse/PEDAGML-350"/>
    <hyperlink ref="B309" r:id="rId5" display="http://jiraproj.sg.uobnet.com/browse/PEDAGML-349"/>
    <hyperlink ref="B308" r:id="rId6" display="http://jiraproj.sg.uobnet.com/browse/PEDAGML-348"/>
    <hyperlink ref="B307" r:id="rId7" display="http://jiraproj.sg.uobnet.com/browse/PEDAGML-347"/>
    <hyperlink ref="B306" r:id="rId8" display="http://jiraproj.sg.uobnet.com/browse/PEDAGML-346"/>
    <hyperlink ref="B305" r:id="rId9" display="http://jiraproj.sg.uobnet.com/browse/PEDAGML-345"/>
    <hyperlink ref="B304" r:id="rId10" display="http://jiraproj.sg.uobnet.com/browse/PEDAGML-344"/>
    <hyperlink ref="B303" r:id="rId11" display="http://jiraproj.sg.uobnet.com/browse/PEDAGML-343"/>
    <hyperlink ref="B302" r:id="rId12" display="http://jiraproj.sg.uobnet.com/browse/PEDAGML-342"/>
    <hyperlink ref="B301" r:id="rId13" display="http://jiraproj.sg.uobnet.com/browse/PEDAGML-341"/>
    <hyperlink ref="B300" r:id="rId14" display="http://jiraproj.sg.uobnet.com/browse/PEDAGML-340"/>
    <hyperlink ref="B299" r:id="rId15" display="http://jiraproj.sg.uobnet.com/browse/PEDAGML-339"/>
    <hyperlink ref="B298" r:id="rId16" display="http://jiraproj.sg.uobnet.com/browse/PEDAGML-338"/>
    <hyperlink ref="B297" r:id="rId17" display="http://jiraproj.sg.uobnet.com/browse/PEDAGML-337"/>
    <hyperlink ref="B296" r:id="rId18" display="http://jiraproj.sg.uobnet.com/browse/PEDAGML-336"/>
    <hyperlink ref="B295" r:id="rId19" display="http://jiraproj.sg.uobnet.com/browse/PEDAGML-335"/>
    <hyperlink ref="B294" r:id="rId20" display="http://jiraproj.sg.uobnet.com/browse/PEDAGML-334"/>
    <hyperlink ref="B293" r:id="rId21" display="http://jiraproj.sg.uobnet.com/browse/PEDAGML-333"/>
    <hyperlink ref="B292" r:id="rId22" display="http://jiraproj.sg.uobnet.com/browse/PEDAGML-332"/>
    <hyperlink ref="B291" r:id="rId23" display="http://jiraproj.sg.uobnet.com/browse/PEDAGML-331"/>
    <hyperlink ref="B290" r:id="rId24" display="http://jiraproj.sg.uobnet.com/browse/PEDAGML-330"/>
    <hyperlink ref="B289" r:id="rId25" display="http://jiraproj.sg.uobnet.com/browse/PEDAGML-329"/>
    <hyperlink ref="B288" r:id="rId26" display="http://jiraproj.sg.uobnet.com/browse/PEDAGML-328"/>
    <hyperlink ref="B287" r:id="rId27" display="http://jiraproj.sg.uobnet.com/browse/PEDAGML-327"/>
    <hyperlink ref="B286" r:id="rId28" display="http://jiraproj.sg.uobnet.com/browse/PEDAGML-326"/>
    <hyperlink ref="B285" r:id="rId29" display="http://jiraproj.sg.uobnet.com/browse/PEDAGML-325"/>
    <hyperlink ref="B284" r:id="rId30" display="http://jiraproj.sg.uobnet.com/browse/PEDAGML-324"/>
    <hyperlink ref="B283" r:id="rId31" display="http://jiraproj.sg.uobnet.com/browse/PEDAGML-323"/>
    <hyperlink ref="B282" r:id="rId32" display="http://jiraproj.sg.uobnet.com/browse/PEDAGML-322"/>
    <hyperlink ref="B281" r:id="rId33" display="http://jiraproj.sg.uobnet.com/browse/PEDAGML-321"/>
    <hyperlink ref="B280" r:id="rId34" display="http://jiraproj.sg.uobnet.com/browse/PEDAGML-320"/>
    <hyperlink ref="B279" r:id="rId35" display="http://jiraproj.sg.uobnet.com/browse/PEDAGML-319"/>
    <hyperlink ref="B278" r:id="rId36" display="http://jiraproj.sg.uobnet.com/browse/PEDAGML-318"/>
    <hyperlink ref="B277" r:id="rId37" display="http://jiraproj.sg.uobnet.com/browse/PEDAGML-317"/>
    <hyperlink ref="B276" r:id="rId38" display="http://jiraproj.sg.uobnet.com/browse/PEDAGML-316"/>
    <hyperlink ref="B274" r:id="rId39" display="http://jiraproj.sg.uobnet.com/browse/PEDAGML-315"/>
    <hyperlink ref="B275" r:id="rId40" display="http://jiraproj.sg.uobnet.com/browse/PEDAGML-314"/>
    <hyperlink ref="B273" r:id="rId41" display="http://jiraproj.sg.uobnet.com/browse/PEDAGML-313"/>
    <hyperlink ref="B272" r:id="rId42" display="http://jiraproj.sg.uobnet.com/browse/PEDAGML-312"/>
    <hyperlink ref="B271" r:id="rId43" display="http://jiraproj.sg.uobnet.com/browse/PEDAGML-311"/>
    <hyperlink ref="B270" r:id="rId44" display="http://jiraproj.sg.uobnet.com/browse/PEDAGML-310"/>
    <hyperlink ref="B269" r:id="rId45" display="http://jiraproj.sg.uobnet.com/browse/PEDAGML-309"/>
    <hyperlink ref="B268" r:id="rId46" display="http://jiraproj.sg.uobnet.com/browse/PEDAGML-308"/>
    <hyperlink ref="B267" r:id="rId47" display="http://jiraproj.sg.uobnet.com/browse/PEDAGML-307"/>
    <hyperlink ref="B266" r:id="rId48" display="http://jiraproj.sg.uobnet.com/browse/PEDAGML-306"/>
    <hyperlink ref="B265" r:id="rId49" display="http://jiraproj.sg.uobnet.com/browse/PEDAGML-305"/>
    <hyperlink ref="B264" r:id="rId50" display="http://jiraproj.sg.uobnet.com/browse/PEDAGML-304"/>
    <hyperlink ref="B263" r:id="rId51" display="http://jiraproj.sg.uobnet.com/browse/PEDAGML-303"/>
    <hyperlink ref="B262" r:id="rId52" display="http://jiraproj.sg.uobnet.com/browse/PEDAGML-302"/>
    <hyperlink ref="B261" r:id="rId53" display="http://jiraproj.sg.uobnet.com/browse/PEDAGML-301"/>
    <hyperlink ref="B260" r:id="rId54" display="http://jiraproj.sg.uobnet.com/browse/PEDAGML-300"/>
    <hyperlink ref="B259" r:id="rId55" display="http://jiraproj.sg.uobnet.com/browse/PEDAGML-299"/>
    <hyperlink ref="B258" r:id="rId56" display="http://jiraproj.sg.uobnet.com/browse/PEDAGML-298"/>
    <hyperlink ref="B257" r:id="rId57" display="http://jiraproj.sg.uobnet.com/browse/PEDAGML-297"/>
    <hyperlink ref="B256" r:id="rId58" display="http://jiraproj.sg.uobnet.com/browse/PEDAGML-296"/>
    <hyperlink ref="B255" r:id="rId59" display="http://jiraproj.sg.uobnet.com/browse/PEDAGML-295"/>
    <hyperlink ref="B254" r:id="rId60" display="http://jiraproj.sg.uobnet.com/browse/PEDAGML-294"/>
    <hyperlink ref="B253" r:id="rId61" display="http://jiraproj.sg.uobnet.com/browse/PEDAGML-293"/>
    <hyperlink ref="B252" r:id="rId62" display="http://jiraproj.sg.uobnet.com/browse/PEDAGML-292"/>
    <hyperlink ref="B251" r:id="rId63" display="http://jiraproj.sg.uobnet.com/browse/PEDAGML-291"/>
    <hyperlink ref="B250" r:id="rId64" display="http://jiraproj.sg.uobnet.com/browse/PEDAGML-290"/>
    <hyperlink ref="B249" r:id="rId65" display="http://jiraproj.sg.uobnet.com/browse/PEDAGML-289"/>
    <hyperlink ref="B248" r:id="rId66" display="http://jiraproj.sg.uobnet.com/browse/PEDAGML-288"/>
    <hyperlink ref="B247" r:id="rId67" display="http://jiraproj.sg.uobnet.com/browse/PEDAGML-287"/>
    <hyperlink ref="B246" r:id="rId68" display="http://jiraproj.sg.uobnet.com/browse/PEDAGML-286"/>
    <hyperlink ref="B245" r:id="rId69" display="http://jiraproj.sg.uobnet.com/browse/PEDAGML-285"/>
    <hyperlink ref="B244" r:id="rId70" display="http://jiraproj.sg.uobnet.com/browse/PEDAGML-284"/>
    <hyperlink ref="B243" r:id="rId71" display="http://jiraproj.sg.uobnet.com/browse/PEDAGML-283"/>
    <hyperlink ref="B242" r:id="rId72" display="http://jiraproj.sg.uobnet.com/browse/PEDAGML-282"/>
    <hyperlink ref="B241" r:id="rId73" display="http://jiraproj.sg.uobnet.com/browse/PEDAGML-281"/>
    <hyperlink ref="B240" r:id="rId74" display="http://jiraproj.sg.uobnet.com/browse/PEDAGML-280"/>
    <hyperlink ref="B239" r:id="rId75" display="http://jiraproj.sg.uobnet.com/browse/PEDAGML-279"/>
    <hyperlink ref="B238" r:id="rId76" display="http://jiraproj.sg.uobnet.com/browse/PEDAGML-278"/>
    <hyperlink ref="B237" r:id="rId77" display="http://jiraproj.sg.uobnet.com/browse/PEDAGML-277"/>
    <hyperlink ref="B236" r:id="rId78" display="http://jiraproj.sg.uobnet.com/browse/PEDAGML-276"/>
    <hyperlink ref="B235" r:id="rId79" display="http://jiraproj.sg.uobnet.com/browse/PEDAGML-275"/>
    <hyperlink ref="B234" r:id="rId80" display="http://jiraproj.sg.uobnet.com/browse/PEDAGML-274"/>
    <hyperlink ref="B233" r:id="rId81" display="http://jiraproj.sg.uobnet.com/browse/PEDAGML-273"/>
    <hyperlink ref="B232" r:id="rId82" display="http://jiraproj.sg.uobnet.com/browse/PEDAGML-272"/>
    <hyperlink ref="B231" r:id="rId83" display="http://jiraproj.sg.uobnet.com/browse/PEDAGML-271"/>
    <hyperlink ref="B230" r:id="rId84" display="http://jiraproj.sg.uobnet.com/browse/PEDAGML-270"/>
    <hyperlink ref="B229" r:id="rId85" display="http://jiraproj.sg.uobnet.com/browse/PEDAGML-269"/>
    <hyperlink ref="B228" r:id="rId86" display="http://jiraproj.sg.uobnet.com/browse/PEDAGML-268"/>
    <hyperlink ref="B227" r:id="rId87" display="http://jiraproj.sg.uobnet.com/browse/PEDAGML-267"/>
    <hyperlink ref="B226" r:id="rId88" display="http://jiraproj.sg.uobnet.com/browse/PEDAGML-266"/>
    <hyperlink ref="B225" r:id="rId89" display="http://jiraproj.sg.uobnet.com/browse/PEDAGML-265"/>
    <hyperlink ref="B224" r:id="rId90" display="http://jiraproj.sg.uobnet.com/browse/PEDAGML-264"/>
    <hyperlink ref="B223" r:id="rId91" display="http://jiraproj.sg.uobnet.com/browse/PEDAGML-263"/>
    <hyperlink ref="B222" r:id="rId92" display="http://jiraproj.sg.uobnet.com/browse/PEDAGML-262"/>
    <hyperlink ref="B221" r:id="rId93" display="http://jiraproj.sg.uobnet.com/browse/PEDAGML-261"/>
    <hyperlink ref="B220" r:id="rId94" display="http://jiraproj.sg.uobnet.com/browse/PEDAGML-260"/>
    <hyperlink ref="B219" r:id="rId95" display="http://jiraproj.sg.uobnet.com/browse/PEDAGML-259"/>
    <hyperlink ref="B218" r:id="rId96" display="http://jiraproj.sg.uobnet.com/browse/PEDAGML-258"/>
    <hyperlink ref="B217" r:id="rId97" display="http://jiraproj.sg.uobnet.com/browse/PEDAGML-257"/>
    <hyperlink ref="B216" r:id="rId98" display="http://jiraproj.sg.uobnet.com/browse/PEDAGML-256"/>
    <hyperlink ref="B215" r:id="rId99" display="http://jiraproj.sg.uobnet.com/browse/PEDAGML-255"/>
    <hyperlink ref="B214" r:id="rId100" display="http://jiraproj.sg.uobnet.com/browse/PEDAGML-254"/>
    <hyperlink ref="B213" r:id="rId101" display="http://jiraproj.sg.uobnet.com/browse/PEDAGML-253"/>
    <hyperlink ref="B212" r:id="rId102" display="http://jiraproj.sg.uobnet.com/browse/PEDAGML-252"/>
    <hyperlink ref="B211" r:id="rId103" display="http://jiraproj.sg.uobnet.com/browse/PEDAGML-251"/>
    <hyperlink ref="B210" r:id="rId104" display="http://jiraproj.sg.uobnet.com/browse/PEDAGML-250"/>
    <hyperlink ref="B209" r:id="rId105" display="http://jiraproj.sg.uobnet.com/browse/PEDAGML-249"/>
    <hyperlink ref="B208" r:id="rId106" display="http://jiraproj.sg.uobnet.com/browse/PEDAGML-248"/>
    <hyperlink ref="B207" r:id="rId107" display="http://jiraproj.sg.uobnet.com/browse/PEDAGML-247"/>
    <hyperlink ref="B206" r:id="rId108" display="http://jiraproj.sg.uobnet.com/browse/PEDAGML-246"/>
    <hyperlink ref="B205" r:id="rId109" display="http://jiraproj.sg.uobnet.com/browse/PEDAGML-245"/>
    <hyperlink ref="B204" r:id="rId110" display="http://jiraproj.sg.uobnet.com/browse/PEDAGML-244"/>
    <hyperlink ref="B203" r:id="rId111" display="http://jiraproj.sg.uobnet.com/browse/PEDAGML-243"/>
    <hyperlink ref="B202" r:id="rId112" display="http://jiraproj.sg.uobnet.com/browse/PEDAGML-242"/>
    <hyperlink ref="B201" r:id="rId113" display="http://jiraproj.sg.uobnet.com/browse/PEDAGML-241"/>
    <hyperlink ref="B200" r:id="rId114" display="http://jiraproj.sg.uobnet.com/browse/PEDAGML-240"/>
    <hyperlink ref="B199" r:id="rId115" display="http://jiraproj.sg.uobnet.com/browse/PEDAGML-239"/>
    <hyperlink ref="B198" r:id="rId116" display="http://jiraproj.sg.uobnet.com/browse/PEDAGML-238"/>
    <hyperlink ref="B196" r:id="rId117" display="http://jiraproj.sg.uobnet.com/browse/PEDAGML-237"/>
    <hyperlink ref="B195" r:id="rId118" display="http://jiraproj.sg.uobnet.com/browse/PEDAGML-235"/>
    <hyperlink ref="B194" r:id="rId119" display="http://jiraproj.sg.uobnet.com/browse/PEDAGML-234"/>
    <hyperlink ref="B193" r:id="rId120" display="http://jiraproj.sg.uobnet.com/browse/PEDAGML-233"/>
    <hyperlink ref="B192" r:id="rId121" display="http://jiraproj.sg.uobnet.com/browse/PEDAGML-232"/>
    <hyperlink ref="B191" r:id="rId122" display="http://jiraproj.sg.uobnet.com/browse/PEDAGML-231"/>
    <hyperlink ref="B190" r:id="rId123" display="http://jiraproj.sg.uobnet.com/browse/PEDAGML-230"/>
    <hyperlink ref="B189" r:id="rId124" display="http://jiraproj.sg.uobnet.com/browse/PEDAGML-229"/>
    <hyperlink ref="B187" r:id="rId125" display="http://jiraproj.sg.uobnet.com/browse/PEDAGML-227"/>
    <hyperlink ref="B186" r:id="rId126" display="http://jiraproj.sg.uobnet.com/browse/PEDAGML-226"/>
    <hyperlink ref="B185" r:id="rId127" display="http://jiraproj.sg.uobnet.com/browse/PEDAGML-225"/>
    <hyperlink ref="B184" r:id="rId128" display="http://jiraproj.sg.uobnet.com/browse/PEDAGML-224"/>
    <hyperlink ref="B183" r:id="rId129" display="http://jiraproj.sg.uobnet.com/browse/PEDAGML-223"/>
    <hyperlink ref="B182" r:id="rId130" display="http://jiraproj.sg.uobnet.com/browse/PEDAGML-222"/>
    <hyperlink ref="B181" r:id="rId131" display="http://jiraproj.sg.uobnet.com/browse/PEDAGML-221"/>
    <hyperlink ref="B180" r:id="rId132" display="http://jiraproj.sg.uobnet.com/browse/PEDAGML-220"/>
    <hyperlink ref="B179" r:id="rId133" display="http://jiraproj.sg.uobnet.com/browse/PEDAGML-219"/>
    <hyperlink ref="B178" r:id="rId134" display="http://jiraproj.sg.uobnet.com/browse/PEDAGML-218"/>
    <hyperlink ref="B177" r:id="rId135" display="http://jiraproj.sg.uobnet.com/browse/PEDAGML-217"/>
    <hyperlink ref="B176" r:id="rId136" display="http://jiraproj.sg.uobnet.com/browse/PEDAGML-216"/>
    <hyperlink ref="B175" r:id="rId137" display="http://jiraproj.sg.uobnet.com/browse/PEDAGML-215"/>
    <hyperlink ref="B174" r:id="rId138" display="http://jiraproj.sg.uobnet.com/browse/PEDAGML-214"/>
    <hyperlink ref="B173" r:id="rId139" display="http://jiraproj.sg.uobnet.com/browse/PEDAGML-213"/>
    <hyperlink ref="B172" r:id="rId140" display="http://jiraproj.sg.uobnet.com/browse/PEDAGML-212"/>
    <hyperlink ref="B171" r:id="rId141" display="http://jiraproj.sg.uobnet.com/browse/PEDAGML-211"/>
    <hyperlink ref="B170" r:id="rId142" display="http://jiraproj.sg.uobnet.com/browse/PEDAGML-210"/>
    <hyperlink ref="B169" r:id="rId143" display="http://jiraproj.sg.uobnet.com/browse/PEDAGML-209"/>
    <hyperlink ref="B168" r:id="rId144" display="http://jiraproj.sg.uobnet.com/browse/PEDAGML-208"/>
    <hyperlink ref="B167" r:id="rId145" display="http://jiraproj.sg.uobnet.com/browse/PEDAGML-207"/>
    <hyperlink ref="B166" r:id="rId146" display="http://jiraproj.sg.uobnet.com/browse/PEDAGML-206"/>
    <hyperlink ref="B165" r:id="rId147" display="http://jiraproj.sg.uobnet.com/browse/PEDAGML-205"/>
    <hyperlink ref="B164" r:id="rId148" display="http://jiraproj.sg.uobnet.com/browse/PEDAGML-204"/>
    <hyperlink ref="B163" r:id="rId149" display="http://jiraproj.sg.uobnet.com/browse/PEDAGML-203"/>
    <hyperlink ref="B162" r:id="rId150" display="http://jiraproj.sg.uobnet.com/browse/PEDAGML-202"/>
    <hyperlink ref="B161" r:id="rId151" display="http://jiraproj.sg.uobnet.com/browse/PEDAGML-201"/>
    <hyperlink ref="B160" r:id="rId152" display="http://jiraproj.sg.uobnet.com/browse/PEDAGML-200"/>
    <hyperlink ref="B159" r:id="rId153" display="http://jiraproj.sg.uobnet.com/browse/PEDAGML-199"/>
    <hyperlink ref="B158" r:id="rId154" display="http://jiraproj.sg.uobnet.com/browse/PEDAGML-198"/>
    <hyperlink ref="B157" r:id="rId155" display="http://jiraproj.sg.uobnet.com/browse/PEDAGML-197"/>
    <hyperlink ref="B156" r:id="rId156" display="http://jiraproj.sg.uobnet.com/browse/PEDAGML-196"/>
    <hyperlink ref="B155" r:id="rId157" display="http://jiraproj.sg.uobnet.com/browse/PEDAGML-195"/>
    <hyperlink ref="B154" r:id="rId158" display="http://jiraproj.sg.uobnet.com/browse/PEDAGML-194"/>
    <hyperlink ref="B153" r:id="rId159" display="http://jiraproj.sg.uobnet.com/browse/PEDAGML-193"/>
    <hyperlink ref="B152" r:id="rId160" display="http://jiraproj.sg.uobnet.com/browse/PEDAGML-192"/>
    <hyperlink ref="B151" r:id="rId161" display="http://jiraproj.sg.uobnet.com/browse/PEDAGML-191"/>
    <hyperlink ref="B150" r:id="rId162" display="http://jiraproj.sg.uobnet.com/browse/PEDAGML-190"/>
    <hyperlink ref="B149" r:id="rId163" display="http://jiraproj.sg.uobnet.com/browse/PEDAGML-189"/>
    <hyperlink ref="B148" r:id="rId164" display="http://jiraproj.sg.uobnet.com/browse/PEDAGML-188"/>
    <hyperlink ref="B147" r:id="rId165" display="http://jiraproj.sg.uobnet.com/browse/PEDAGML-187"/>
    <hyperlink ref="B146" r:id="rId166" display="http://jiraproj.sg.uobnet.com/browse/PEDAGML-186"/>
    <hyperlink ref="B145" r:id="rId167" display="http://jiraproj.sg.uobnet.com/browse/PEDAGML-185"/>
    <hyperlink ref="B144" r:id="rId168" display="http://jiraproj.sg.uobnet.com/browse/PEDAGML-184"/>
    <hyperlink ref="B143" r:id="rId169" display="http://jiraproj.sg.uobnet.com/browse/PEDAGML-183"/>
    <hyperlink ref="B142" r:id="rId170" display="http://jiraproj.sg.uobnet.com/browse/PEDAGML-182"/>
    <hyperlink ref="B141" r:id="rId171" display="http://jiraproj.sg.uobnet.com/browse/PEDAGML-181"/>
    <hyperlink ref="B140" r:id="rId172" display="http://jiraproj.sg.uobnet.com/browse/PEDAGML-180"/>
    <hyperlink ref="B139" r:id="rId173" display="http://jiraproj.sg.uobnet.com/browse/PEDAGML-179"/>
    <hyperlink ref="B138" r:id="rId174" display="http://jiraproj.sg.uobnet.com/browse/PEDAGML-178"/>
    <hyperlink ref="B137" r:id="rId175" display="http://jiraproj.sg.uobnet.com/browse/PEDAGML-177"/>
    <hyperlink ref="B136" r:id="rId176" display="http://jiraproj.sg.uobnet.com/browse/PEDAGML-176"/>
    <hyperlink ref="B135" r:id="rId177" display="http://jiraproj.sg.uobnet.com/browse/PEDAGML-175"/>
    <hyperlink ref="B134" r:id="rId178" display="http://jiraproj.sg.uobnet.com/browse/PEDAGML-174"/>
    <hyperlink ref="B133" r:id="rId179" display="http://jiraproj.sg.uobnet.com/browse/PEDAGML-173"/>
    <hyperlink ref="B132" r:id="rId180" display="http://jiraproj.sg.uobnet.com/browse/PEDAGML-172"/>
    <hyperlink ref="B131" r:id="rId181" display="http://jiraproj.sg.uobnet.com/browse/PEDAGML-171"/>
    <hyperlink ref="B130" r:id="rId182" display="http://jiraproj.sg.uobnet.com/browse/PEDAGML-170"/>
    <hyperlink ref="B129" r:id="rId183" display="http://jiraproj.sg.uobnet.com/browse/PEDAGML-169"/>
    <hyperlink ref="B128" r:id="rId184" display="http://jiraproj.sg.uobnet.com/browse/PEDAGML-168"/>
    <hyperlink ref="B127" r:id="rId185" display="http://jiraproj.sg.uobnet.com/browse/PEDAGML-167"/>
    <hyperlink ref="B126" r:id="rId186" display="http://jiraproj.sg.uobnet.com/browse/PEDAGML-166"/>
    <hyperlink ref="B125" r:id="rId187" display="http://jiraproj.sg.uobnet.com/browse/PEDAGML-165"/>
    <hyperlink ref="B124" r:id="rId188" display="http://jiraproj.sg.uobnet.com/browse/PEDAGML-164"/>
    <hyperlink ref="B123" r:id="rId189" display="http://jiraproj.sg.uobnet.com/browse/PEDAGML-163"/>
    <hyperlink ref="B122" r:id="rId190" display="http://jiraproj.sg.uobnet.com/browse/PEDAGML-162"/>
    <hyperlink ref="B121" r:id="rId191" display="http://jiraproj.sg.uobnet.com/browse/PEDAGML-161"/>
    <hyperlink ref="B120" r:id="rId192" display="http://jiraproj.sg.uobnet.com/browse/PEDAGML-160"/>
    <hyperlink ref="B118" r:id="rId193" display="http://jiraproj.sg.uobnet.com/browse/PEDAGML-159"/>
    <hyperlink ref="B119" r:id="rId194" display="http://jiraproj.sg.uobnet.com/browse/PEDAGML-158"/>
    <hyperlink ref="B117" r:id="rId195" display="http://jiraproj.sg.uobnet.com/browse/PEDAGML-157"/>
    <hyperlink ref="B116" r:id="rId196" display="http://jiraproj.sg.uobnet.com/browse/PEDAGML-156"/>
    <hyperlink ref="B115" r:id="rId197" display="http://jiraproj.sg.uobnet.com/browse/PEDAGML-155"/>
    <hyperlink ref="B114" r:id="rId198" display="http://jiraproj.sg.uobnet.com/browse/PEDAGML-154"/>
    <hyperlink ref="B113" r:id="rId199" display="http://jiraproj.sg.uobnet.com/browse/PEDAGML-153"/>
    <hyperlink ref="B112" r:id="rId200" display="http://jiraproj.sg.uobnet.com/browse/PEDAGML-152"/>
    <hyperlink ref="B111" r:id="rId201" display="http://jiraproj.sg.uobnet.com/browse/PEDAGML-151"/>
    <hyperlink ref="B110" r:id="rId202" display="http://jiraproj.sg.uobnet.com/browse/PEDAGML-150"/>
    <hyperlink ref="B109" r:id="rId203" display="http://jiraproj.sg.uobnet.com/browse/PEDAGML-149"/>
    <hyperlink ref="B108" r:id="rId204" display="http://jiraproj.sg.uobnet.com/browse/PEDAGML-148"/>
    <hyperlink ref="B107" r:id="rId205" display="http://jiraproj.sg.uobnet.com/browse/PEDAGML-147"/>
    <hyperlink ref="B106" r:id="rId206" display="http://jiraproj.sg.uobnet.com/browse/PEDAGML-146"/>
    <hyperlink ref="B105" r:id="rId207" display="http://jiraproj.sg.uobnet.com/browse/PEDAGML-145"/>
    <hyperlink ref="B104" r:id="rId208" display="http://jiraproj.sg.uobnet.com/browse/PEDAGML-144"/>
    <hyperlink ref="B103" r:id="rId209" display="http://jiraproj.sg.uobnet.com/browse/PEDAGML-143"/>
    <hyperlink ref="B102" r:id="rId210" display="http://jiraproj.sg.uobnet.com/browse/PEDAGML-142"/>
    <hyperlink ref="B101" r:id="rId211" display="http://jiraproj.sg.uobnet.com/browse/PEDAGML-141"/>
    <hyperlink ref="B100" r:id="rId212" display="http://jiraproj.sg.uobnet.com/browse/PEDAGML-140"/>
    <hyperlink ref="B99" r:id="rId213" display="http://jiraproj.sg.uobnet.com/browse/PEDAGML-139"/>
    <hyperlink ref="B98" r:id="rId214" display="http://jiraproj.sg.uobnet.com/browse/PEDAGML-138"/>
    <hyperlink ref="B97" r:id="rId215" display="http://jiraproj.sg.uobnet.com/browse/PEDAGML-137"/>
    <hyperlink ref="B96" r:id="rId216" display="http://jiraproj.sg.uobnet.com/browse/PEDAGML-136"/>
    <hyperlink ref="B95" r:id="rId217" display="http://jiraproj.sg.uobnet.com/browse/PEDAGML-135"/>
    <hyperlink ref="B94" r:id="rId218" display="http://jiraproj.sg.uobnet.com/browse/PEDAGML-134"/>
    <hyperlink ref="B93" r:id="rId219" display="http://jiraproj.sg.uobnet.com/browse/PEDAGML-133"/>
    <hyperlink ref="B92" r:id="rId220" display="http://jiraproj.sg.uobnet.com/browse/PEDAGML-132"/>
    <hyperlink ref="B91" r:id="rId221" display="http://jiraproj.sg.uobnet.com/browse/PEDAGML-131"/>
    <hyperlink ref="B90" r:id="rId222" display="http://jiraproj.sg.uobnet.com/browse/PEDAGML-130"/>
    <hyperlink ref="B89" r:id="rId223" display="http://jiraproj.sg.uobnet.com/browse/PEDAGML-129"/>
    <hyperlink ref="B88" r:id="rId224" display="http://jiraproj.sg.uobnet.com/browse/PEDAGML-128"/>
    <hyperlink ref="B87" r:id="rId225" display="http://jiraproj.sg.uobnet.com/browse/PEDAGML-127"/>
    <hyperlink ref="B86" r:id="rId226" display="http://jiraproj.sg.uobnet.com/browse/PEDAGML-126"/>
    <hyperlink ref="B85" r:id="rId227" display="http://jiraproj.sg.uobnet.com/browse/PEDAGML-125"/>
    <hyperlink ref="B84" r:id="rId228" display="http://jiraproj.sg.uobnet.com/browse/PEDAGML-124"/>
    <hyperlink ref="B83" r:id="rId229" display="http://jiraproj.sg.uobnet.com/browse/PEDAGML-123"/>
    <hyperlink ref="B82" r:id="rId230" display="http://jiraproj.sg.uobnet.com/browse/PEDAGML-122"/>
    <hyperlink ref="B81" r:id="rId231" display="http://jiraproj.sg.uobnet.com/browse/PEDAGML-121"/>
    <hyperlink ref="B80" r:id="rId232" display="http://jiraproj.sg.uobnet.com/browse/PEDAGML-120"/>
    <hyperlink ref="B79" r:id="rId233" display="http://jiraproj.sg.uobnet.com/browse/PEDAGML-119"/>
    <hyperlink ref="B78" r:id="rId234" display="http://jiraproj.sg.uobnet.com/browse/PEDAGML-118"/>
    <hyperlink ref="B77" r:id="rId235" display="http://jiraproj.sg.uobnet.com/browse/PEDAGML-117"/>
    <hyperlink ref="B76" r:id="rId236" display="http://jiraproj.sg.uobnet.com/browse/PEDAGML-116"/>
    <hyperlink ref="B74" r:id="rId237" display="http://jiraproj.sg.uobnet.com/browse/PEDAGML-115"/>
    <hyperlink ref="B75" r:id="rId238" display="http://jiraproj.sg.uobnet.com/browse/PEDAGML-114"/>
    <hyperlink ref="B73" r:id="rId239" display="http://jiraproj.sg.uobnet.com/browse/PEDAGML-113"/>
    <hyperlink ref="B72" r:id="rId240" display="http://jiraproj.sg.uobnet.com/browse/PEDAGML-112"/>
    <hyperlink ref="B71" r:id="rId241" display="http://jiraproj.sg.uobnet.com/browse/PEDAGML-111"/>
    <hyperlink ref="B70" r:id="rId242" display="http://jiraproj.sg.uobnet.com/browse/PEDAGML-110"/>
    <hyperlink ref="B69" r:id="rId243" display="http://jiraproj.sg.uobnet.com/browse/PEDAGML-109"/>
    <hyperlink ref="B68" r:id="rId244" display="http://jiraproj.sg.uobnet.com/browse/PEDAGML-108"/>
    <hyperlink ref="B67" r:id="rId245" display="http://jiraproj.sg.uobnet.com/browse/PEDAGML-107"/>
    <hyperlink ref="B66" r:id="rId246" display="http://jiraproj.sg.uobnet.com/browse/PEDAGML-106"/>
    <hyperlink ref="B65" r:id="rId247" display="http://jiraproj.sg.uobnet.com/browse/PEDAGML-105"/>
    <hyperlink ref="B64" r:id="rId248" display="http://jiraproj.sg.uobnet.com/browse/PEDAGML-104"/>
    <hyperlink ref="B63" r:id="rId249" display="http://jiraproj.sg.uobnet.com/browse/PEDAGML-103"/>
    <hyperlink ref="B62" r:id="rId250" display="http://jiraproj.sg.uobnet.com/browse/PEDAGML-102"/>
    <hyperlink ref="B61" r:id="rId251" display="http://jiraproj.sg.uobnet.com/browse/PEDAGML-101"/>
    <hyperlink ref="B60" r:id="rId252" display="http://jiraproj.sg.uobnet.com/browse/PEDAGML-100"/>
    <hyperlink ref="B59" r:id="rId253" display="http://jiraproj.sg.uobnet.com/browse/PEDAGML-99"/>
    <hyperlink ref="B58" r:id="rId254" display="http://jiraproj.sg.uobnet.com/browse/PEDAGML-98"/>
    <hyperlink ref="B57" r:id="rId255" display="http://jiraproj.sg.uobnet.com/browse/PEDAGML-97"/>
    <hyperlink ref="B56" r:id="rId256" display="http://jiraproj.sg.uobnet.com/browse/PEDAGML-96"/>
    <hyperlink ref="B55" r:id="rId257" display="http://jiraproj.sg.uobnet.com/browse/PEDAGML-95"/>
    <hyperlink ref="B54" r:id="rId258" display="http://jiraproj.sg.uobnet.com/browse/PEDAGML-94"/>
    <hyperlink ref="B53" r:id="rId259" display="http://jiraproj.sg.uobnet.com/browse/PEDAGML-93"/>
    <hyperlink ref="B52" r:id="rId260" display="http://jiraproj.sg.uobnet.com/browse/PEDAGML-92"/>
    <hyperlink ref="B51" r:id="rId261" display="http://jiraproj.sg.uobnet.com/browse/PEDAGML-91"/>
    <hyperlink ref="B50" r:id="rId262" display="http://jiraproj.sg.uobnet.com/browse/PEDAGML-90"/>
    <hyperlink ref="B49" r:id="rId263" display="http://jiraproj.sg.uobnet.com/browse/PEDAGML-89"/>
    <hyperlink ref="B48" r:id="rId264" display="http://jiraproj.sg.uobnet.com/browse/PEDAGML-88"/>
    <hyperlink ref="B47" r:id="rId265" display="http://jiraproj.sg.uobnet.com/browse/PEDAGML-87"/>
    <hyperlink ref="B46" r:id="rId266" display="http://jiraproj.sg.uobnet.com/browse/PEDAGML-86"/>
    <hyperlink ref="B45" r:id="rId267" display="http://jiraproj.sg.uobnet.com/browse/PEDAGML-85"/>
    <hyperlink ref="B44" r:id="rId268" display="http://jiraproj.sg.uobnet.com/browse/PEDAGML-84"/>
    <hyperlink ref="B43" r:id="rId269" display="http://jiraproj.sg.uobnet.com/browse/PEDAGML-83"/>
    <hyperlink ref="B42" r:id="rId270" display="http://jiraproj.sg.uobnet.com/browse/PEDAGML-82"/>
    <hyperlink ref="B41" r:id="rId271" display="http://jiraproj.sg.uobnet.com/browse/PEDAGML-81"/>
    <hyperlink ref="B40" r:id="rId272" display="http://jiraproj.sg.uobnet.com/browse/PEDAGML-80"/>
    <hyperlink ref="B39" r:id="rId273" display="http://jiraproj.sg.uobnet.com/browse/PEDAGML-79"/>
    <hyperlink ref="B38" r:id="rId274" display="http://jiraproj.sg.uobnet.com/browse/PEDAGML-78"/>
    <hyperlink ref="B37" r:id="rId275" display="http://jiraproj.sg.uobnet.com/browse/PEDAGML-77"/>
    <hyperlink ref="B36" r:id="rId276" display="http://jiraproj.sg.uobnet.com/browse/PEDAGML-76"/>
    <hyperlink ref="B35" r:id="rId277" display="http://jiraproj.sg.uobnet.com/browse/PEDAGML-75"/>
    <hyperlink ref="B34" r:id="rId278" display="http://jiraproj.sg.uobnet.com/browse/PEDAGML-74"/>
    <hyperlink ref="B33" r:id="rId279" display="http://jiraproj.sg.uobnet.com/browse/PEDAGML-73"/>
    <hyperlink ref="B32" r:id="rId280" display="http://jiraproj.sg.uobnet.com/browse/PEDAGML-72"/>
    <hyperlink ref="B31" r:id="rId281" display="http://jiraproj.sg.uobnet.com/browse/PEDAGML-71"/>
    <hyperlink ref="B30" r:id="rId282" display="http://jiraproj.sg.uobnet.com/browse/PEDAGML-70"/>
    <hyperlink ref="B29" r:id="rId283" display="http://jiraproj.sg.uobnet.com/browse/PEDAGML-69"/>
    <hyperlink ref="B28" r:id="rId284" display="http://jiraproj.sg.uobnet.com/browse/PEDAGML-68"/>
    <hyperlink ref="B27" r:id="rId285" display="http://jiraproj.sg.uobnet.com/browse/PEDAGML-67"/>
    <hyperlink ref="B26" r:id="rId286" display="http://jiraproj.sg.uobnet.com/browse/PEDAGML-66"/>
    <hyperlink ref="B25" r:id="rId287" display="http://jiraproj.sg.uobnet.com/browse/PEDAGML-65"/>
    <hyperlink ref="B24" r:id="rId288" display="http://jiraproj.sg.uobnet.com/browse/PEDAGML-64"/>
    <hyperlink ref="B23" r:id="rId289" display="http://jiraproj.sg.uobnet.com/browse/PEDAGML-63"/>
    <hyperlink ref="B22" r:id="rId290" display="http://jiraproj.sg.uobnet.com/browse/PEDAGML-62"/>
    <hyperlink ref="B21" r:id="rId291" display="http://jiraproj.sg.uobnet.com/browse/PEDAGML-61"/>
    <hyperlink ref="B20" r:id="rId292" display="http://jiraproj.sg.uobnet.com/browse/PEDAGML-60"/>
    <hyperlink ref="B19" r:id="rId293" display="http://jiraproj.sg.uobnet.com/browse/PEDAGML-59"/>
    <hyperlink ref="B18" r:id="rId294" display="http://jiraproj.sg.uobnet.com/browse/PEDAGML-58"/>
    <hyperlink ref="B17" r:id="rId295" display="http://jiraproj.sg.uobnet.com/browse/PEDAGML-57"/>
    <hyperlink ref="B16" r:id="rId296" display="http://jiraproj.sg.uobnet.com/browse/PEDAGML-56"/>
    <hyperlink ref="B15" r:id="rId297" display="http://jiraproj.sg.uobnet.com/browse/PEDAGML-55"/>
    <hyperlink ref="B14" r:id="rId298" display="http://jiraproj.sg.uobnet.com/browse/PEDAGML-54"/>
    <hyperlink ref="B13" r:id="rId299" display="http://jiraproj.sg.uobnet.com/browse/PEDAGML-53"/>
    <hyperlink ref="B12" r:id="rId300" display="http://jiraproj.sg.uobnet.com/browse/PEDAGML-52"/>
    <hyperlink ref="B11" r:id="rId301" display="http://jiraproj.sg.uobnet.com/browse/PEDAGML-51"/>
    <hyperlink ref="B10" r:id="rId302" display="http://jiraproj.sg.uobnet.com/browse/PEDAGML-49"/>
    <hyperlink ref="B9" r:id="rId303" display="http://jiraproj.sg.uobnet.com/browse/PEDAGML-48"/>
    <hyperlink ref="B8" r:id="rId304" display="http://jiraproj.sg.uobnet.com/browse/PEDAGML-47"/>
    <hyperlink ref="B7" r:id="rId305" display="http://jiraproj.sg.uobnet.com/browse/PEDAGML-46"/>
    <hyperlink ref="B6" r:id="rId306" display="http://jiraproj.sg.uobnet.com/browse/PEDAGML-45"/>
    <hyperlink ref="B5" r:id="rId307" display="http://jiraproj.sg.uobnet.com/browse/PEDAGML-44"/>
    <hyperlink ref="B4" r:id="rId308" display="http://jiraproj.sg.uobnet.com/browse/PEDAGML-43"/>
    <hyperlink ref="B3" r:id="rId309" display="http://jiraproj.sg.uobnet.com/browse/PEDAGML-42"/>
    <hyperlink ref="B2" r:id="rId310" display="http://jiraproj.sg.uobnet.com/browse/PEDAGML-41"/>
    <hyperlink ref="B188" r:id="rId311" display="http://jiraproj.sg.uobnet.com/browse/PEDAGML-228"/>
    <hyperlink ref="B320" r:id="rId312" display="http://jiraproj.sg.uobnet.com/browse/PEDAGML-360"/>
    <hyperlink ref="B319" r:id="rId313" display="http://jiraproj.sg.uobnet.com/browse/PEDAGML-359"/>
    <hyperlink ref="B318" r:id="rId314" display="http://jiraproj.sg.uobnet.com/browse/PEDAGML-358"/>
    <hyperlink ref="B317" r:id="rId315" display="http://jiraproj.sg.uobnet.com/browse/PEDAGML-357"/>
    <hyperlink ref="B316" r:id="rId316" display="http://jiraproj.sg.uobnet.com/browse/PEDAGML-356"/>
    <hyperlink ref="B314" r:id="rId317" display="http://jiraproj.sg.uobnet.com/browse/PEDAGML-354"/>
    <hyperlink ref="B315" r:id="rId318" display="http://jiraproj.sg.uobnet.com/browse/PEDAGML-355"/>
    <hyperlink ref="B334" r:id="rId319" display="http://jiraproj.sg.uobnet.com/browse/PEDAGML-374"/>
    <hyperlink ref="B333" r:id="rId320" display="http://jiraproj.sg.uobnet.com/browse/PEDAGML-373"/>
    <hyperlink ref="B332" r:id="rId321" display="http://jiraproj.sg.uobnet.com/browse/PEDAGML-372"/>
    <hyperlink ref="B331" r:id="rId322" display="http://jiraproj.sg.uobnet.com/browse/PEDAGML-371"/>
    <hyperlink ref="B330" r:id="rId323" display="http://jiraproj.sg.uobnet.com/browse/PEDAGML-370"/>
    <hyperlink ref="B328" r:id="rId324" display="http://jiraproj.sg.uobnet.com/browse/PEDAGML-369"/>
    <hyperlink ref="B329" r:id="rId325" display="http://jiraproj.sg.uobnet.com/browse/PEDAGML-368"/>
    <hyperlink ref="B327" r:id="rId326" display="http://jiraproj.sg.uobnet.com/browse/PEDAGML-367"/>
    <hyperlink ref="B326" r:id="rId327" display="http://jiraproj.sg.uobnet.com/browse/PEDAGML-366"/>
    <hyperlink ref="B325" r:id="rId328" display="http://jiraproj.sg.uobnet.com/browse/PEDAGML-365"/>
    <hyperlink ref="B324" r:id="rId329" display="http://jiraproj.sg.uobnet.com/browse/PEDAGML-364"/>
    <hyperlink ref="B323" r:id="rId330" display="http://jiraproj.sg.uobnet.com/browse/PEDAGML-363"/>
    <hyperlink ref="B322" r:id="rId331" display="http://jiraproj.sg.uobnet.com/browse/PEDAGML-362"/>
    <hyperlink ref="B321" r:id="rId332" display="http://jiraproj.sg.uobnet.com/browse/PEDAGML-361"/>
    <hyperlink ref="B338" r:id="rId333" display="http://jiraproj.sg.uobnet.com/browse/PEDAGML-378"/>
    <hyperlink ref="B337" r:id="rId334" display="http://jiraproj.sg.uobnet.com/browse/PEDAGML-377"/>
    <hyperlink ref="B336" r:id="rId335" display="http://jiraproj.sg.uobnet.com/browse/PEDAGML-376"/>
    <hyperlink ref="B335" r:id="rId336" display="http://jiraproj.sg.uobnet.com/browse/PEDAGML-375"/>
    <hyperlink ref="B339" r:id="rId337" display="http://jiraproj.sg.uobnet.com/browse/PEDAGML-379"/>
    <hyperlink ref="B341" r:id="rId338" display="http://jiraproj.sg.uobnet.com/browse/PEDAGML-381"/>
    <hyperlink ref="B340" r:id="rId339" display="http://jiraproj.sg.uobnet.com/browse/PEDAGML-380"/>
    <hyperlink ref="B353" r:id="rId340" display="http://jiraproj.sg.uobnet.com/browse/PEDAGML-393"/>
    <hyperlink ref="B354" r:id="rId341" display="http://jiraproj.sg.uobnet.com/browse/PEDAGML-396"/>
    <hyperlink ref="B355" r:id="rId342" display="http://jiraproj.sg.uobnet.com/browse/PEDAGML-398"/>
    <hyperlink ref="B356" r:id="rId343" display="http://jiraproj.sg.uobnet.com/browse/PEDAGML-399"/>
    <hyperlink ref="B352" r:id="rId344" display="http://jiraproj.sg.uobnet.com/browse/PEDAGML-392"/>
    <hyperlink ref="B342" r:id="rId345" display="http://jiraproj.sg.uobnet.com/browse/PEDAGML-382"/>
    <hyperlink ref="B343" r:id="rId346" display="http://jiraproj.sg.uobnet.com/browse/PEDAGML-383"/>
    <hyperlink ref="B345" r:id="rId347" display="http://jiraproj.sg.uobnet.com/browse/PEDAGML-385"/>
    <hyperlink ref="B346" r:id="rId348" display="http://jiraproj.sg.uobnet.com/browse/PEDAGML-386"/>
    <hyperlink ref="B347" r:id="rId349" display="http://jiraproj.sg.uobnet.com/browse/PEDAGML-387"/>
    <hyperlink ref="B348" r:id="rId350" display="http://jiraproj.sg.uobnet.com/browse/PEDAGML-388"/>
    <hyperlink ref="B349" r:id="rId351" display="http://jiraproj.sg.uobnet.com/browse/PEDAGML-389"/>
    <hyperlink ref="B350" r:id="rId352" display="http://jiraproj.sg.uobnet.com/browse/PEDAGML-390"/>
    <hyperlink ref="B351" r:id="rId353" display="http://jiraproj.sg.uobnet.com/browse/PEDAGML-391"/>
    <hyperlink ref="B377" r:id="rId354" display="http://jiraproj.sg.uobnet.com/browse/PEDAGML-427"/>
    <hyperlink ref="B376" r:id="rId355" display="http://jiraproj.sg.uobnet.com/browse/PEDAGML-425"/>
    <hyperlink ref="B375" r:id="rId356" display="http://jiraproj.sg.uobnet.com/browse/PEDAGML-424"/>
    <hyperlink ref="B374" r:id="rId357" display="http://jiraproj.sg.uobnet.com/browse/PEDAGML-423"/>
    <hyperlink ref="B373" r:id="rId358" display="http://jiraproj.sg.uobnet.com/browse/PEDAGML-422"/>
    <hyperlink ref="B372" r:id="rId359" display="http://jiraproj.sg.uobnet.com/browse/PEDAGML-421"/>
    <hyperlink ref="B371" r:id="rId360" display="http://jiraproj.sg.uobnet.com/browse/PEDAGML-420"/>
    <hyperlink ref="B370" r:id="rId361" display="http://jiraproj.sg.uobnet.com/browse/PEDAGML-419"/>
    <hyperlink ref="B369" r:id="rId362" display="http://jiraproj.sg.uobnet.com/browse/PEDAGML-418"/>
    <hyperlink ref="B368" r:id="rId363" display="http://jiraproj.sg.uobnet.com/browse/PEDAGML-415"/>
    <hyperlink ref="B367" r:id="rId364" display="http://jiraproj.sg.uobnet.com/browse/PEDAGML-414"/>
    <hyperlink ref="B366" r:id="rId365" display="http://jiraproj.sg.uobnet.com/browse/PEDAGML-412"/>
    <hyperlink ref="B365" r:id="rId366" display="http://jiraproj.sg.uobnet.com/browse/PEDAGML-411"/>
    <hyperlink ref="B364" r:id="rId367" display="http://jiraproj.sg.uobnet.com/browse/PEDAGML-410"/>
    <hyperlink ref="B363" r:id="rId368" display="http://jiraproj.sg.uobnet.com/browse/PEDAGML-409"/>
    <hyperlink ref="B362" r:id="rId369" display="http://jiraproj.sg.uobnet.com/browse/PEDAGML-408"/>
    <hyperlink ref="B361" r:id="rId370" display="http://jiraproj.sg.uobnet.com/browse/PEDAGML-407"/>
    <hyperlink ref="B360" r:id="rId371" display="http://jiraproj.sg.uobnet.com/browse/PEDAGML-406"/>
    <hyperlink ref="B359" r:id="rId372" display="http://jiraproj.sg.uobnet.com/browse/PEDAGML-402"/>
    <hyperlink ref="B358" r:id="rId373" display="http://jiraproj.sg.uobnet.com/browse/PEDAGML-401"/>
    <hyperlink ref="B357" r:id="rId374" display="http://jiraproj.sg.uobnet.com/browse/PEDAGML-400"/>
    <hyperlink ref="B381" r:id="rId375" display="http://jiraproj.sg.uobnet.com/browse/PEDAGML-432"/>
    <hyperlink ref="B380" r:id="rId376" display="http://jiraproj.sg.uobnet.com/browse/PEDAGML-431"/>
    <hyperlink ref="B379" r:id="rId377" display="http://jiraproj.sg.uobnet.com/browse/PEDAGML-430"/>
    <hyperlink ref="B378" r:id="rId378" display="http://jiraproj.sg.uobnet.com/browse/PEDAGML-429"/>
    <hyperlink ref="Y376" r:id="rId379" display="http://jiraproj.sg.uobnet.com/secure/attachment/251406/_thumb_251406.png"/>
    <hyperlink ref="Y371" r:id="rId380" display="http://jiraproj.sg.uobnet.com/secure/attachment/251297/_thumb_251297.png"/>
    <hyperlink ref="Y370" r:id="rId381" display="http://jiraproj.sg.uobnet.com/secure/attachment/252303/_thumb_252303.png"/>
    <hyperlink ref="Y355" r:id="rId382" display="http://jiraproj.sg.uobnet.com/secure/attachment/250319/_thumb_250319.png"/>
    <hyperlink ref="Y353" r:id="rId383" display="http://jiraproj.sg.uobnet.com/secure/attachment/250022/_thumb_250022.png"/>
    <hyperlink ref="Y350" r:id="rId384" display="http://jiraproj.sg.uobnet.com/secure/attachment/249807/_thumb_249807.png"/>
    <hyperlink ref="Y349" r:id="rId385" display="http://jiraproj.sg.uobnet.com/secure/attachment/249793/_thumb_249793.png"/>
    <hyperlink ref="Y342" r:id="rId386" display="http://jiraproj.sg.uobnet.com/secure/attachment/249640/_thumb_249640.png"/>
    <hyperlink ref="Y334" r:id="rId387" display="http://jiraproj.sg.uobnet.com/secure/attachment/248810/_thumb_248810.png"/>
    <hyperlink ref="Y333" r:id="rId388" display="http://jiraproj.sg.uobnet.com/secure/attachment/248676/_thumb_248676.png"/>
    <hyperlink ref="Y331" r:id="rId389" display="http://jiraproj.sg.uobnet.com/secure/attachment/248653/_thumb_248653.png"/>
    <hyperlink ref="Y329" r:id="rId390" display="http://jiraproj.sg.uobnet.com/secure/attachment/248610/_thumb_248610.png"/>
    <hyperlink ref="Y323" r:id="rId391" display="http://jiraproj.sg.uobnet.com/secure/attachment/248228/_thumb_248228.png"/>
    <hyperlink ref="Y303" r:id="rId392" display="http://jiraproj.sg.uobnet.com/secure/attachment/246251/_thumb_246251.png"/>
    <hyperlink ref="Y286" r:id="rId393" display="http://jiraproj.sg.uobnet.com/secure/attachment/245880/_thumb_245880.png"/>
    <hyperlink ref="Y274" r:id="rId394" display="http://jiraproj.sg.uobnet.com/secure/attachment/245134/_thumb_245134.png"/>
    <hyperlink ref="Y275" r:id="rId395" display="http://jiraproj.sg.uobnet.com/secure/attachment/245133/_thumb_245133.png"/>
    <hyperlink ref="Y262" r:id="rId396" display="http://jiraproj.sg.uobnet.com/secure/attachment/244550/_thumb_244550.png"/>
    <hyperlink ref="Y253" r:id="rId397" display="http://jiraproj.sg.uobnet.com/secure/attachment/244206/_thumb_244206.png"/>
    <hyperlink ref="Y252" r:id="rId398" display="http://jiraproj.sg.uobnet.com/secure/attachment/244119/_thumb_244119.png"/>
    <hyperlink ref="Y247" r:id="rId399" display="http://jiraproj.sg.uobnet.com/secure/attachment/243692/_thumb_243692.png"/>
    <hyperlink ref="Y243" r:id="rId400" display="http://jiraproj.sg.uobnet.com/secure/attachment/243628/_thumb_243628.png"/>
    <hyperlink ref="Y238" r:id="rId401" display="http://jiraproj.sg.uobnet.com/secure/attachment/243422/_thumb_243422.png"/>
    <hyperlink ref="Y231" r:id="rId402" display="http://jiraproj.sg.uobnet.com/secure/attachment/243281/_thumb_243281.png"/>
    <hyperlink ref="Y227" r:id="rId403" display="http://jiraproj.sg.uobnet.com/secure/attachment/243122/_thumb_243122.png"/>
    <hyperlink ref="Y225" r:id="rId404" display="http://jiraproj.sg.uobnet.com/secure/attachment/243077/_thumb_243077.png"/>
    <hyperlink ref="Y224" r:id="rId405" display="http://jiraproj.sg.uobnet.com/secure/attachment/243064/_thumb_243064.png"/>
    <hyperlink ref="Y219" r:id="rId406" display="http://jiraproj.sg.uobnet.com/secure/attachment/242995/_thumb_242995.png"/>
    <hyperlink ref="Y218" r:id="rId407" display="http://jiraproj.sg.uobnet.com/secure/attachment/242989/_thumb_242989.png"/>
    <hyperlink ref="Y209" r:id="rId408" display="http://jiraproj.sg.uobnet.com/secure/attachment/242889/_thumb_242889.png"/>
    <hyperlink ref="Y207" r:id="rId409" display="http://jiraproj.sg.uobnet.com/secure/attachment/242855/_thumb_242855.png"/>
    <hyperlink ref="Y204" r:id="rId410" display="http://jiraproj.sg.uobnet.com/secure/attachment/242838/_thumb_242838.png"/>
    <hyperlink ref="Y203" r:id="rId411" display="http://jiraproj.sg.uobnet.com/secure/attachment/242839/_thumb_242839.png"/>
    <hyperlink ref="Y199" r:id="rId412" display="http://jiraproj.sg.uobnet.com/secure/attachment/242743/_thumb_242743.png"/>
    <hyperlink ref="Y198" r:id="rId413" display="http://jiraproj.sg.uobnet.com/secure/attachment/242725/_thumb_242725.png"/>
    <hyperlink ref="Y192" r:id="rId414" display="http://jiraproj.sg.uobnet.com/secure/attachment/242542/_thumb_242542.png"/>
    <hyperlink ref="Y189" r:id="rId415" display="http://jiraproj.sg.uobnet.com/secure/attachment/243135/_thumb_243135.png"/>
    <hyperlink ref="Y182" r:id="rId416" display="http://jiraproj.sg.uobnet.com/secure/attachment/242383/_thumb_242383.png"/>
    <hyperlink ref="Y181" r:id="rId417" display="http://jiraproj.sg.uobnet.com/secure/attachment/242382/_thumb_242382.png"/>
    <hyperlink ref="Y180" r:id="rId418" display="http://jiraproj.sg.uobnet.com/secure/attachment/242380/_thumb_242380.png"/>
    <hyperlink ref="Y179" r:id="rId419" display="http://jiraproj.sg.uobnet.com/secure/attachment/242346/_thumb_242346.png"/>
    <hyperlink ref="Y178" r:id="rId420" display="http://jiraproj.sg.uobnet.com/secure/attachment/242306/_thumb_242306.png"/>
    <hyperlink ref="Y155" r:id="rId421" display="http://jiraproj.sg.uobnet.com/secure/attachment/242005/_thumb_242005.png"/>
    <hyperlink ref="Y154" r:id="rId422" display="http://jiraproj.sg.uobnet.com/secure/attachment/241980/_thumb_241980.png"/>
    <hyperlink ref="Y153" r:id="rId423" display="http://jiraproj.sg.uobnet.com/secure/attachment/241967/_thumb_241967.png"/>
    <hyperlink ref="Y151" r:id="rId424" display="http://jiraproj.sg.uobnet.com/secure/attachment/241844/_thumb_241844.png"/>
    <hyperlink ref="Y147" r:id="rId425" display="http://jiraproj.sg.uobnet.com/secure/attachment/241595/_thumb_241595.png"/>
    <hyperlink ref="Y145" r:id="rId426" display="http://jiraproj.sg.uobnet.com/secure/attachment/241455/_thumb_241455.png"/>
    <hyperlink ref="Y144" r:id="rId427" display="http://jiraproj.sg.uobnet.com/secure/attachment/241400/_thumb_241400.png"/>
    <hyperlink ref="Y143" r:id="rId428" display="http://jiraproj.sg.uobnet.com/secure/attachment/246219/_thumb_246219.png"/>
    <hyperlink ref="Y141" r:id="rId429" display="http://jiraproj.sg.uobnet.com/secure/attachment/241174/_thumb_241174.png"/>
    <hyperlink ref="Y130" r:id="rId430" display="http://jiraproj.sg.uobnet.com/secure/attachment/240944/_thumb_240944.png"/>
    <hyperlink ref="Y129" r:id="rId431" display="http://jiraproj.sg.uobnet.com/secure/attachment/240942/_thumb_240942.png"/>
    <hyperlink ref="Y124" r:id="rId432" display="http://jiraproj.sg.uobnet.com/secure/attachment/240841/_thumb_240841.png"/>
    <hyperlink ref="Y118" r:id="rId433" display="http://jiraproj.sg.uobnet.com/secure/attachment/240775/_thumb_240775.png"/>
    <hyperlink ref="Y117" r:id="rId434" display="http://jiraproj.sg.uobnet.com/secure/attachment/240902/_thumb_240902.png"/>
    <hyperlink ref="Y109" r:id="rId435" display="http://jiraproj.sg.uobnet.com/secure/attachment/243480/_thumb_243480.png"/>
    <hyperlink ref="Y99" r:id="rId436" display="http://jiraproj.sg.uobnet.com/secure/attachment/240328/_thumb_240328.png"/>
    <hyperlink ref="Y68" r:id="rId437" display="http://jiraproj.sg.uobnet.com/secure/attachment/242257/_thumb_242257.png"/>
    <hyperlink ref="Y58" r:id="rId438" display="http://jiraproj.sg.uobnet.com/secure/attachment/239487/_thumb_239487.png"/>
    <hyperlink ref="Y56" r:id="rId439" display="http://jiraproj.sg.uobnet.com/secure/attachment/238157/_thumb_238157.png"/>
    <hyperlink ref="Y54" r:id="rId440" display="http://jiraproj.sg.uobnet.com/secure/attachment/237653/_thumb_237653.png"/>
    <hyperlink ref="Y7" r:id="rId441" display="http://jiraproj.sg.uobnet.com/secure/attachment/238149/_thumb_238149.png"/>
    <hyperlink ref="Y3" r:id="rId442" display="http://jiraproj.sg.uobnet.com/secure/attachment/235052/_thumb_235052.png"/>
    <hyperlink ref="B197" r:id="rId443" display="http://jiraproj.sg.uobnet.com/browse/PEDAGML-236"/>
  </hyperlinks>
  <pageMargins left="0.7" right="0.7" top="0.75" bottom="0.75" header="0.3" footer="0.3"/>
  <tableParts count="1">
    <tablePart r:id="rId44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1"/>
  <sheetViews>
    <sheetView workbookViewId="0">
      <selection activeCell="A6" sqref="A6"/>
    </sheetView>
  </sheetViews>
  <sheetFormatPr defaultRowHeight="15" x14ac:dyDescent="0.25"/>
  <cols>
    <col min="1" max="1" width="40.140625" style="4" bestFit="1" customWidth="1"/>
    <col min="2" max="2" width="19.5703125" customWidth="1"/>
  </cols>
  <sheetData>
    <row r="1" spans="1:2" x14ac:dyDescent="0.25">
      <c r="A1" s="1" t="s">
        <v>0</v>
      </c>
      <c r="B1" s="2" t="s">
        <v>1</v>
      </c>
    </row>
    <row r="2" spans="1:2" x14ac:dyDescent="0.25">
      <c r="A2" s="3" t="s">
        <v>2</v>
      </c>
      <c r="B2" t="s">
        <v>3</v>
      </c>
    </row>
    <row r="3" spans="1:2" x14ac:dyDescent="0.25">
      <c r="A3" s="3" t="s">
        <v>4</v>
      </c>
      <c r="B3" t="s">
        <v>5</v>
      </c>
    </row>
    <row r="4" spans="1:2" x14ac:dyDescent="0.25">
      <c r="A4" s="3" t="s">
        <v>6</v>
      </c>
      <c r="B4" t="s">
        <v>7</v>
      </c>
    </row>
    <row r="5" spans="1:2" x14ac:dyDescent="0.25">
      <c r="A5" s="3" t="s">
        <v>8</v>
      </c>
      <c r="B5" t="s">
        <v>7</v>
      </c>
    </row>
    <row r="6" spans="1:2" x14ac:dyDescent="0.25">
      <c r="A6" s="3" t="s">
        <v>9</v>
      </c>
      <c r="B6" t="s">
        <v>10</v>
      </c>
    </row>
    <row r="7" spans="1:2" x14ac:dyDescent="0.25">
      <c r="A7" s="3" t="s">
        <v>11</v>
      </c>
      <c r="B7" t="s">
        <v>10</v>
      </c>
    </row>
    <row r="8" spans="1:2" x14ac:dyDescent="0.25">
      <c r="A8" s="3" t="s">
        <v>12</v>
      </c>
      <c r="B8" t="s">
        <v>13</v>
      </c>
    </row>
    <row r="9" spans="1:2" x14ac:dyDescent="0.25">
      <c r="A9" s="3" t="s">
        <v>14</v>
      </c>
      <c r="B9" t="s">
        <v>15</v>
      </c>
    </row>
    <row r="10" spans="1:2" x14ac:dyDescent="0.25">
      <c r="A10" s="3" t="s">
        <v>16</v>
      </c>
      <c r="B10" t="s">
        <v>17</v>
      </c>
    </row>
    <row r="11" spans="1:2" x14ac:dyDescent="0.25">
      <c r="A11" s="3" t="s">
        <v>18</v>
      </c>
      <c r="B11" t="s">
        <v>17</v>
      </c>
    </row>
    <row r="12" spans="1:2" x14ac:dyDescent="0.25">
      <c r="A12" s="3" t="s">
        <v>19</v>
      </c>
      <c r="B12" t="s">
        <v>20</v>
      </c>
    </row>
    <row r="13" spans="1:2" x14ac:dyDescent="0.25">
      <c r="A13" s="3" t="s">
        <v>21</v>
      </c>
      <c r="B13" t="s">
        <v>20</v>
      </c>
    </row>
    <row r="14" spans="1:2" x14ac:dyDescent="0.25">
      <c r="A14" s="3" t="s">
        <v>22</v>
      </c>
      <c r="B14" t="s">
        <v>20</v>
      </c>
    </row>
    <row r="15" spans="1:2" x14ac:dyDescent="0.25">
      <c r="A15" s="3" t="s">
        <v>23</v>
      </c>
      <c r="B15" t="s">
        <v>20</v>
      </c>
    </row>
    <row r="16" spans="1:2" x14ac:dyDescent="0.25">
      <c r="A16" s="3" t="s">
        <v>24</v>
      </c>
      <c r="B16" t="s">
        <v>20</v>
      </c>
    </row>
    <row r="17" spans="1:2" x14ac:dyDescent="0.25">
      <c r="A17" s="4" t="s">
        <v>25</v>
      </c>
      <c r="B17" t="s">
        <v>26</v>
      </c>
    </row>
    <row r="18" spans="1:2" x14ac:dyDescent="0.25">
      <c r="A18" s="3" t="s">
        <v>27</v>
      </c>
      <c r="B18" t="s">
        <v>7</v>
      </c>
    </row>
    <row r="19" spans="1:2" x14ac:dyDescent="0.25">
      <c r="A19" s="4" t="s">
        <v>28</v>
      </c>
      <c r="B19" t="s">
        <v>17</v>
      </c>
    </row>
    <row r="20" spans="1:2" x14ac:dyDescent="0.25">
      <c r="A20" s="4" t="s">
        <v>29</v>
      </c>
      <c r="B20" t="s">
        <v>10</v>
      </c>
    </row>
    <row r="21" spans="1:2" x14ac:dyDescent="0.25">
      <c r="A21" s="4" t="s">
        <v>30</v>
      </c>
      <c r="B21" t="s">
        <v>20</v>
      </c>
    </row>
    <row r="22" spans="1:2" x14ac:dyDescent="0.25">
      <c r="A22" s="5" t="s">
        <v>31</v>
      </c>
      <c r="B22" t="s">
        <v>32</v>
      </c>
    </row>
    <row r="23" spans="1:2" x14ac:dyDescent="0.25">
      <c r="A23" s="5" t="s">
        <v>33</v>
      </c>
      <c r="B23" t="s">
        <v>34</v>
      </c>
    </row>
    <row r="24" spans="1:2" x14ac:dyDescent="0.25">
      <c r="A24" s="6" t="s">
        <v>35</v>
      </c>
      <c r="B24" t="s">
        <v>13</v>
      </c>
    </row>
    <row r="25" spans="1:2" x14ac:dyDescent="0.25">
      <c r="A25" s="7" t="s">
        <v>36</v>
      </c>
      <c r="B25" t="s">
        <v>13</v>
      </c>
    </row>
    <row r="26" spans="1:2" x14ac:dyDescent="0.25">
      <c r="A26" s="6" t="s">
        <v>37</v>
      </c>
      <c r="B26" t="s">
        <v>13</v>
      </c>
    </row>
    <row r="27" spans="1:2" x14ac:dyDescent="0.25">
      <c r="A27" s="6" t="s">
        <v>38</v>
      </c>
      <c r="B27" t="s">
        <v>13</v>
      </c>
    </row>
    <row r="28" spans="1:2" x14ac:dyDescent="0.25">
      <c r="A28" s="7" t="s">
        <v>39</v>
      </c>
      <c r="B28" t="s">
        <v>13</v>
      </c>
    </row>
    <row r="29" spans="1:2" x14ac:dyDescent="0.25">
      <c r="A29" s="8" t="s">
        <v>40</v>
      </c>
      <c r="B29" t="s">
        <v>17</v>
      </c>
    </row>
    <row r="30" spans="1:2" x14ac:dyDescent="0.25">
      <c r="A30" s="4" t="s">
        <v>30</v>
      </c>
      <c r="B30" t="s">
        <v>20</v>
      </c>
    </row>
    <row r="31" spans="1:2" x14ac:dyDescent="0.25">
      <c r="A31" s="5" t="s">
        <v>41</v>
      </c>
      <c r="B31" t="s">
        <v>26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U381"/>
  <sheetViews>
    <sheetView workbookViewId="0">
      <selection activeCell="C3" sqref="C3"/>
    </sheetView>
  </sheetViews>
  <sheetFormatPr defaultRowHeight="12.75" x14ac:dyDescent="0.2"/>
  <cols>
    <col min="1" max="1" width="9.140625" style="13" customWidth="1"/>
    <col min="2" max="2" width="21.85546875" style="46" customWidth="1"/>
    <col min="3" max="3" width="20.28515625" style="13" customWidth="1"/>
    <col min="4" max="4" width="11.140625" style="13" customWidth="1"/>
    <col min="5" max="5" width="23" style="13" bestFit="1" customWidth="1"/>
    <col min="6" max="6" width="11.85546875" style="13" customWidth="1"/>
    <col min="7" max="7" width="11.42578125" style="13" customWidth="1"/>
    <col min="8" max="8" width="9.140625" style="13"/>
    <col min="9" max="9" width="12.7109375" style="13" customWidth="1"/>
    <col min="10" max="10" width="6.5703125" style="13" customWidth="1"/>
    <col min="11" max="11" width="9.140625" style="13" customWidth="1"/>
    <col min="12" max="12" width="9.140625" style="13"/>
    <col min="13" max="13" width="9.140625" style="13" customWidth="1"/>
    <col min="14" max="14" width="9.140625" style="46" customWidth="1"/>
    <col min="15" max="15" width="9.140625" style="13" customWidth="1"/>
    <col min="16" max="16" width="17.85546875" style="13" customWidth="1"/>
    <col min="17" max="17" width="18" style="13" customWidth="1"/>
    <col min="18" max="18" width="19.42578125" style="13" customWidth="1"/>
    <col min="19" max="19" width="9.140625" style="13"/>
    <col min="20" max="20" width="8.5703125" style="13" customWidth="1"/>
    <col min="21" max="21" width="9.140625" style="13"/>
    <col min="22" max="22" width="9.5703125" style="13" customWidth="1"/>
    <col min="23" max="32" width="9.140625" style="13" customWidth="1"/>
    <col min="33" max="33" width="13.85546875" style="13" customWidth="1"/>
    <col min="34" max="39" width="9.140625" style="13" customWidth="1"/>
    <col min="40" max="42" width="9.140625" style="13"/>
    <col min="43" max="43" width="9.42578125" style="13" bestFit="1" customWidth="1"/>
    <col min="44" max="44" width="9.140625" style="13"/>
    <col min="45" max="45" width="11.140625" style="13" customWidth="1"/>
    <col min="46" max="46" width="18.85546875" style="13" bestFit="1" customWidth="1"/>
    <col min="47" max="47" width="9.42578125" style="13" bestFit="1" customWidth="1"/>
    <col min="48" max="16384" width="9.140625" style="13"/>
  </cols>
  <sheetData>
    <row r="1" spans="1:47" ht="31.5" customHeight="1" x14ac:dyDescent="0.2">
      <c r="A1" s="9" t="s">
        <v>42</v>
      </c>
      <c r="B1" s="10" t="s">
        <v>43</v>
      </c>
      <c r="C1" s="9" t="s">
        <v>44</v>
      </c>
      <c r="D1" s="11" t="s">
        <v>45</v>
      </c>
      <c r="E1" s="11" t="s">
        <v>46</v>
      </c>
      <c r="F1" s="12" t="s">
        <v>47</v>
      </c>
      <c r="G1" s="12" t="s">
        <v>48</v>
      </c>
      <c r="H1" s="12" t="s">
        <v>49</v>
      </c>
      <c r="I1" s="12" t="s">
        <v>50</v>
      </c>
      <c r="J1" s="9" t="s">
        <v>51</v>
      </c>
      <c r="K1" s="9" t="s">
        <v>52</v>
      </c>
      <c r="L1" s="9" t="s">
        <v>53</v>
      </c>
      <c r="M1" s="9" t="s">
        <v>54</v>
      </c>
      <c r="N1" s="10" t="s">
        <v>55</v>
      </c>
      <c r="O1" s="9" t="s">
        <v>56</v>
      </c>
      <c r="P1" s="9" t="s">
        <v>57</v>
      </c>
      <c r="Q1" s="9" t="s">
        <v>58</v>
      </c>
      <c r="R1" s="9" t="s">
        <v>59</v>
      </c>
      <c r="S1" s="9" t="s">
        <v>60</v>
      </c>
      <c r="T1" s="9" t="s">
        <v>48</v>
      </c>
      <c r="U1" s="9" t="s">
        <v>61</v>
      </c>
      <c r="V1" s="9" t="s">
        <v>62</v>
      </c>
      <c r="W1" s="9" t="s">
        <v>63</v>
      </c>
      <c r="X1" s="9" t="s">
        <v>64</v>
      </c>
      <c r="Y1" s="9" t="s">
        <v>65</v>
      </c>
      <c r="Z1" s="9" t="s">
        <v>66</v>
      </c>
      <c r="AA1" s="9" t="s">
        <v>67</v>
      </c>
      <c r="AB1" s="9" t="s">
        <v>68</v>
      </c>
      <c r="AC1" s="9" t="s">
        <v>69</v>
      </c>
      <c r="AD1" s="9" t="s">
        <v>70</v>
      </c>
      <c r="AE1" s="9" t="s">
        <v>71</v>
      </c>
      <c r="AF1" s="9" t="s">
        <v>72</v>
      </c>
      <c r="AG1" s="9" t="s">
        <v>73</v>
      </c>
      <c r="AH1" s="9" t="s">
        <v>74</v>
      </c>
      <c r="AI1" s="9" t="s">
        <v>75</v>
      </c>
      <c r="AJ1" s="9" t="s">
        <v>76</v>
      </c>
      <c r="AK1" s="9" t="s">
        <v>77</v>
      </c>
      <c r="AL1" s="9" t="s">
        <v>78</v>
      </c>
      <c r="AM1" s="9" t="s">
        <v>79</v>
      </c>
      <c r="AN1" s="9" t="s">
        <v>80</v>
      </c>
      <c r="AO1" s="9" t="s">
        <v>81</v>
      </c>
      <c r="AP1" s="9" t="s">
        <v>82</v>
      </c>
      <c r="AQ1" s="9" t="s">
        <v>83</v>
      </c>
      <c r="AR1" s="11" t="s">
        <v>84</v>
      </c>
      <c r="AS1" s="11" t="s">
        <v>45</v>
      </c>
      <c r="AT1" s="11" t="s">
        <v>46</v>
      </c>
      <c r="AU1" s="11" t="s">
        <v>85</v>
      </c>
    </row>
    <row r="2" spans="1:47" s="16" customFormat="1" ht="142.5" x14ac:dyDescent="0.2">
      <c r="A2" s="14" t="s">
        <v>86</v>
      </c>
      <c r="B2" s="15" t="s">
        <v>87</v>
      </c>
      <c r="C2" s="14" t="s">
        <v>88</v>
      </c>
      <c r="D2" s="16" t="s">
        <v>89</v>
      </c>
      <c r="E2" s="16" t="s">
        <v>90</v>
      </c>
      <c r="J2" s="14" t="s">
        <v>91</v>
      </c>
      <c r="K2" s="14" t="s">
        <v>92</v>
      </c>
      <c r="L2" s="14" t="s">
        <v>93</v>
      </c>
      <c r="M2" s="17" t="s">
        <v>94</v>
      </c>
      <c r="N2" s="18" t="s">
        <v>29</v>
      </c>
      <c r="O2" s="14" t="s">
        <v>19</v>
      </c>
      <c r="P2" s="19">
        <v>42813.107638888891</v>
      </c>
      <c r="Q2" s="19">
        <v>42813.107638888891</v>
      </c>
      <c r="R2" s="14"/>
      <c r="S2" s="14" t="s">
        <v>95</v>
      </c>
      <c r="T2" s="14"/>
      <c r="U2" s="14" t="s">
        <v>96</v>
      </c>
      <c r="V2" s="14"/>
      <c r="W2" s="14">
        <v>0</v>
      </c>
      <c r="X2" s="14">
        <v>0</v>
      </c>
      <c r="Y2" s="14"/>
      <c r="Z2" s="14"/>
      <c r="AA2" s="14"/>
      <c r="AB2" s="14"/>
      <c r="AC2" s="14"/>
      <c r="AD2" s="14"/>
      <c r="AE2" s="14"/>
      <c r="AF2" s="14" t="s">
        <v>97</v>
      </c>
      <c r="AG2" s="14" t="s">
        <v>98</v>
      </c>
      <c r="AH2" s="14"/>
      <c r="AI2" s="14"/>
      <c r="AJ2" s="14"/>
      <c r="AK2" s="14"/>
      <c r="AL2" s="14"/>
      <c r="AM2" s="14"/>
      <c r="AN2" s="14" t="s">
        <v>99</v>
      </c>
      <c r="AO2" s="14"/>
      <c r="AP2" s="14"/>
      <c r="AQ2" s="14"/>
    </row>
    <row r="3" spans="1:47" s="16" customFormat="1" ht="114" x14ac:dyDescent="0.2">
      <c r="A3" s="14" t="s">
        <v>86</v>
      </c>
      <c r="B3" s="15" t="s">
        <v>100</v>
      </c>
      <c r="C3" s="14" t="s">
        <v>101</v>
      </c>
      <c r="D3" s="16" t="s">
        <v>89</v>
      </c>
      <c r="E3" s="16" t="s">
        <v>102</v>
      </c>
      <c r="J3" s="14" t="s">
        <v>91</v>
      </c>
      <c r="K3" s="14" t="s">
        <v>92</v>
      </c>
      <c r="L3" s="14" t="s">
        <v>103</v>
      </c>
      <c r="M3" s="17" t="s">
        <v>94</v>
      </c>
      <c r="N3" s="18" t="s">
        <v>37</v>
      </c>
      <c r="O3" s="14" t="s">
        <v>37</v>
      </c>
      <c r="P3" s="19">
        <v>42811.755555555559</v>
      </c>
      <c r="Q3" s="19">
        <v>42813.01666666667</v>
      </c>
      <c r="R3" s="14"/>
      <c r="S3" s="14" t="s">
        <v>104</v>
      </c>
      <c r="T3" s="14"/>
      <c r="U3" s="14" t="s">
        <v>96</v>
      </c>
      <c r="V3" s="14"/>
      <c r="W3" s="14">
        <v>0</v>
      </c>
      <c r="X3" s="14">
        <v>0</v>
      </c>
      <c r="Y3" s="14" t="s">
        <v>105</v>
      </c>
      <c r="Z3" s="14"/>
      <c r="AA3" s="14"/>
      <c r="AB3" s="14"/>
      <c r="AC3" s="14"/>
      <c r="AD3" s="14"/>
      <c r="AE3" s="14"/>
      <c r="AF3" s="14" t="s">
        <v>106</v>
      </c>
      <c r="AG3" s="14" t="s">
        <v>107</v>
      </c>
      <c r="AH3" s="14"/>
      <c r="AI3" s="14"/>
      <c r="AJ3" s="14"/>
      <c r="AK3" s="14"/>
      <c r="AL3" s="14"/>
      <c r="AM3" s="14"/>
      <c r="AN3" s="14"/>
      <c r="AO3" s="14"/>
      <c r="AP3" s="14"/>
      <c r="AQ3" s="14"/>
    </row>
    <row r="4" spans="1:47" s="16" customFormat="1" ht="171" x14ac:dyDescent="0.2">
      <c r="A4" s="14" t="s">
        <v>86</v>
      </c>
      <c r="B4" s="15" t="s">
        <v>108</v>
      </c>
      <c r="C4" s="14" t="s">
        <v>109</v>
      </c>
      <c r="D4" s="16" t="s">
        <v>89</v>
      </c>
      <c r="E4" s="16" t="s">
        <v>90</v>
      </c>
      <c r="J4" s="14" t="s">
        <v>91</v>
      </c>
      <c r="K4" s="14" t="s">
        <v>110</v>
      </c>
      <c r="L4" s="14" t="s">
        <v>93</v>
      </c>
      <c r="M4" s="17" t="s">
        <v>94</v>
      </c>
      <c r="N4" s="18" t="s">
        <v>111</v>
      </c>
      <c r="O4" s="14" t="s">
        <v>30</v>
      </c>
      <c r="P4" s="19">
        <v>42811.436111111114</v>
      </c>
      <c r="Q4" s="19">
        <v>42811.788888888892</v>
      </c>
      <c r="R4" s="14"/>
      <c r="S4" s="14" t="s">
        <v>112</v>
      </c>
      <c r="T4" s="14"/>
      <c r="U4" s="14" t="s">
        <v>96</v>
      </c>
      <c r="V4" s="14"/>
      <c r="W4" s="14">
        <v>0</v>
      </c>
      <c r="X4" s="14">
        <v>0</v>
      </c>
      <c r="Y4" s="14"/>
      <c r="Z4" s="14"/>
      <c r="AA4" s="14"/>
      <c r="AB4" s="14"/>
      <c r="AC4" s="14"/>
      <c r="AD4" s="14"/>
      <c r="AE4" s="14"/>
      <c r="AF4" s="14" t="s">
        <v>90</v>
      </c>
      <c r="AG4" s="14" t="s">
        <v>113</v>
      </c>
      <c r="AH4" s="14"/>
      <c r="AI4" s="14"/>
      <c r="AJ4" s="14"/>
      <c r="AK4" s="14"/>
      <c r="AL4" s="14"/>
      <c r="AM4" s="14"/>
      <c r="AN4" s="14" t="s">
        <v>114</v>
      </c>
      <c r="AO4" s="14"/>
      <c r="AP4" s="14"/>
      <c r="AQ4" s="14"/>
    </row>
    <row r="5" spans="1:47" s="16" customFormat="1" ht="409.5" x14ac:dyDescent="0.2">
      <c r="A5" s="14" t="s">
        <v>86</v>
      </c>
      <c r="B5" s="15" t="s">
        <v>115</v>
      </c>
      <c r="C5" s="14" t="s">
        <v>116</v>
      </c>
      <c r="D5" s="16" t="s">
        <v>117</v>
      </c>
      <c r="E5" s="16" t="s">
        <v>118</v>
      </c>
      <c r="J5" s="14" t="s">
        <v>91</v>
      </c>
      <c r="K5" s="14" t="s">
        <v>92</v>
      </c>
      <c r="L5" s="14" t="s">
        <v>93</v>
      </c>
      <c r="M5" s="17" t="s">
        <v>94</v>
      </c>
      <c r="N5" s="18" t="s">
        <v>18</v>
      </c>
      <c r="O5" s="14" t="s">
        <v>23</v>
      </c>
      <c r="P5" s="19">
        <v>42810.74722222222</v>
      </c>
      <c r="Q5" s="19">
        <v>42811.78125</v>
      </c>
      <c r="R5" s="14"/>
      <c r="S5" s="14" t="s">
        <v>104</v>
      </c>
      <c r="T5" s="14" t="s">
        <v>104</v>
      </c>
      <c r="U5" s="14" t="s">
        <v>117</v>
      </c>
      <c r="V5" s="14"/>
      <c r="W5" s="14">
        <v>0</v>
      </c>
      <c r="X5" s="14">
        <v>0</v>
      </c>
      <c r="Y5" s="14"/>
      <c r="Z5" s="14"/>
      <c r="AA5" s="14"/>
      <c r="AB5" s="14"/>
      <c r="AC5" s="14"/>
      <c r="AD5" s="14"/>
      <c r="AE5" s="14"/>
      <c r="AF5" s="14"/>
      <c r="AG5" s="14" t="s">
        <v>119</v>
      </c>
      <c r="AH5" s="14"/>
      <c r="AI5" s="14"/>
      <c r="AJ5" s="14"/>
      <c r="AK5" s="14"/>
      <c r="AL5" s="14"/>
      <c r="AM5" s="14"/>
      <c r="AN5" s="14" t="s">
        <v>120</v>
      </c>
      <c r="AO5" s="14"/>
      <c r="AP5" s="14"/>
      <c r="AQ5" s="14"/>
    </row>
    <row r="6" spans="1:47" ht="31.5" customHeight="1" x14ac:dyDescent="0.2">
      <c r="A6" s="14" t="s">
        <v>86</v>
      </c>
      <c r="B6" s="15" t="s">
        <v>121</v>
      </c>
      <c r="C6" s="14" t="s">
        <v>122</v>
      </c>
      <c r="D6" s="13" t="s">
        <v>96</v>
      </c>
      <c r="E6" s="13" t="s">
        <v>123</v>
      </c>
      <c r="J6" s="14" t="s">
        <v>91</v>
      </c>
      <c r="K6" s="14" t="s">
        <v>110</v>
      </c>
      <c r="L6" s="14" t="s">
        <v>124</v>
      </c>
      <c r="M6" s="17" t="s">
        <v>94</v>
      </c>
      <c r="N6" s="18" t="s">
        <v>111</v>
      </c>
      <c r="O6" s="14" t="s">
        <v>36</v>
      </c>
      <c r="P6" s="19">
        <v>42809.705555555556</v>
      </c>
      <c r="Q6" s="19">
        <v>42811.784722222219</v>
      </c>
      <c r="R6" s="14"/>
      <c r="S6" s="14" t="s">
        <v>104</v>
      </c>
      <c r="T6" s="14"/>
      <c r="U6" s="14" t="s">
        <v>96</v>
      </c>
      <c r="V6" s="14"/>
      <c r="W6" s="14">
        <v>0</v>
      </c>
      <c r="X6" s="14">
        <v>0</v>
      </c>
      <c r="Y6" s="14" t="s">
        <v>125</v>
      </c>
      <c r="Z6" s="14"/>
      <c r="AA6" s="14"/>
      <c r="AB6" s="14"/>
      <c r="AC6" s="14"/>
      <c r="AD6" s="14"/>
      <c r="AE6" s="14"/>
      <c r="AF6" s="14" t="s">
        <v>126</v>
      </c>
      <c r="AG6" s="14" t="s">
        <v>127</v>
      </c>
      <c r="AH6" s="14"/>
      <c r="AI6" s="14"/>
      <c r="AJ6" s="14"/>
      <c r="AK6" s="14"/>
      <c r="AL6" s="14"/>
      <c r="AM6" s="14"/>
      <c r="AN6" s="14"/>
      <c r="AO6" s="14"/>
      <c r="AP6" s="14"/>
      <c r="AQ6" s="14"/>
      <c r="AR6" s="9"/>
      <c r="AS6" s="9"/>
      <c r="AT6" s="9"/>
      <c r="AU6" s="9"/>
    </row>
    <row r="7" spans="1:47" ht="31.5" customHeight="1" x14ac:dyDescent="0.2">
      <c r="A7" s="14" t="s">
        <v>86</v>
      </c>
      <c r="B7" s="15" t="s">
        <v>128</v>
      </c>
      <c r="C7" s="14" t="s">
        <v>129</v>
      </c>
      <c r="D7" s="13" t="s">
        <v>130</v>
      </c>
      <c r="E7" s="13" t="s">
        <v>131</v>
      </c>
      <c r="J7" s="14" t="s">
        <v>91</v>
      </c>
      <c r="K7" s="14" t="s">
        <v>59</v>
      </c>
      <c r="L7" s="14" t="s">
        <v>124</v>
      </c>
      <c r="M7" s="14" t="s">
        <v>132</v>
      </c>
      <c r="N7" s="18" t="s">
        <v>36</v>
      </c>
      <c r="O7" s="14" t="s">
        <v>36</v>
      </c>
      <c r="P7" s="19">
        <v>42808.73333333333</v>
      </c>
      <c r="Q7" s="19">
        <v>42809.443749999999</v>
      </c>
      <c r="R7" s="19">
        <v>42809.443749999999</v>
      </c>
      <c r="S7" s="14" t="s">
        <v>104</v>
      </c>
      <c r="T7" s="14"/>
      <c r="U7" s="14" t="s">
        <v>96</v>
      </c>
      <c r="V7" s="14"/>
      <c r="W7" s="14">
        <v>0</v>
      </c>
      <c r="X7" s="14">
        <v>0</v>
      </c>
      <c r="Y7" s="20" t="s">
        <v>133</v>
      </c>
      <c r="Z7" s="14"/>
      <c r="AA7" s="14"/>
      <c r="AB7" s="14"/>
      <c r="AC7" s="14"/>
      <c r="AD7" s="14"/>
      <c r="AE7" s="14"/>
      <c r="AF7" s="14" t="s">
        <v>126</v>
      </c>
      <c r="AG7" s="14" t="s">
        <v>134</v>
      </c>
      <c r="AH7" s="14"/>
      <c r="AI7" s="14"/>
      <c r="AJ7" s="14"/>
      <c r="AK7" s="14"/>
      <c r="AL7" s="14"/>
      <c r="AM7" s="14"/>
      <c r="AN7" s="14"/>
      <c r="AO7" s="14" t="s">
        <v>135</v>
      </c>
      <c r="AP7" s="14"/>
      <c r="AQ7" s="14"/>
      <c r="AR7" s="9"/>
      <c r="AS7" s="9"/>
      <c r="AT7" s="9"/>
      <c r="AU7" s="9"/>
    </row>
    <row r="8" spans="1:47" ht="31.5" customHeight="1" x14ac:dyDescent="0.2">
      <c r="A8" s="14" t="s">
        <v>86</v>
      </c>
      <c r="B8" s="15" t="s">
        <v>136</v>
      </c>
      <c r="C8" s="14" t="s">
        <v>137</v>
      </c>
      <c r="D8" s="13" t="s">
        <v>117</v>
      </c>
      <c r="E8" s="13" t="s">
        <v>138</v>
      </c>
      <c r="J8" s="14" t="s">
        <v>91</v>
      </c>
      <c r="K8" s="14" t="s">
        <v>110</v>
      </c>
      <c r="L8" s="14" t="s">
        <v>93</v>
      </c>
      <c r="M8" s="17" t="s">
        <v>94</v>
      </c>
      <c r="N8" s="18" t="s">
        <v>111</v>
      </c>
      <c r="O8" s="14" t="s">
        <v>24</v>
      </c>
      <c r="P8" s="19">
        <v>42808.731249999997</v>
      </c>
      <c r="Q8" s="19">
        <v>42811.468055555553</v>
      </c>
      <c r="R8" s="14"/>
      <c r="S8" s="14" t="s">
        <v>139</v>
      </c>
      <c r="T8" s="14" t="s">
        <v>140</v>
      </c>
      <c r="U8" s="14" t="s">
        <v>117</v>
      </c>
      <c r="V8" s="14"/>
      <c r="W8" s="14">
        <v>0</v>
      </c>
      <c r="X8" s="14">
        <v>0</v>
      </c>
      <c r="Y8" s="14" t="s">
        <v>141</v>
      </c>
      <c r="Z8" s="14"/>
      <c r="AA8" s="14"/>
      <c r="AB8" s="14"/>
      <c r="AC8" s="14"/>
      <c r="AD8" s="14"/>
      <c r="AE8" s="14" t="s">
        <v>142</v>
      </c>
      <c r="AF8" s="14" t="s">
        <v>143</v>
      </c>
      <c r="AG8" s="14" t="s">
        <v>144</v>
      </c>
      <c r="AH8" s="14"/>
      <c r="AI8" s="14"/>
      <c r="AJ8" s="14"/>
      <c r="AK8" s="14"/>
      <c r="AL8" s="14"/>
      <c r="AM8" s="14"/>
      <c r="AN8" s="14" t="s">
        <v>145</v>
      </c>
      <c r="AO8" s="14"/>
      <c r="AP8" s="14" t="s">
        <v>146</v>
      </c>
      <c r="AQ8" s="14"/>
      <c r="AR8" s="9"/>
      <c r="AS8" s="9"/>
      <c r="AT8" s="9"/>
      <c r="AU8" s="9"/>
    </row>
    <row r="9" spans="1:47" ht="31.5" customHeight="1" x14ac:dyDescent="0.2">
      <c r="A9" s="14" t="s">
        <v>86</v>
      </c>
      <c r="B9" s="15" t="s">
        <v>147</v>
      </c>
      <c r="C9" s="14" t="s">
        <v>148</v>
      </c>
      <c r="D9" s="13" t="s">
        <v>89</v>
      </c>
      <c r="E9" s="13" t="s">
        <v>149</v>
      </c>
      <c r="J9" s="14" t="s">
        <v>91</v>
      </c>
      <c r="K9" s="14" t="s">
        <v>92</v>
      </c>
      <c r="L9" s="14" t="s">
        <v>124</v>
      </c>
      <c r="M9" s="17" t="s">
        <v>94</v>
      </c>
      <c r="N9" s="18" t="s">
        <v>29</v>
      </c>
      <c r="O9" s="14" t="s">
        <v>37</v>
      </c>
      <c r="P9" s="19">
        <v>42808.709027777775</v>
      </c>
      <c r="Q9" s="19">
        <v>42809.455555555556</v>
      </c>
      <c r="R9" s="14"/>
      <c r="S9" s="14" t="s">
        <v>104</v>
      </c>
      <c r="T9" s="14"/>
      <c r="U9" s="14" t="s">
        <v>89</v>
      </c>
      <c r="V9" s="14"/>
      <c r="W9" s="14">
        <v>0</v>
      </c>
      <c r="X9" s="14">
        <v>0</v>
      </c>
      <c r="Y9" s="14"/>
      <c r="Z9" s="14"/>
      <c r="AA9" s="14"/>
      <c r="AB9" s="14"/>
      <c r="AC9" s="14"/>
      <c r="AD9" s="14"/>
      <c r="AE9" s="14" t="s">
        <v>150</v>
      </c>
      <c r="AF9" s="14"/>
      <c r="AG9" s="14" t="s">
        <v>151</v>
      </c>
      <c r="AH9" s="14"/>
      <c r="AI9" s="14"/>
      <c r="AJ9" s="14"/>
      <c r="AK9" s="14"/>
      <c r="AL9" s="14"/>
      <c r="AM9" s="14"/>
      <c r="AN9" s="14" t="s">
        <v>149</v>
      </c>
      <c r="AO9" s="14"/>
      <c r="AP9" s="14"/>
      <c r="AQ9" s="14"/>
      <c r="AR9" s="9"/>
      <c r="AS9" s="9"/>
      <c r="AT9" s="9"/>
      <c r="AU9" s="9"/>
    </row>
    <row r="10" spans="1:47" ht="31.5" customHeight="1" x14ac:dyDescent="0.2">
      <c r="A10" s="14" t="s">
        <v>86</v>
      </c>
      <c r="B10" s="15" t="s">
        <v>152</v>
      </c>
      <c r="C10" s="14" t="s">
        <v>153</v>
      </c>
      <c r="D10" s="13" t="s">
        <v>117</v>
      </c>
      <c r="E10" s="13" t="s">
        <v>154</v>
      </c>
      <c r="J10" s="14" t="s">
        <v>91</v>
      </c>
      <c r="K10" s="14" t="s">
        <v>92</v>
      </c>
      <c r="L10" s="14" t="s">
        <v>103</v>
      </c>
      <c r="M10" s="17" t="s">
        <v>94</v>
      </c>
      <c r="N10" s="18" t="s">
        <v>18</v>
      </c>
      <c r="O10" s="14" t="s">
        <v>24</v>
      </c>
      <c r="P10" s="19">
        <v>42808.669444444444</v>
      </c>
      <c r="Q10" s="19">
        <v>42811.797222222223</v>
      </c>
      <c r="R10" s="14"/>
      <c r="S10" s="14" t="s">
        <v>139</v>
      </c>
      <c r="T10" s="14" t="s">
        <v>155</v>
      </c>
      <c r="U10" s="14" t="s">
        <v>117</v>
      </c>
      <c r="V10" s="14"/>
      <c r="W10" s="14">
        <v>0</v>
      </c>
      <c r="X10" s="14">
        <v>0</v>
      </c>
      <c r="Y10" s="14"/>
      <c r="Z10" s="14"/>
      <c r="AA10" s="14"/>
      <c r="AB10" s="14"/>
      <c r="AC10" s="14"/>
      <c r="AD10" s="14"/>
      <c r="AE10" s="14"/>
      <c r="AF10" s="14" t="s">
        <v>156</v>
      </c>
      <c r="AG10" s="14" t="s">
        <v>157</v>
      </c>
      <c r="AH10" s="14"/>
      <c r="AI10" s="14"/>
      <c r="AJ10" s="14"/>
      <c r="AK10" s="14"/>
      <c r="AL10" s="14"/>
      <c r="AM10" s="14"/>
      <c r="AN10" s="14" t="s">
        <v>158</v>
      </c>
      <c r="AO10" s="14"/>
      <c r="AP10" s="14" t="s">
        <v>146</v>
      </c>
      <c r="AQ10" s="14"/>
      <c r="AR10" s="9"/>
      <c r="AS10" s="9"/>
      <c r="AT10" s="9"/>
      <c r="AU10" s="9"/>
    </row>
    <row r="11" spans="1:47" ht="31.5" customHeight="1" x14ac:dyDescent="0.2">
      <c r="A11" s="14" t="s">
        <v>86</v>
      </c>
      <c r="B11" s="15" t="s">
        <v>159</v>
      </c>
      <c r="C11" s="14" t="s">
        <v>160</v>
      </c>
      <c r="D11" s="13" t="s">
        <v>89</v>
      </c>
      <c r="E11" s="13" t="s">
        <v>149</v>
      </c>
      <c r="J11" s="14" t="s">
        <v>91</v>
      </c>
      <c r="K11" s="14" t="s">
        <v>92</v>
      </c>
      <c r="L11" s="14" t="s">
        <v>124</v>
      </c>
      <c r="M11" s="17" t="s">
        <v>94</v>
      </c>
      <c r="N11" s="18" t="s">
        <v>29</v>
      </c>
      <c r="O11" s="14" t="s">
        <v>37</v>
      </c>
      <c r="P11" s="19">
        <v>42808.665972222225</v>
      </c>
      <c r="Q11" s="19">
        <v>42809.455555555556</v>
      </c>
      <c r="R11" s="14"/>
      <c r="S11" s="14" t="s">
        <v>104</v>
      </c>
      <c r="T11" s="14"/>
      <c r="U11" s="14" t="s">
        <v>89</v>
      </c>
      <c r="V11" s="14"/>
      <c r="W11" s="14">
        <v>0</v>
      </c>
      <c r="X11" s="14">
        <v>0</v>
      </c>
      <c r="Y11" s="14"/>
      <c r="Z11" s="14"/>
      <c r="AA11" s="14"/>
      <c r="AB11" s="14"/>
      <c r="AC11" s="14"/>
      <c r="AD11" s="14"/>
      <c r="AE11" s="14" t="s">
        <v>150</v>
      </c>
      <c r="AF11" s="14" t="s">
        <v>161</v>
      </c>
      <c r="AG11" s="14" t="s">
        <v>162</v>
      </c>
      <c r="AH11" s="14"/>
      <c r="AI11" s="14"/>
      <c r="AJ11" s="14"/>
      <c r="AK11" s="14"/>
      <c r="AL11" s="14"/>
      <c r="AM11" s="14"/>
      <c r="AN11" s="14" t="s">
        <v>149</v>
      </c>
      <c r="AO11" s="14"/>
      <c r="AP11" s="14" t="s">
        <v>163</v>
      </c>
      <c r="AQ11" s="14"/>
      <c r="AR11" s="9"/>
      <c r="AS11" s="9"/>
      <c r="AT11" s="9"/>
      <c r="AU11" s="9"/>
    </row>
    <row r="12" spans="1:47" ht="31.5" customHeight="1" x14ac:dyDescent="0.2">
      <c r="A12" s="14" t="s">
        <v>86</v>
      </c>
      <c r="B12" s="15" t="s">
        <v>164</v>
      </c>
      <c r="C12" s="14" t="s">
        <v>165</v>
      </c>
      <c r="D12" s="13" t="s">
        <v>96</v>
      </c>
      <c r="E12" s="13" t="s">
        <v>166</v>
      </c>
      <c r="J12" s="14" t="s">
        <v>91</v>
      </c>
      <c r="K12" s="14" t="s">
        <v>59</v>
      </c>
      <c r="L12" s="14" t="s">
        <v>167</v>
      </c>
      <c r="M12" s="14" t="s">
        <v>132</v>
      </c>
      <c r="N12" s="18" t="s">
        <v>36</v>
      </c>
      <c r="O12" s="14" t="s">
        <v>36</v>
      </c>
      <c r="P12" s="19">
        <v>42808.661111111112</v>
      </c>
      <c r="Q12" s="19">
        <v>42809.45</v>
      </c>
      <c r="R12" s="19">
        <v>42809.45</v>
      </c>
      <c r="S12" s="14" t="s">
        <v>104</v>
      </c>
      <c r="T12" s="14"/>
      <c r="U12" s="14" t="s">
        <v>96</v>
      </c>
      <c r="V12" s="14"/>
      <c r="W12" s="14">
        <v>0</v>
      </c>
      <c r="X12" s="14">
        <v>0</v>
      </c>
      <c r="Y12" s="20" t="s">
        <v>168</v>
      </c>
      <c r="Z12" s="14"/>
      <c r="AA12" s="14"/>
      <c r="AB12" s="14"/>
      <c r="AC12" s="14"/>
      <c r="AD12" s="14"/>
      <c r="AE12" s="14"/>
      <c r="AF12" s="14" t="s">
        <v>126</v>
      </c>
      <c r="AG12" s="14" t="s">
        <v>169</v>
      </c>
      <c r="AH12" s="14"/>
      <c r="AI12" s="14"/>
      <c r="AJ12" s="14"/>
      <c r="AK12" s="14"/>
      <c r="AL12" s="14"/>
      <c r="AM12" s="14"/>
      <c r="AN12" s="14"/>
      <c r="AO12" s="14" t="s">
        <v>170</v>
      </c>
      <c r="AP12" s="14"/>
      <c r="AQ12" s="14"/>
      <c r="AR12" s="9"/>
      <c r="AS12" s="9"/>
      <c r="AT12" s="9"/>
      <c r="AU12" s="9"/>
    </row>
    <row r="13" spans="1:47" ht="31.5" customHeight="1" x14ac:dyDescent="0.2">
      <c r="A13" s="14" t="s">
        <v>86</v>
      </c>
      <c r="B13" s="15" t="s">
        <v>171</v>
      </c>
      <c r="C13" s="14" t="s">
        <v>172</v>
      </c>
      <c r="D13" s="13" t="s">
        <v>117</v>
      </c>
      <c r="E13" s="13" t="s">
        <v>173</v>
      </c>
      <c r="J13" s="14" t="s">
        <v>91</v>
      </c>
      <c r="K13" s="14" t="s">
        <v>174</v>
      </c>
      <c r="L13" s="14" t="s">
        <v>124</v>
      </c>
      <c r="M13" s="17" t="s">
        <v>94</v>
      </c>
      <c r="N13" s="18" t="s">
        <v>23</v>
      </c>
      <c r="O13" s="14" t="s">
        <v>23</v>
      </c>
      <c r="P13" s="19">
        <v>42808.65347222222</v>
      </c>
      <c r="Q13" s="19">
        <v>42810.738888888889</v>
      </c>
      <c r="R13" s="14"/>
      <c r="S13" s="14" t="s">
        <v>104</v>
      </c>
      <c r="T13" s="14" t="s">
        <v>104</v>
      </c>
      <c r="U13" s="14" t="s">
        <v>117</v>
      </c>
      <c r="V13" s="14"/>
      <c r="W13" s="14">
        <v>0</v>
      </c>
      <c r="X13" s="14">
        <v>0</v>
      </c>
      <c r="Y13" s="20" t="s">
        <v>175</v>
      </c>
      <c r="Z13" s="14"/>
      <c r="AA13" s="14"/>
      <c r="AB13" s="14"/>
      <c r="AC13" s="14"/>
      <c r="AD13" s="14"/>
      <c r="AE13" s="14"/>
      <c r="AF13" s="14" t="s">
        <v>176</v>
      </c>
      <c r="AG13" s="14" t="s">
        <v>177</v>
      </c>
      <c r="AH13" s="14"/>
      <c r="AI13" s="14"/>
      <c r="AJ13" s="14"/>
      <c r="AK13" s="14"/>
      <c r="AL13" s="14"/>
      <c r="AM13" s="14"/>
      <c r="AN13" s="14" t="s">
        <v>173</v>
      </c>
      <c r="AO13" s="14" t="s">
        <v>178</v>
      </c>
      <c r="AP13" s="14"/>
      <c r="AQ13" s="14"/>
      <c r="AR13" s="9"/>
      <c r="AS13" s="9"/>
      <c r="AT13" s="9"/>
      <c r="AU13" s="9"/>
    </row>
    <row r="14" spans="1:47" ht="31.5" customHeight="1" x14ac:dyDescent="0.2">
      <c r="A14" s="14" t="s">
        <v>86</v>
      </c>
      <c r="B14" s="15" t="s">
        <v>179</v>
      </c>
      <c r="C14" s="14" t="s">
        <v>180</v>
      </c>
      <c r="D14" s="13" t="s">
        <v>89</v>
      </c>
      <c r="E14" s="13" t="s">
        <v>149</v>
      </c>
      <c r="J14" s="14" t="s">
        <v>91</v>
      </c>
      <c r="K14" s="14" t="s">
        <v>92</v>
      </c>
      <c r="L14" s="14" t="s">
        <v>93</v>
      </c>
      <c r="M14" s="17" t="s">
        <v>94</v>
      </c>
      <c r="N14" s="18" t="s">
        <v>29</v>
      </c>
      <c r="O14" s="14" t="s">
        <v>36</v>
      </c>
      <c r="P14" s="19">
        <v>42808.642361111109</v>
      </c>
      <c r="Q14" s="19">
        <v>42809.458333333336</v>
      </c>
      <c r="R14" s="14"/>
      <c r="S14" s="14" t="s">
        <v>104</v>
      </c>
      <c r="T14" s="14"/>
      <c r="U14" s="14" t="s">
        <v>89</v>
      </c>
      <c r="V14" s="14"/>
      <c r="W14" s="14">
        <v>0</v>
      </c>
      <c r="X14" s="14">
        <v>0</v>
      </c>
      <c r="Y14" s="14" t="s">
        <v>181</v>
      </c>
      <c r="Z14" s="14"/>
      <c r="AA14" s="14"/>
      <c r="AB14" s="14"/>
      <c r="AC14" s="14"/>
      <c r="AD14" s="14"/>
      <c r="AE14" s="14" t="s">
        <v>150</v>
      </c>
      <c r="AF14" s="14" t="s">
        <v>126</v>
      </c>
      <c r="AG14" s="14" t="s">
        <v>182</v>
      </c>
      <c r="AH14" s="14"/>
      <c r="AI14" s="14"/>
      <c r="AJ14" s="14"/>
      <c r="AK14" s="14"/>
      <c r="AL14" s="14"/>
      <c r="AM14" s="14"/>
      <c r="AN14" s="14" t="s">
        <v>149</v>
      </c>
      <c r="AO14" s="14"/>
      <c r="AP14" s="14"/>
      <c r="AQ14" s="14"/>
      <c r="AR14" s="9"/>
      <c r="AS14" s="9"/>
      <c r="AT14" s="9"/>
      <c r="AU14" s="9"/>
    </row>
    <row r="15" spans="1:47" ht="31.5" customHeight="1" x14ac:dyDescent="0.2">
      <c r="A15" s="14" t="s">
        <v>86</v>
      </c>
      <c r="B15" s="15" t="s">
        <v>183</v>
      </c>
      <c r="C15" s="14" t="s">
        <v>184</v>
      </c>
      <c r="D15" s="13" t="s">
        <v>117</v>
      </c>
      <c r="E15" s="13" t="s">
        <v>123</v>
      </c>
      <c r="J15" s="14" t="s">
        <v>91</v>
      </c>
      <c r="K15" s="14" t="s">
        <v>110</v>
      </c>
      <c r="L15" s="14" t="s">
        <v>93</v>
      </c>
      <c r="M15" s="17" t="s">
        <v>94</v>
      </c>
      <c r="N15" s="18" t="s">
        <v>111</v>
      </c>
      <c r="O15" s="14" t="s">
        <v>24</v>
      </c>
      <c r="P15" s="19">
        <v>42807.765277777777</v>
      </c>
      <c r="Q15" s="19">
        <v>42811.436805555553</v>
      </c>
      <c r="R15" s="14"/>
      <c r="S15" s="14" t="s">
        <v>139</v>
      </c>
      <c r="T15" s="14" t="s">
        <v>139</v>
      </c>
      <c r="U15" s="14" t="s">
        <v>117</v>
      </c>
      <c r="V15" s="14"/>
      <c r="W15" s="14">
        <v>0</v>
      </c>
      <c r="X15" s="14">
        <v>0</v>
      </c>
      <c r="Y15" s="14"/>
      <c r="Z15" s="14"/>
      <c r="AA15" s="14"/>
      <c r="AB15" s="14"/>
      <c r="AC15" s="14"/>
      <c r="AD15" s="14"/>
      <c r="AE15" s="14"/>
      <c r="AF15" s="14" t="s">
        <v>156</v>
      </c>
      <c r="AG15" s="14" t="s">
        <v>185</v>
      </c>
      <c r="AH15" s="14"/>
      <c r="AI15" s="14"/>
      <c r="AJ15" s="14"/>
      <c r="AK15" s="14"/>
      <c r="AL15" s="14"/>
      <c r="AM15" s="14"/>
      <c r="AN15" s="14" t="s">
        <v>123</v>
      </c>
      <c r="AO15" s="14"/>
      <c r="AP15" s="14" t="s">
        <v>146</v>
      </c>
      <c r="AQ15" s="14"/>
      <c r="AR15" s="9"/>
      <c r="AS15" s="9"/>
      <c r="AT15" s="9"/>
      <c r="AU15" s="9"/>
    </row>
    <row r="16" spans="1:47" ht="31.5" customHeight="1" x14ac:dyDescent="0.2">
      <c r="A16" s="14" t="s">
        <v>86</v>
      </c>
      <c r="B16" s="15" t="s">
        <v>150</v>
      </c>
      <c r="C16" s="14" t="s">
        <v>186</v>
      </c>
      <c r="D16" s="13" t="s">
        <v>89</v>
      </c>
      <c r="E16" s="13" t="s">
        <v>149</v>
      </c>
      <c r="J16" s="14" t="s">
        <v>91</v>
      </c>
      <c r="K16" s="14" t="s">
        <v>92</v>
      </c>
      <c r="L16" s="14" t="s">
        <v>124</v>
      </c>
      <c r="M16" s="17" t="s">
        <v>94</v>
      </c>
      <c r="N16" s="18" t="s">
        <v>187</v>
      </c>
      <c r="O16" s="14" t="s">
        <v>36</v>
      </c>
      <c r="P16" s="19">
        <v>42807.761805555558</v>
      </c>
      <c r="Q16" s="19">
        <v>42809.429166666669</v>
      </c>
      <c r="R16" s="14"/>
      <c r="S16" s="14" t="s">
        <v>104</v>
      </c>
      <c r="T16" s="14"/>
      <c r="U16" s="14" t="s">
        <v>89</v>
      </c>
      <c r="V16" s="14"/>
      <c r="W16" s="14">
        <v>0</v>
      </c>
      <c r="X16" s="14">
        <v>0</v>
      </c>
      <c r="Y16" s="14" t="s">
        <v>188</v>
      </c>
      <c r="Z16" s="14"/>
      <c r="AA16" s="14"/>
      <c r="AB16" s="14"/>
      <c r="AC16" s="14"/>
      <c r="AD16" s="14"/>
      <c r="AE16" s="14" t="s">
        <v>189</v>
      </c>
      <c r="AF16" s="14" t="s">
        <v>126</v>
      </c>
      <c r="AG16" s="14" t="s">
        <v>190</v>
      </c>
      <c r="AH16" s="14"/>
      <c r="AI16" s="14"/>
      <c r="AJ16" s="14"/>
      <c r="AK16" s="14"/>
      <c r="AL16" s="14"/>
      <c r="AM16" s="14"/>
      <c r="AN16" s="14"/>
      <c r="AO16" s="14"/>
      <c r="AP16" s="14"/>
      <c r="AQ16" s="14"/>
      <c r="AR16" s="9"/>
      <c r="AS16" s="9"/>
      <c r="AT16" s="9"/>
      <c r="AU16" s="9"/>
    </row>
    <row r="17" spans="1:47" ht="31.5" customHeight="1" x14ac:dyDescent="0.2">
      <c r="A17" s="14" t="s">
        <v>86</v>
      </c>
      <c r="B17" s="15" t="s">
        <v>191</v>
      </c>
      <c r="C17" s="14" t="s">
        <v>192</v>
      </c>
      <c r="D17" s="13" t="s">
        <v>117</v>
      </c>
      <c r="E17" s="13" t="s">
        <v>193</v>
      </c>
      <c r="J17" s="14" t="s">
        <v>91</v>
      </c>
      <c r="K17" s="14" t="s">
        <v>110</v>
      </c>
      <c r="L17" s="14" t="s">
        <v>167</v>
      </c>
      <c r="M17" s="17" t="s">
        <v>94</v>
      </c>
      <c r="N17" s="18" t="s">
        <v>111</v>
      </c>
      <c r="O17" s="14" t="s">
        <v>23</v>
      </c>
      <c r="P17" s="19">
        <v>42807.696527777778</v>
      </c>
      <c r="Q17" s="19">
        <v>42810.688888888886</v>
      </c>
      <c r="R17" s="14"/>
      <c r="S17" s="14" t="s">
        <v>139</v>
      </c>
      <c r="T17" s="14" t="s">
        <v>139</v>
      </c>
      <c r="U17" s="14" t="s">
        <v>117</v>
      </c>
      <c r="V17" s="14"/>
      <c r="W17" s="14">
        <v>0</v>
      </c>
      <c r="X17" s="14">
        <v>0</v>
      </c>
      <c r="Y17" s="14"/>
      <c r="Z17" s="14"/>
      <c r="AA17" s="14"/>
      <c r="AB17" s="14"/>
      <c r="AC17" s="14"/>
      <c r="AD17" s="14"/>
      <c r="AE17" s="14"/>
      <c r="AF17" s="14"/>
      <c r="AG17" s="14" t="s">
        <v>194</v>
      </c>
      <c r="AH17" s="14"/>
      <c r="AI17" s="14"/>
      <c r="AJ17" s="14"/>
      <c r="AK17" s="14"/>
      <c r="AL17" s="14"/>
      <c r="AM17" s="14"/>
      <c r="AN17" s="14" t="s">
        <v>193</v>
      </c>
      <c r="AO17" s="14"/>
      <c r="AP17" s="14"/>
      <c r="AQ17" s="14"/>
      <c r="AR17" s="9"/>
      <c r="AS17" s="9"/>
      <c r="AT17" s="9"/>
      <c r="AU17" s="9"/>
    </row>
    <row r="18" spans="1:47" ht="31.5" customHeight="1" x14ac:dyDescent="0.2">
      <c r="A18" s="14" t="s">
        <v>86</v>
      </c>
      <c r="B18" s="15" t="s">
        <v>195</v>
      </c>
      <c r="C18" s="14" t="s">
        <v>196</v>
      </c>
      <c r="D18" s="13" t="s">
        <v>117</v>
      </c>
      <c r="E18" s="13" t="s">
        <v>154</v>
      </c>
      <c r="J18" s="14" t="s">
        <v>91</v>
      </c>
      <c r="K18" s="14" t="s">
        <v>110</v>
      </c>
      <c r="L18" s="14" t="s">
        <v>93</v>
      </c>
      <c r="M18" s="17" t="s">
        <v>94</v>
      </c>
      <c r="N18" s="18" t="s">
        <v>111</v>
      </c>
      <c r="O18" s="14" t="s">
        <v>24</v>
      </c>
      <c r="P18" s="19">
        <v>42807.679166666669</v>
      </c>
      <c r="Q18" s="19">
        <v>42810.688194444447</v>
      </c>
      <c r="R18" s="14"/>
      <c r="S18" s="14" t="s">
        <v>139</v>
      </c>
      <c r="T18" s="14" t="s">
        <v>197</v>
      </c>
      <c r="U18" s="14" t="s">
        <v>117</v>
      </c>
      <c r="V18" s="14"/>
      <c r="W18" s="14">
        <v>0</v>
      </c>
      <c r="X18" s="14">
        <v>0</v>
      </c>
      <c r="Y18" s="14"/>
      <c r="Z18" s="14"/>
      <c r="AA18" s="14"/>
      <c r="AB18" s="14"/>
      <c r="AC18" s="14"/>
      <c r="AD18" s="14"/>
      <c r="AE18" s="14"/>
      <c r="AF18" s="14" t="s">
        <v>156</v>
      </c>
      <c r="AG18" s="14" t="s">
        <v>198</v>
      </c>
      <c r="AH18" s="14"/>
      <c r="AI18" s="14"/>
      <c r="AJ18" s="14"/>
      <c r="AK18" s="14"/>
      <c r="AL18" s="14"/>
      <c r="AM18" s="14"/>
      <c r="AN18" s="14" t="s">
        <v>158</v>
      </c>
      <c r="AO18" s="14"/>
      <c r="AP18" s="14"/>
      <c r="AQ18" s="14"/>
      <c r="AR18" s="9"/>
      <c r="AS18" s="9"/>
      <c r="AT18" s="9"/>
      <c r="AU18" s="9"/>
    </row>
    <row r="19" spans="1:47" ht="31.5" customHeight="1" x14ac:dyDescent="0.2">
      <c r="A19" s="14" t="s">
        <v>86</v>
      </c>
      <c r="B19" s="15" t="s">
        <v>199</v>
      </c>
      <c r="C19" s="14" t="s">
        <v>200</v>
      </c>
      <c r="D19" s="13" t="s">
        <v>96</v>
      </c>
      <c r="E19" s="13" t="s">
        <v>166</v>
      </c>
      <c r="J19" s="14" t="s">
        <v>91</v>
      </c>
      <c r="K19" s="14" t="s">
        <v>59</v>
      </c>
      <c r="L19" s="14" t="s">
        <v>167</v>
      </c>
      <c r="M19" s="14" t="s">
        <v>201</v>
      </c>
      <c r="N19" s="18" t="s">
        <v>202</v>
      </c>
      <c r="O19" s="14" t="s">
        <v>36</v>
      </c>
      <c r="P19" s="19">
        <v>42807.65347222222</v>
      </c>
      <c r="Q19" s="19">
        <v>42808.656944444447</v>
      </c>
      <c r="R19" s="19">
        <v>42808.656944444447</v>
      </c>
      <c r="S19" s="14" t="s">
        <v>203</v>
      </c>
      <c r="T19" s="14" t="s">
        <v>204</v>
      </c>
      <c r="U19" s="14" t="s">
        <v>96</v>
      </c>
      <c r="V19" s="14"/>
      <c r="W19" s="14">
        <v>0</v>
      </c>
      <c r="X19" s="14">
        <v>0</v>
      </c>
      <c r="Y19" s="14" t="s">
        <v>205</v>
      </c>
      <c r="Z19" s="14"/>
      <c r="AA19" s="14"/>
      <c r="AB19" s="14"/>
      <c r="AC19" s="14"/>
      <c r="AD19" s="14"/>
      <c r="AE19" s="14"/>
      <c r="AF19" s="14" t="s">
        <v>126</v>
      </c>
      <c r="AG19" s="14" t="s">
        <v>206</v>
      </c>
      <c r="AH19" s="14"/>
      <c r="AI19" s="14"/>
      <c r="AJ19" s="14"/>
      <c r="AK19" s="14"/>
      <c r="AL19" s="14"/>
      <c r="AM19" s="14"/>
      <c r="AN19" s="14"/>
      <c r="AO19" s="14" t="s">
        <v>207</v>
      </c>
      <c r="AP19" s="14" t="s">
        <v>146</v>
      </c>
      <c r="AQ19" s="14"/>
      <c r="AR19" s="9"/>
      <c r="AS19" s="9"/>
      <c r="AT19" s="9"/>
      <c r="AU19" s="9"/>
    </row>
    <row r="20" spans="1:47" ht="31.5" customHeight="1" x14ac:dyDescent="0.2">
      <c r="A20" s="14" t="s">
        <v>86</v>
      </c>
      <c r="B20" s="15" t="s">
        <v>208</v>
      </c>
      <c r="C20" s="14" t="s">
        <v>209</v>
      </c>
      <c r="D20" s="13" t="s">
        <v>117</v>
      </c>
      <c r="E20" s="13" t="s">
        <v>193</v>
      </c>
      <c r="J20" s="14" t="s">
        <v>91</v>
      </c>
      <c r="K20" s="14" t="s">
        <v>110</v>
      </c>
      <c r="L20" s="14" t="s">
        <v>103</v>
      </c>
      <c r="M20" s="17" t="s">
        <v>94</v>
      </c>
      <c r="N20" s="18" t="s">
        <v>111</v>
      </c>
      <c r="O20" s="14" t="s">
        <v>24</v>
      </c>
      <c r="P20" s="19">
        <v>42807.647222222222</v>
      </c>
      <c r="Q20" s="19">
        <v>42811.438888888886</v>
      </c>
      <c r="R20" s="14"/>
      <c r="S20" s="14" t="s">
        <v>139</v>
      </c>
      <c r="T20" s="14" t="s">
        <v>210</v>
      </c>
      <c r="U20" s="14" t="s">
        <v>117</v>
      </c>
      <c r="V20" s="14"/>
      <c r="W20" s="14">
        <v>0</v>
      </c>
      <c r="X20" s="14">
        <v>0</v>
      </c>
      <c r="Y20" s="14"/>
      <c r="Z20" s="14"/>
      <c r="AA20" s="14"/>
      <c r="AB20" s="14"/>
      <c r="AC20" s="14"/>
      <c r="AD20" s="14"/>
      <c r="AE20" s="14"/>
      <c r="AF20" s="14" t="s">
        <v>143</v>
      </c>
      <c r="AG20" s="14" t="s">
        <v>211</v>
      </c>
      <c r="AH20" s="14"/>
      <c r="AI20" s="14"/>
      <c r="AJ20" s="14"/>
      <c r="AK20" s="14"/>
      <c r="AL20" s="14"/>
      <c r="AM20" s="14"/>
      <c r="AN20" s="14" t="s">
        <v>193</v>
      </c>
      <c r="AO20" s="14"/>
      <c r="AP20" s="14" t="s">
        <v>146</v>
      </c>
      <c r="AQ20" s="14"/>
      <c r="AR20" s="9"/>
      <c r="AS20" s="9"/>
      <c r="AT20" s="9"/>
      <c r="AU20" s="9"/>
    </row>
    <row r="21" spans="1:47" ht="31.5" customHeight="1" x14ac:dyDescent="0.2">
      <c r="A21" s="14" t="s">
        <v>86</v>
      </c>
      <c r="B21" s="15" t="s">
        <v>212</v>
      </c>
      <c r="C21" s="14" t="s">
        <v>213</v>
      </c>
      <c r="D21" s="13" t="s">
        <v>89</v>
      </c>
      <c r="E21" s="13" t="s">
        <v>214</v>
      </c>
      <c r="J21" s="14" t="s">
        <v>91</v>
      </c>
      <c r="K21" s="14" t="s">
        <v>110</v>
      </c>
      <c r="L21" s="14" t="s">
        <v>93</v>
      </c>
      <c r="M21" s="17" t="s">
        <v>94</v>
      </c>
      <c r="N21" s="18" t="s">
        <v>111</v>
      </c>
      <c r="O21" s="14" t="s">
        <v>19</v>
      </c>
      <c r="P21" s="19">
        <v>42807.640972222223</v>
      </c>
      <c r="Q21" s="19">
        <v>42811.728472222225</v>
      </c>
      <c r="R21" s="14"/>
      <c r="S21" s="14" t="s">
        <v>104</v>
      </c>
      <c r="T21" s="14"/>
      <c r="U21" s="14" t="s">
        <v>89</v>
      </c>
      <c r="V21" s="14"/>
      <c r="W21" s="14">
        <v>0</v>
      </c>
      <c r="X21" s="14">
        <v>0</v>
      </c>
      <c r="Y21" s="14"/>
      <c r="Z21" s="14"/>
      <c r="AA21" s="14"/>
      <c r="AB21" s="14"/>
      <c r="AC21" s="14"/>
      <c r="AD21" s="14"/>
      <c r="AE21" s="14"/>
      <c r="AF21" s="14"/>
      <c r="AG21" s="14" t="s">
        <v>215</v>
      </c>
      <c r="AH21" s="14"/>
      <c r="AI21" s="14"/>
      <c r="AJ21" s="14"/>
      <c r="AK21" s="14"/>
      <c r="AL21" s="14"/>
      <c r="AM21" s="14"/>
      <c r="AN21" s="14" t="s">
        <v>216</v>
      </c>
      <c r="AO21" s="14"/>
      <c r="AP21" s="14"/>
      <c r="AQ21" s="14"/>
      <c r="AR21" s="9"/>
      <c r="AS21" s="9"/>
      <c r="AT21" s="9"/>
      <c r="AU21" s="9"/>
    </row>
    <row r="22" spans="1:47" ht="31.5" customHeight="1" x14ac:dyDescent="0.2">
      <c r="A22" s="14" t="s">
        <v>86</v>
      </c>
      <c r="B22" s="15" t="s">
        <v>217</v>
      </c>
      <c r="C22" s="14" t="s">
        <v>218</v>
      </c>
      <c r="D22" s="13" t="s">
        <v>89</v>
      </c>
      <c r="E22" s="13" t="s">
        <v>149</v>
      </c>
      <c r="J22" s="14" t="s">
        <v>91</v>
      </c>
      <c r="K22" s="14" t="s">
        <v>59</v>
      </c>
      <c r="L22" s="14" t="s">
        <v>93</v>
      </c>
      <c r="M22" s="14" t="s">
        <v>132</v>
      </c>
      <c r="N22" s="18" t="s">
        <v>21</v>
      </c>
      <c r="O22" s="14" t="s">
        <v>19</v>
      </c>
      <c r="P22" s="19">
        <v>42807.629861111112</v>
      </c>
      <c r="Q22" s="19">
        <v>42808.486111111109</v>
      </c>
      <c r="R22" s="19">
        <v>42808.486111111109</v>
      </c>
      <c r="S22" s="14" t="s">
        <v>104</v>
      </c>
      <c r="T22" s="14" t="s">
        <v>219</v>
      </c>
      <c r="U22" s="14" t="s">
        <v>89</v>
      </c>
      <c r="V22" s="14"/>
      <c r="W22" s="14">
        <v>0</v>
      </c>
      <c r="X22" s="14">
        <v>0</v>
      </c>
      <c r="Y22" s="14"/>
      <c r="Z22" s="14"/>
      <c r="AA22" s="14"/>
      <c r="AB22" s="14"/>
      <c r="AC22" s="14"/>
      <c r="AD22" s="14"/>
      <c r="AE22" s="14"/>
      <c r="AF22" s="14"/>
      <c r="AG22" s="14" t="s">
        <v>220</v>
      </c>
      <c r="AH22" s="14"/>
      <c r="AI22" s="14"/>
      <c r="AJ22" s="14"/>
      <c r="AK22" s="14"/>
      <c r="AL22" s="14"/>
      <c r="AM22" s="14"/>
      <c r="AN22" s="14" t="s">
        <v>149</v>
      </c>
      <c r="AO22" s="14" t="s">
        <v>221</v>
      </c>
      <c r="AP22" s="14"/>
      <c r="AQ22" s="14"/>
      <c r="AR22" s="9"/>
      <c r="AS22" s="9"/>
      <c r="AT22" s="9"/>
      <c r="AU22" s="9"/>
    </row>
    <row r="23" spans="1:47" ht="31.5" customHeight="1" x14ac:dyDescent="0.2">
      <c r="A23" s="14" t="s">
        <v>86</v>
      </c>
      <c r="B23" s="15" t="s">
        <v>222</v>
      </c>
      <c r="C23" s="14" t="s">
        <v>223</v>
      </c>
      <c r="D23" s="13" t="s">
        <v>89</v>
      </c>
      <c r="E23" s="13" t="s">
        <v>149</v>
      </c>
      <c r="J23" s="14" t="s">
        <v>91</v>
      </c>
      <c r="K23" s="14" t="s">
        <v>59</v>
      </c>
      <c r="L23" s="14" t="s">
        <v>93</v>
      </c>
      <c r="M23" s="14" t="s">
        <v>132</v>
      </c>
      <c r="N23" s="18" t="s">
        <v>21</v>
      </c>
      <c r="O23" s="14" t="s">
        <v>19</v>
      </c>
      <c r="P23" s="19">
        <v>42807.626388888886</v>
      </c>
      <c r="Q23" s="19">
        <v>42808.479861111111</v>
      </c>
      <c r="R23" s="19">
        <v>42808.479861111111</v>
      </c>
      <c r="S23" s="14" t="s">
        <v>104</v>
      </c>
      <c r="T23" s="14" t="s">
        <v>219</v>
      </c>
      <c r="U23" s="14" t="s">
        <v>89</v>
      </c>
      <c r="V23" s="14"/>
      <c r="W23" s="14">
        <v>0</v>
      </c>
      <c r="X23" s="14">
        <v>0</v>
      </c>
      <c r="Y23" s="14"/>
      <c r="Z23" s="14"/>
      <c r="AA23" s="14"/>
      <c r="AB23" s="14"/>
      <c r="AC23" s="14"/>
      <c r="AD23" s="14"/>
      <c r="AE23" s="14" t="s">
        <v>224</v>
      </c>
      <c r="AF23" s="14"/>
      <c r="AG23" s="14" t="s">
        <v>225</v>
      </c>
      <c r="AH23" s="14"/>
      <c r="AI23" s="14"/>
      <c r="AJ23" s="14"/>
      <c r="AK23" s="14"/>
      <c r="AL23" s="14"/>
      <c r="AM23" s="14"/>
      <c r="AN23" s="14" t="s">
        <v>149</v>
      </c>
      <c r="AO23" s="14" t="s">
        <v>226</v>
      </c>
      <c r="AP23" s="14"/>
      <c r="AQ23" s="14"/>
      <c r="AR23" s="9"/>
      <c r="AS23" s="9"/>
      <c r="AT23" s="9"/>
      <c r="AU23" s="9"/>
    </row>
    <row r="24" spans="1:47" ht="31.5" customHeight="1" x14ac:dyDescent="0.2">
      <c r="A24" s="14" t="s">
        <v>86</v>
      </c>
      <c r="B24" s="15" t="s">
        <v>227</v>
      </c>
      <c r="C24" s="14" t="s">
        <v>228</v>
      </c>
      <c r="D24" s="13" t="s">
        <v>117</v>
      </c>
      <c r="E24" s="13" t="s">
        <v>229</v>
      </c>
      <c r="J24" s="14" t="s">
        <v>91</v>
      </c>
      <c r="K24" s="14" t="s">
        <v>59</v>
      </c>
      <c r="L24" s="14" t="s">
        <v>103</v>
      </c>
      <c r="M24" s="14" t="s">
        <v>201</v>
      </c>
      <c r="N24" s="18" t="s">
        <v>24</v>
      </c>
      <c r="O24" s="14" t="s">
        <v>24</v>
      </c>
      <c r="P24" s="19">
        <v>42807.543055555558</v>
      </c>
      <c r="Q24" s="19">
        <v>42808.663888888892</v>
      </c>
      <c r="R24" s="19">
        <v>42808.663888888892</v>
      </c>
      <c r="S24" s="14" t="s">
        <v>139</v>
      </c>
      <c r="T24" s="14" t="s">
        <v>139</v>
      </c>
      <c r="U24" s="14" t="s">
        <v>117</v>
      </c>
      <c r="V24" s="14"/>
      <c r="W24" s="14">
        <v>0</v>
      </c>
      <c r="X24" s="14">
        <v>0</v>
      </c>
      <c r="Y24" s="14"/>
      <c r="Z24" s="14"/>
      <c r="AA24" s="14"/>
      <c r="AB24" s="14"/>
      <c r="AC24" s="14"/>
      <c r="AD24" s="14"/>
      <c r="AE24" s="14"/>
      <c r="AF24" s="14" t="s">
        <v>156</v>
      </c>
      <c r="AG24" s="14" t="s">
        <v>230</v>
      </c>
      <c r="AH24" s="14"/>
      <c r="AI24" s="14"/>
      <c r="AJ24" s="14"/>
      <c r="AK24" s="14"/>
      <c r="AL24" s="14"/>
      <c r="AM24" s="14"/>
      <c r="AN24" s="14" t="s">
        <v>229</v>
      </c>
      <c r="AO24" s="14"/>
      <c r="AP24" s="14"/>
      <c r="AQ24" s="14"/>
      <c r="AR24" s="9"/>
      <c r="AS24" s="9"/>
      <c r="AT24" s="9"/>
      <c r="AU24" s="9"/>
    </row>
    <row r="25" spans="1:47" ht="31.5" customHeight="1" x14ac:dyDescent="0.2">
      <c r="A25" s="14" t="s">
        <v>86</v>
      </c>
      <c r="B25" s="15" t="s">
        <v>231</v>
      </c>
      <c r="C25" s="14" t="s">
        <v>232</v>
      </c>
      <c r="D25" s="13" t="s">
        <v>117</v>
      </c>
      <c r="E25" s="13" t="s">
        <v>233</v>
      </c>
      <c r="J25" s="14" t="s">
        <v>91</v>
      </c>
      <c r="K25" s="14" t="s">
        <v>110</v>
      </c>
      <c r="L25" s="14" t="s">
        <v>93</v>
      </c>
      <c r="M25" s="17" t="s">
        <v>94</v>
      </c>
      <c r="N25" s="18" t="s">
        <v>111</v>
      </c>
      <c r="O25" s="14" t="s">
        <v>24</v>
      </c>
      <c r="P25" s="19">
        <v>42807.443055555559</v>
      </c>
      <c r="Q25" s="19">
        <v>42810.686805555553</v>
      </c>
      <c r="R25" s="14"/>
      <c r="S25" s="14" t="s">
        <v>139</v>
      </c>
      <c r="T25" s="14" t="s">
        <v>197</v>
      </c>
      <c r="U25" s="14" t="s">
        <v>117</v>
      </c>
      <c r="V25" s="14"/>
      <c r="W25" s="14">
        <v>0</v>
      </c>
      <c r="X25" s="14">
        <v>0</v>
      </c>
      <c r="Y25" s="14"/>
      <c r="Z25" s="14"/>
      <c r="AA25" s="14"/>
      <c r="AB25" s="14"/>
      <c r="AC25" s="14"/>
      <c r="AD25" s="14"/>
      <c r="AE25" s="14"/>
      <c r="AF25" s="14" t="s">
        <v>143</v>
      </c>
      <c r="AG25" s="14" t="s">
        <v>234</v>
      </c>
      <c r="AH25" s="14"/>
      <c r="AI25" s="14"/>
      <c r="AJ25" s="14"/>
      <c r="AK25" s="14"/>
      <c r="AL25" s="14"/>
      <c r="AM25" s="14"/>
      <c r="AN25" s="14" t="s">
        <v>235</v>
      </c>
      <c r="AO25" s="14"/>
      <c r="AP25" s="14"/>
      <c r="AQ25" s="14"/>
      <c r="AR25" s="9"/>
      <c r="AS25" s="9"/>
      <c r="AT25" s="9"/>
      <c r="AU25" s="9"/>
    </row>
    <row r="26" spans="1:47" ht="31.5" customHeight="1" x14ac:dyDescent="0.2">
      <c r="A26" s="14" t="s">
        <v>86</v>
      </c>
      <c r="B26" s="15" t="s">
        <v>236</v>
      </c>
      <c r="C26" s="14" t="s">
        <v>237</v>
      </c>
      <c r="D26" s="13" t="s">
        <v>117</v>
      </c>
      <c r="E26" s="13" t="s">
        <v>123</v>
      </c>
      <c r="J26" s="14" t="s">
        <v>91</v>
      </c>
      <c r="K26" s="14" t="s">
        <v>92</v>
      </c>
      <c r="L26" s="14" t="s">
        <v>103</v>
      </c>
      <c r="M26" s="17" t="s">
        <v>94</v>
      </c>
      <c r="N26" s="18" t="s">
        <v>111</v>
      </c>
      <c r="O26" s="14" t="s">
        <v>24</v>
      </c>
      <c r="P26" s="19">
        <v>42804.717361111114</v>
      </c>
      <c r="Q26" s="19">
        <v>42811.435416666667</v>
      </c>
      <c r="R26" s="14"/>
      <c r="S26" s="14" t="s">
        <v>139</v>
      </c>
      <c r="T26" s="14" t="s">
        <v>95</v>
      </c>
      <c r="U26" s="14" t="s">
        <v>117</v>
      </c>
      <c r="V26" s="14"/>
      <c r="W26" s="14">
        <v>0</v>
      </c>
      <c r="X26" s="14">
        <v>0</v>
      </c>
      <c r="Y26" s="14"/>
      <c r="Z26" s="14"/>
      <c r="AA26" s="14"/>
      <c r="AB26" s="14"/>
      <c r="AC26" s="14"/>
      <c r="AD26" s="14"/>
      <c r="AE26" s="14"/>
      <c r="AF26" s="14" t="s">
        <v>156</v>
      </c>
      <c r="AG26" s="14" t="s">
        <v>238</v>
      </c>
      <c r="AH26" s="14"/>
      <c r="AI26" s="14"/>
      <c r="AJ26" s="14"/>
      <c r="AK26" s="14"/>
      <c r="AL26" s="14"/>
      <c r="AM26" s="14"/>
      <c r="AN26" s="14" t="s">
        <v>123</v>
      </c>
      <c r="AO26" s="14"/>
      <c r="AP26" s="14" t="s">
        <v>146</v>
      </c>
      <c r="AQ26" s="14"/>
      <c r="AR26" s="9"/>
      <c r="AS26" s="9"/>
      <c r="AT26" s="9"/>
      <c r="AU26" s="9"/>
    </row>
    <row r="27" spans="1:47" s="16" customFormat="1" ht="45.75" customHeight="1" x14ac:dyDescent="0.2">
      <c r="A27" s="14" t="s">
        <v>86</v>
      </c>
      <c r="B27" s="15" t="s">
        <v>239</v>
      </c>
      <c r="C27" s="14" t="s">
        <v>240</v>
      </c>
      <c r="D27" s="16" t="s">
        <v>241</v>
      </c>
      <c r="E27" s="16" t="s">
        <v>149</v>
      </c>
      <c r="J27" s="14" t="s">
        <v>91</v>
      </c>
      <c r="K27" s="14" t="s">
        <v>59</v>
      </c>
      <c r="L27" s="14" t="s">
        <v>167</v>
      </c>
      <c r="M27" s="14" t="s">
        <v>132</v>
      </c>
      <c r="N27" s="18" t="s">
        <v>202</v>
      </c>
      <c r="O27" s="14" t="s">
        <v>37</v>
      </c>
      <c r="P27" s="19">
        <v>42804.683333333334</v>
      </c>
      <c r="Q27" s="19">
        <v>42807.631944444445</v>
      </c>
      <c r="R27" s="19">
        <v>42807.631944444445</v>
      </c>
      <c r="S27" s="14"/>
      <c r="T27" s="14"/>
      <c r="U27" s="14" t="s">
        <v>242</v>
      </c>
      <c r="V27" s="14"/>
      <c r="W27" s="14">
        <v>0</v>
      </c>
      <c r="X27" s="14">
        <v>0</v>
      </c>
      <c r="Y27" s="14" t="s">
        <v>243</v>
      </c>
      <c r="Z27" s="14"/>
      <c r="AA27" s="14"/>
      <c r="AB27" s="14"/>
      <c r="AC27" s="14"/>
      <c r="AD27" s="14"/>
      <c r="AE27" s="14"/>
      <c r="AF27" s="14"/>
      <c r="AG27" s="14" t="s">
        <v>244</v>
      </c>
      <c r="AH27" s="14"/>
      <c r="AI27" s="14"/>
      <c r="AJ27" s="14"/>
      <c r="AK27" s="14"/>
      <c r="AL27" s="14"/>
      <c r="AM27" s="14"/>
      <c r="AN27" s="14" t="s">
        <v>235</v>
      </c>
      <c r="AO27" s="14" t="s">
        <v>245</v>
      </c>
      <c r="AP27" s="14"/>
      <c r="AQ27" s="14"/>
    </row>
    <row r="28" spans="1:47" s="16" customFormat="1" ht="57" customHeight="1" x14ac:dyDescent="0.2">
      <c r="A28" s="14" t="s">
        <v>86</v>
      </c>
      <c r="B28" s="15" t="s">
        <v>246</v>
      </c>
      <c r="C28" s="14" t="s">
        <v>247</v>
      </c>
      <c r="D28" s="16" t="s">
        <v>96</v>
      </c>
      <c r="E28" s="16" t="s">
        <v>233</v>
      </c>
      <c r="J28" s="14" t="s">
        <v>91</v>
      </c>
      <c r="K28" s="14" t="s">
        <v>110</v>
      </c>
      <c r="L28" s="14" t="s">
        <v>103</v>
      </c>
      <c r="M28" s="17" t="s">
        <v>94</v>
      </c>
      <c r="N28" s="18" t="s">
        <v>111</v>
      </c>
      <c r="O28" s="14" t="s">
        <v>37</v>
      </c>
      <c r="P28" s="19">
        <v>42804.667361111111</v>
      </c>
      <c r="Q28" s="19">
        <v>42807.845138888886</v>
      </c>
      <c r="R28" s="14"/>
      <c r="S28" s="14" t="s">
        <v>104</v>
      </c>
      <c r="T28" s="14"/>
      <c r="U28" s="14" t="s">
        <v>241</v>
      </c>
      <c r="V28" s="14"/>
      <c r="W28" s="14">
        <v>0</v>
      </c>
      <c r="X28" s="14">
        <v>0</v>
      </c>
      <c r="Y28" s="20" t="s">
        <v>248</v>
      </c>
      <c r="Z28" s="14"/>
      <c r="AA28" s="14"/>
      <c r="AB28" s="14"/>
      <c r="AC28" s="14"/>
      <c r="AD28" s="14"/>
      <c r="AE28" s="14"/>
      <c r="AF28" s="14" t="s">
        <v>106</v>
      </c>
      <c r="AG28" s="14" t="s">
        <v>249</v>
      </c>
      <c r="AH28" s="14"/>
      <c r="AI28" s="14"/>
      <c r="AJ28" s="14"/>
      <c r="AK28" s="14"/>
      <c r="AL28" s="14"/>
      <c r="AM28" s="14"/>
      <c r="AN28" s="14" t="s">
        <v>235</v>
      </c>
      <c r="AO28" s="14"/>
      <c r="AP28" s="14" t="s">
        <v>250</v>
      </c>
      <c r="AQ28" s="14"/>
    </row>
    <row r="29" spans="1:47" s="16" customFormat="1" ht="51.75" customHeight="1" x14ac:dyDescent="0.2">
      <c r="A29" s="14" t="s">
        <v>86</v>
      </c>
      <c r="B29" s="15" t="s">
        <v>251</v>
      </c>
      <c r="C29" s="14" t="s">
        <v>252</v>
      </c>
      <c r="D29" s="16" t="s">
        <v>96</v>
      </c>
      <c r="E29" s="16" t="s">
        <v>233</v>
      </c>
      <c r="J29" s="14" t="s">
        <v>91</v>
      </c>
      <c r="K29" s="14" t="s">
        <v>110</v>
      </c>
      <c r="L29" s="14" t="s">
        <v>124</v>
      </c>
      <c r="M29" s="17" t="s">
        <v>94</v>
      </c>
      <c r="N29" s="18" t="s">
        <v>111</v>
      </c>
      <c r="O29" s="14" t="s">
        <v>24</v>
      </c>
      <c r="P29" s="19">
        <v>42804.620138888888</v>
      </c>
      <c r="Q29" s="19">
        <v>42811.45208333333</v>
      </c>
      <c r="R29" s="14"/>
      <c r="S29" s="14" t="s">
        <v>203</v>
      </c>
      <c r="T29" s="14" t="s">
        <v>140</v>
      </c>
      <c r="U29" s="14" t="s">
        <v>117</v>
      </c>
      <c r="V29" s="14"/>
      <c r="W29" s="14">
        <v>0</v>
      </c>
      <c r="X29" s="14">
        <v>0</v>
      </c>
      <c r="Y29" s="14"/>
      <c r="Z29" s="14"/>
      <c r="AA29" s="14"/>
      <c r="AB29" s="14"/>
      <c r="AC29" s="14"/>
      <c r="AD29" s="14"/>
      <c r="AE29" s="14"/>
      <c r="AF29" s="14" t="s">
        <v>253</v>
      </c>
      <c r="AG29" s="14" t="s">
        <v>254</v>
      </c>
      <c r="AH29" s="14"/>
      <c r="AI29" s="14"/>
      <c r="AJ29" s="14"/>
      <c r="AK29" s="14"/>
      <c r="AL29" s="14"/>
      <c r="AM29" s="14"/>
      <c r="AN29" s="14" t="s">
        <v>255</v>
      </c>
      <c r="AO29" s="14"/>
      <c r="AP29" s="14" t="s">
        <v>146</v>
      </c>
      <c r="AQ29" s="14"/>
    </row>
    <row r="30" spans="1:47" s="16" customFormat="1" ht="54.75" customHeight="1" x14ac:dyDescent="0.2">
      <c r="A30" s="14" t="s">
        <v>86</v>
      </c>
      <c r="B30" s="15" t="s">
        <v>256</v>
      </c>
      <c r="C30" s="14" t="s">
        <v>257</v>
      </c>
      <c r="D30" s="16" t="s">
        <v>117</v>
      </c>
      <c r="E30" s="16" t="s">
        <v>258</v>
      </c>
      <c r="J30" s="14" t="s">
        <v>91</v>
      </c>
      <c r="K30" s="14" t="s">
        <v>59</v>
      </c>
      <c r="L30" s="14" t="s">
        <v>103</v>
      </c>
      <c r="M30" s="14" t="s">
        <v>132</v>
      </c>
      <c r="N30" s="18" t="s">
        <v>202</v>
      </c>
      <c r="O30" s="14" t="s">
        <v>37</v>
      </c>
      <c r="P30" s="19">
        <v>42803.736111111109</v>
      </c>
      <c r="Q30" s="19">
        <v>42807.578472222223</v>
      </c>
      <c r="R30" s="19">
        <v>42807.578472222223</v>
      </c>
      <c r="S30" s="14" t="s">
        <v>104</v>
      </c>
      <c r="T30" s="14"/>
      <c r="U30" s="14" t="s">
        <v>96</v>
      </c>
      <c r="V30" s="14"/>
      <c r="W30" s="14">
        <v>0</v>
      </c>
      <c r="X30" s="14">
        <v>0</v>
      </c>
      <c r="Y30" s="20" t="s">
        <v>259</v>
      </c>
      <c r="Z30" s="14"/>
      <c r="AA30" s="14"/>
      <c r="AB30" s="14"/>
      <c r="AC30" s="14"/>
      <c r="AD30" s="14"/>
      <c r="AE30" s="14"/>
      <c r="AF30" s="14" t="s">
        <v>106</v>
      </c>
      <c r="AG30" s="14" t="s">
        <v>260</v>
      </c>
      <c r="AH30" s="14"/>
      <c r="AI30" s="14"/>
      <c r="AJ30" s="14"/>
      <c r="AK30" s="14"/>
      <c r="AL30" s="14"/>
      <c r="AM30" s="14"/>
      <c r="AN30" s="14" t="s">
        <v>261</v>
      </c>
      <c r="AO30" s="14" t="s">
        <v>262</v>
      </c>
      <c r="AP30" s="14"/>
      <c r="AQ30" s="14"/>
    </row>
    <row r="31" spans="1:47" ht="31.5" customHeight="1" x14ac:dyDescent="0.2">
      <c r="A31" s="14" t="s">
        <v>86</v>
      </c>
      <c r="B31" s="15" t="s">
        <v>263</v>
      </c>
      <c r="C31" s="14" t="s">
        <v>264</v>
      </c>
      <c r="D31" s="13" t="s">
        <v>96</v>
      </c>
      <c r="E31" s="13" t="s">
        <v>261</v>
      </c>
      <c r="J31" s="14" t="s">
        <v>91</v>
      </c>
      <c r="K31" s="14" t="s">
        <v>59</v>
      </c>
      <c r="L31" s="14" t="s">
        <v>93</v>
      </c>
      <c r="M31" s="14" t="s">
        <v>132</v>
      </c>
      <c r="N31" s="18" t="s">
        <v>22</v>
      </c>
      <c r="O31" s="14" t="s">
        <v>30</v>
      </c>
      <c r="P31" s="19">
        <v>42803.491666666669</v>
      </c>
      <c r="Q31" s="19">
        <v>42807.372916666667</v>
      </c>
      <c r="R31" s="19">
        <v>42807.372916666667</v>
      </c>
      <c r="S31" s="14" t="s">
        <v>265</v>
      </c>
      <c r="T31" s="14"/>
      <c r="U31" s="14" t="s">
        <v>89</v>
      </c>
      <c r="V31" s="14"/>
      <c r="W31" s="14">
        <v>0</v>
      </c>
      <c r="X31" s="14">
        <v>0</v>
      </c>
      <c r="Y31" s="14"/>
      <c r="Z31" s="14"/>
      <c r="AA31" s="14"/>
      <c r="AB31" s="14"/>
      <c r="AC31" s="14"/>
      <c r="AD31" s="14"/>
      <c r="AE31" s="14"/>
      <c r="AF31" s="14" t="s">
        <v>266</v>
      </c>
      <c r="AG31" s="14" t="s">
        <v>267</v>
      </c>
      <c r="AH31" s="14"/>
      <c r="AI31" s="14"/>
      <c r="AJ31" s="14"/>
      <c r="AK31" s="14"/>
      <c r="AL31" s="14"/>
      <c r="AM31" s="14"/>
      <c r="AN31" s="14" t="s">
        <v>193</v>
      </c>
      <c r="AO31" s="14" t="s">
        <v>268</v>
      </c>
      <c r="AP31" s="14"/>
      <c r="AQ31" s="14"/>
      <c r="AR31" s="9"/>
      <c r="AS31" s="9"/>
      <c r="AT31" s="9"/>
      <c r="AU31" s="9"/>
    </row>
    <row r="32" spans="1:47" ht="31.5" customHeight="1" x14ac:dyDescent="0.2">
      <c r="A32" s="14" t="s">
        <v>86</v>
      </c>
      <c r="B32" s="15" t="s">
        <v>269</v>
      </c>
      <c r="C32" s="14" t="s">
        <v>270</v>
      </c>
      <c r="D32" s="13" t="s">
        <v>89</v>
      </c>
      <c r="E32" s="13" t="s">
        <v>193</v>
      </c>
      <c r="J32" s="14" t="s">
        <v>91</v>
      </c>
      <c r="K32" s="14" t="s">
        <v>92</v>
      </c>
      <c r="L32" s="14" t="s">
        <v>93</v>
      </c>
      <c r="M32" s="17" t="s">
        <v>94</v>
      </c>
      <c r="N32" s="18" t="s">
        <v>24</v>
      </c>
      <c r="O32" s="14" t="s">
        <v>24</v>
      </c>
      <c r="P32" s="19">
        <v>42803.472916666666</v>
      </c>
      <c r="Q32" s="19">
        <v>42811.45208333333</v>
      </c>
      <c r="R32" s="14"/>
      <c r="S32" s="14" t="s">
        <v>139</v>
      </c>
      <c r="T32" s="14" t="s">
        <v>139</v>
      </c>
      <c r="U32" s="14" t="s">
        <v>117</v>
      </c>
      <c r="V32" s="14"/>
      <c r="W32" s="14">
        <v>0</v>
      </c>
      <c r="X32" s="14">
        <v>0</v>
      </c>
      <c r="Y32" s="14"/>
      <c r="Z32" s="14"/>
      <c r="AA32" s="14"/>
      <c r="AB32" s="14"/>
      <c r="AC32" s="14"/>
      <c r="AD32" s="14"/>
      <c r="AE32" s="14"/>
      <c r="AF32" s="14" t="s">
        <v>271</v>
      </c>
      <c r="AG32" s="14" t="s">
        <v>272</v>
      </c>
      <c r="AH32" s="14"/>
      <c r="AI32" s="14"/>
      <c r="AJ32" s="14"/>
      <c r="AK32" s="14"/>
      <c r="AL32" s="14"/>
      <c r="AM32" s="14"/>
      <c r="AN32" s="14" t="s">
        <v>123</v>
      </c>
      <c r="AO32" s="14"/>
      <c r="AP32" s="14" t="s">
        <v>146</v>
      </c>
      <c r="AQ32" s="14"/>
      <c r="AR32" s="21"/>
      <c r="AS32" s="21"/>
      <c r="AT32" s="21"/>
      <c r="AU32" s="21"/>
    </row>
    <row r="33" spans="1:47" ht="31.5" customHeight="1" x14ac:dyDescent="0.2">
      <c r="A33" s="14" t="s">
        <v>86</v>
      </c>
      <c r="B33" s="15" t="s">
        <v>273</v>
      </c>
      <c r="C33" s="14" t="s">
        <v>274</v>
      </c>
      <c r="D33" s="13" t="s">
        <v>117</v>
      </c>
      <c r="E33" s="13" t="s">
        <v>123</v>
      </c>
      <c r="J33" s="14" t="s">
        <v>91</v>
      </c>
      <c r="K33" s="14" t="s">
        <v>275</v>
      </c>
      <c r="L33" s="14" t="s">
        <v>93</v>
      </c>
      <c r="M33" s="14" t="s">
        <v>201</v>
      </c>
      <c r="N33" s="18" t="s">
        <v>35</v>
      </c>
      <c r="O33" s="14" t="s">
        <v>35</v>
      </c>
      <c r="P33" s="19">
        <v>42803.47152777778</v>
      </c>
      <c r="Q33" s="19">
        <v>42807.37222222222</v>
      </c>
      <c r="R33" s="19">
        <v>42803.490277777775</v>
      </c>
      <c r="S33" s="14" t="s">
        <v>104</v>
      </c>
      <c r="T33" s="14" t="s">
        <v>204</v>
      </c>
      <c r="U33" s="14" t="s">
        <v>96</v>
      </c>
      <c r="V33" s="14"/>
      <c r="W33" s="14">
        <v>0</v>
      </c>
      <c r="X33" s="14">
        <v>0</v>
      </c>
      <c r="Y33" s="20" t="s">
        <v>276</v>
      </c>
      <c r="Z33" s="14"/>
      <c r="AA33" s="14"/>
      <c r="AB33" s="14"/>
      <c r="AC33" s="14"/>
      <c r="AD33" s="14"/>
      <c r="AE33" s="14"/>
      <c r="AF33" s="14" t="s">
        <v>126</v>
      </c>
      <c r="AG33" s="14" t="s">
        <v>277</v>
      </c>
      <c r="AH33" s="14"/>
      <c r="AI33" s="14"/>
      <c r="AJ33" s="14"/>
      <c r="AK33" s="14"/>
      <c r="AL33" s="14"/>
      <c r="AM33" s="14"/>
      <c r="AN33" s="14" t="s">
        <v>229</v>
      </c>
      <c r="AO33" s="14" t="s">
        <v>278</v>
      </c>
      <c r="AP33" s="14" t="s">
        <v>146</v>
      </c>
      <c r="AQ33" s="14"/>
      <c r="AR33" s="21"/>
      <c r="AS33" s="21"/>
      <c r="AT33" s="21"/>
      <c r="AU33" s="21"/>
    </row>
    <row r="34" spans="1:47" ht="31.5" customHeight="1" x14ac:dyDescent="0.2">
      <c r="A34" s="14" t="s">
        <v>86</v>
      </c>
      <c r="B34" s="15" t="s">
        <v>279</v>
      </c>
      <c r="C34" s="14" t="s">
        <v>280</v>
      </c>
      <c r="D34" s="13" t="s">
        <v>96</v>
      </c>
      <c r="E34" s="13" t="s">
        <v>229</v>
      </c>
      <c r="J34" s="14" t="s">
        <v>91</v>
      </c>
      <c r="K34" s="14" t="s">
        <v>59</v>
      </c>
      <c r="L34" s="14" t="s">
        <v>167</v>
      </c>
      <c r="M34" s="14" t="s">
        <v>132</v>
      </c>
      <c r="N34" s="18" t="s">
        <v>35</v>
      </c>
      <c r="O34" s="14" t="s">
        <v>35</v>
      </c>
      <c r="P34" s="19">
        <v>42803.459027777775</v>
      </c>
      <c r="Q34" s="19">
        <v>42803.569444444445</v>
      </c>
      <c r="R34" s="19">
        <v>42803.563194444447</v>
      </c>
      <c r="S34" s="14" t="s">
        <v>104</v>
      </c>
      <c r="T34" s="14" t="s">
        <v>204</v>
      </c>
      <c r="U34" s="14" t="s">
        <v>96</v>
      </c>
      <c r="V34" s="14"/>
      <c r="W34" s="14">
        <v>0</v>
      </c>
      <c r="X34" s="14">
        <v>0</v>
      </c>
      <c r="Y34" s="20" t="s">
        <v>281</v>
      </c>
      <c r="Z34" s="14"/>
      <c r="AA34" s="14"/>
      <c r="AB34" s="14"/>
      <c r="AC34" s="14"/>
      <c r="AD34" s="14"/>
      <c r="AE34" s="14"/>
      <c r="AF34" s="14" t="s">
        <v>126</v>
      </c>
      <c r="AG34" s="14" t="s">
        <v>282</v>
      </c>
      <c r="AH34" s="14"/>
      <c r="AI34" s="14"/>
      <c r="AJ34" s="14"/>
      <c r="AK34" s="14"/>
      <c r="AL34" s="14"/>
      <c r="AM34" s="14"/>
      <c r="AN34" s="14" t="s">
        <v>283</v>
      </c>
      <c r="AO34" s="14" t="s">
        <v>284</v>
      </c>
      <c r="AP34" s="14"/>
      <c r="AQ34" s="14"/>
      <c r="AR34" s="21"/>
      <c r="AS34" s="21"/>
      <c r="AT34" s="21"/>
      <c r="AU34" s="21"/>
    </row>
    <row r="35" spans="1:47" ht="31.5" customHeight="1" x14ac:dyDescent="0.2">
      <c r="A35" s="14" t="s">
        <v>86</v>
      </c>
      <c r="B35" s="15" t="s">
        <v>285</v>
      </c>
      <c r="C35" s="14" t="s">
        <v>286</v>
      </c>
      <c r="D35" s="13" t="s">
        <v>96</v>
      </c>
      <c r="E35" s="13" t="s">
        <v>229</v>
      </c>
      <c r="J35" s="14" t="s">
        <v>91</v>
      </c>
      <c r="K35" s="14" t="s">
        <v>59</v>
      </c>
      <c r="L35" s="14" t="s">
        <v>103</v>
      </c>
      <c r="M35" s="14" t="s">
        <v>132</v>
      </c>
      <c r="N35" s="18" t="s">
        <v>202</v>
      </c>
      <c r="O35" s="14" t="s">
        <v>37</v>
      </c>
      <c r="P35" s="19">
        <v>42803.447916666664</v>
      </c>
      <c r="Q35" s="19">
        <v>42807.501388888886</v>
      </c>
      <c r="R35" s="19">
        <v>42807.501388888886</v>
      </c>
      <c r="S35" s="14"/>
      <c r="T35" s="14"/>
      <c r="U35" s="14" t="s">
        <v>89</v>
      </c>
      <c r="V35" s="14"/>
      <c r="W35" s="14">
        <v>0</v>
      </c>
      <c r="X35" s="14">
        <v>0</v>
      </c>
      <c r="Y35" s="14"/>
      <c r="Z35" s="14"/>
      <c r="AA35" s="14"/>
      <c r="AB35" s="14"/>
      <c r="AC35" s="14"/>
      <c r="AD35" s="14"/>
      <c r="AE35" s="14"/>
      <c r="AF35" s="14" t="s">
        <v>106</v>
      </c>
      <c r="AG35" s="14" t="s">
        <v>287</v>
      </c>
      <c r="AH35" s="14"/>
      <c r="AI35" s="14"/>
      <c r="AJ35" s="14"/>
      <c r="AK35" s="14"/>
      <c r="AL35" s="14"/>
      <c r="AM35" s="14"/>
      <c r="AN35" s="14" t="s">
        <v>193</v>
      </c>
      <c r="AO35" s="14" t="s">
        <v>288</v>
      </c>
      <c r="AP35" s="14"/>
      <c r="AQ35" s="14"/>
      <c r="AR35" s="21"/>
      <c r="AS35" s="21"/>
      <c r="AT35" s="21"/>
      <c r="AU35" s="21"/>
    </row>
    <row r="36" spans="1:47" ht="31.5" customHeight="1" x14ac:dyDescent="0.2">
      <c r="A36" s="14" t="s">
        <v>86</v>
      </c>
      <c r="B36" s="15" t="s">
        <v>289</v>
      </c>
      <c r="C36" s="14" t="s">
        <v>290</v>
      </c>
      <c r="D36" s="13" t="s">
        <v>89</v>
      </c>
      <c r="E36" s="13" t="s">
        <v>193</v>
      </c>
      <c r="J36" s="14" t="s">
        <v>91</v>
      </c>
      <c r="K36" s="14" t="s">
        <v>110</v>
      </c>
      <c r="L36" s="14" t="s">
        <v>103</v>
      </c>
      <c r="M36" s="17" t="s">
        <v>94</v>
      </c>
      <c r="N36" s="18" t="s">
        <v>21</v>
      </c>
      <c r="O36" s="14" t="s">
        <v>36</v>
      </c>
      <c r="P36" s="19">
        <v>42803.447222222225</v>
      </c>
      <c r="Q36" s="19">
        <v>42810.713194444441</v>
      </c>
      <c r="R36" s="14"/>
      <c r="S36" s="14" t="s">
        <v>203</v>
      </c>
      <c r="T36" s="14"/>
      <c r="U36" s="14" t="s">
        <v>89</v>
      </c>
      <c r="V36" s="14"/>
      <c r="W36" s="14">
        <v>0</v>
      </c>
      <c r="X36" s="14">
        <v>0</v>
      </c>
      <c r="Y36" s="14" t="s">
        <v>291</v>
      </c>
      <c r="Z36" s="14"/>
      <c r="AA36" s="14"/>
      <c r="AB36" s="14"/>
      <c r="AC36" s="14"/>
      <c r="AD36" s="14"/>
      <c r="AE36" s="14"/>
      <c r="AF36" s="14" t="s">
        <v>126</v>
      </c>
      <c r="AG36" s="14" t="s">
        <v>292</v>
      </c>
      <c r="AH36" s="14"/>
      <c r="AI36" s="14"/>
      <c r="AJ36" s="14"/>
      <c r="AK36" s="14"/>
      <c r="AL36" s="14"/>
      <c r="AM36" s="14"/>
      <c r="AN36" s="14"/>
      <c r="AO36" s="14"/>
      <c r="AP36" s="14"/>
      <c r="AQ36" s="14"/>
      <c r="AR36" s="21"/>
      <c r="AS36" s="21"/>
      <c r="AT36" s="21"/>
      <c r="AU36" s="21"/>
    </row>
    <row r="37" spans="1:47" ht="31.5" customHeight="1" x14ac:dyDescent="0.2">
      <c r="A37" s="14" t="s">
        <v>86</v>
      </c>
      <c r="B37" s="15" t="s">
        <v>293</v>
      </c>
      <c r="C37" s="14" t="s">
        <v>294</v>
      </c>
      <c r="D37" s="13" t="s">
        <v>89</v>
      </c>
      <c r="E37" s="13" t="s">
        <v>123</v>
      </c>
      <c r="J37" s="14" t="s">
        <v>91</v>
      </c>
      <c r="K37" s="14" t="s">
        <v>59</v>
      </c>
      <c r="L37" s="14" t="s">
        <v>93</v>
      </c>
      <c r="M37" s="14" t="s">
        <v>132</v>
      </c>
      <c r="N37" s="18" t="s">
        <v>35</v>
      </c>
      <c r="O37" s="14" t="s">
        <v>35</v>
      </c>
      <c r="P37" s="19">
        <v>42803.445138888892</v>
      </c>
      <c r="Q37" s="19">
        <v>42803.628472222219</v>
      </c>
      <c r="R37" s="19">
        <v>42803.628472222219</v>
      </c>
      <c r="S37" s="14" t="s">
        <v>104</v>
      </c>
      <c r="T37" s="14"/>
      <c r="U37" s="14" t="s">
        <v>89</v>
      </c>
      <c r="V37" s="14"/>
      <c r="W37" s="14">
        <v>0</v>
      </c>
      <c r="X37" s="14">
        <v>0</v>
      </c>
      <c r="Y37" s="14" t="s">
        <v>295</v>
      </c>
      <c r="Z37" s="14"/>
      <c r="AA37" s="14"/>
      <c r="AB37" s="14"/>
      <c r="AC37" s="14"/>
      <c r="AD37" s="14"/>
      <c r="AE37" s="14"/>
      <c r="AF37" s="14" t="s">
        <v>126</v>
      </c>
      <c r="AG37" s="14" t="s">
        <v>296</v>
      </c>
      <c r="AH37" s="14"/>
      <c r="AI37" s="14"/>
      <c r="AJ37" s="14"/>
      <c r="AK37" s="14"/>
      <c r="AL37" s="14"/>
      <c r="AM37" s="14"/>
      <c r="AN37" s="14" t="s">
        <v>193</v>
      </c>
      <c r="AO37" s="14" t="s">
        <v>297</v>
      </c>
      <c r="AP37" s="14" t="s">
        <v>146</v>
      </c>
      <c r="AQ37" s="14"/>
      <c r="AR37" s="21"/>
      <c r="AS37" s="21"/>
      <c r="AT37" s="21"/>
      <c r="AU37" s="21"/>
    </row>
    <row r="38" spans="1:47" ht="31.5" customHeight="1" x14ac:dyDescent="0.2">
      <c r="A38" s="14" t="s">
        <v>86</v>
      </c>
      <c r="B38" s="15" t="s">
        <v>298</v>
      </c>
      <c r="C38" s="14" t="s">
        <v>299</v>
      </c>
      <c r="D38" s="13" t="s">
        <v>89</v>
      </c>
      <c r="E38" s="13" t="s">
        <v>193</v>
      </c>
      <c r="J38" s="14" t="s">
        <v>91</v>
      </c>
      <c r="K38" s="14" t="s">
        <v>59</v>
      </c>
      <c r="L38" s="14" t="s">
        <v>103</v>
      </c>
      <c r="M38" s="14" t="s">
        <v>132</v>
      </c>
      <c r="N38" s="18" t="s">
        <v>202</v>
      </c>
      <c r="O38" s="14" t="s">
        <v>37</v>
      </c>
      <c r="P38" s="19">
        <v>42803.44027777778</v>
      </c>
      <c r="Q38" s="19">
        <v>42807.675694444442</v>
      </c>
      <c r="R38" s="19">
        <v>42807.675694444442</v>
      </c>
      <c r="S38" s="14" t="s">
        <v>104</v>
      </c>
      <c r="T38" s="14" t="s">
        <v>104</v>
      </c>
      <c r="U38" s="14" t="s">
        <v>241</v>
      </c>
      <c r="V38" s="14"/>
      <c r="W38" s="14">
        <v>0</v>
      </c>
      <c r="X38" s="14">
        <v>0</v>
      </c>
      <c r="Y38" s="14"/>
      <c r="Z38" s="14"/>
      <c r="AA38" s="14"/>
      <c r="AB38" s="14"/>
      <c r="AC38" s="14"/>
      <c r="AD38" s="14"/>
      <c r="AE38" s="14"/>
      <c r="AF38" s="14" t="s">
        <v>300</v>
      </c>
      <c r="AG38" s="14" t="s">
        <v>301</v>
      </c>
      <c r="AH38" s="14"/>
      <c r="AI38" s="14"/>
      <c r="AJ38" s="14"/>
      <c r="AK38" s="14"/>
      <c r="AL38" s="14"/>
      <c r="AM38" s="14"/>
      <c r="AN38" s="14" t="s">
        <v>302</v>
      </c>
      <c r="AO38" s="14" t="s">
        <v>303</v>
      </c>
      <c r="AP38" s="14"/>
      <c r="AQ38" s="14"/>
      <c r="AR38" s="21"/>
      <c r="AS38" s="21"/>
      <c r="AT38" s="21"/>
      <c r="AU38" s="21"/>
    </row>
    <row r="39" spans="1:47" ht="31.5" customHeight="1" x14ac:dyDescent="0.2">
      <c r="A39" s="14" t="s">
        <v>86</v>
      </c>
      <c r="B39" s="15" t="s">
        <v>304</v>
      </c>
      <c r="C39" s="14" t="s">
        <v>305</v>
      </c>
      <c r="D39" s="13" t="s">
        <v>241</v>
      </c>
      <c r="E39" s="13" t="s">
        <v>302</v>
      </c>
      <c r="J39" s="14" t="s">
        <v>91</v>
      </c>
      <c r="K39" s="14" t="s">
        <v>59</v>
      </c>
      <c r="L39" s="14" t="s">
        <v>93</v>
      </c>
      <c r="M39" s="14" t="s">
        <v>132</v>
      </c>
      <c r="N39" s="18" t="s">
        <v>35</v>
      </c>
      <c r="O39" s="14" t="s">
        <v>35</v>
      </c>
      <c r="P39" s="19">
        <v>42803.439583333333</v>
      </c>
      <c r="Q39" s="19">
        <v>42803.629166666666</v>
      </c>
      <c r="R39" s="19">
        <v>42803.629166666666</v>
      </c>
      <c r="S39" s="14" t="s">
        <v>104</v>
      </c>
      <c r="T39" s="14"/>
      <c r="U39" s="14" t="s">
        <v>89</v>
      </c>
      <c r="V39" s="14"/>
      <c r="W39" s="14">
        <v>0</v>
      </c>
      <c r="X39" s="14">
        <v>0</v>
      </c>
      <c r="Y39" s="14" t="s">
        <v>306</v>
      </c>
      <c r="Z39" s="14"/>
      <c r="AA39" s="14"/>
      <c r="AB39" s="14"/>
      <c r="AC39" s="14"/>
      <c r="AD39" s="14"/>
      <c r="AE39" s="14"/>
      <c r="AF39" s="14" t="s">
        <v>126</v>
      </c>
      <c r="AG39" s="14" t="s">
        <v>307</v>
      </c>
      <c r="AH39" s="14"/>
      <c r="AI39" s="14"/>
      <c r="AJ39" s="14"/>
      <c r="AK39" s="14"/>
      <c r="AL39" s="14"/>
      <c r="AM39" s="14"/>
      <c r="AN39" s="14" t="s">
        <v>308</v>
      </c>
      <c r="AO39" s="14" t="s">
        <v>309</v>
      </c>
      <c r="AP39" s="14" t="s">
        <v>146</v>
      </c>
      <c r="AQ39" s="14"/>
      <c r="AR39" s="21"/>
      <c r="AS39" s="21"/>
      <c r="AT39" s="21"/>
      <c r="AU39" s="21"/>
    </row>
    <row r="40" spans="1:47" ht="31.5" customHeight="1" x14ac:dyDescent="0.2">
      <c r="A40" s="14" t="s">
        <v>86</v>
      </c>
      <c r="B40" s="15" t="s">
        <v>310</v>
      </c>
      <c r="C40" s="14" t="s">
        <v>311</v>
      </c>
      <c r="D40" s="13" t="s">
        <v>89</v>
      </c>
      <c r="E40" s="13" t="s">
        <v>193</v>
      </c>
      <c r="J40" s="14" t="s">
        <v>91</v>
      </c>
      <c r="K40" s="14" t="s">
        <v>59</v>
      </c>
      <c r="L40" s="14" t="s">
        <v>93</v>
      </c>
      <c r="M40" s="14" t="s">
        <v>132</v>
      </c>
      <c r="N40" s="18" t="s">
        <v>30</v>
      </c>
      <c r="O40" s="14" t="s">
        <v>8</v>
      </c>
      <c r="P40" s="19">
        <v>42803.415277777778</v>
      </c>
      <c r="Q40" s="19">
        <v>42807.723611111112</v>
      </c>
      <c r="R40" s="19">
        <v>42807.723611111112</v>
      </c>
      <c r="S40" s="14" t="s">
        <v>312</v>
      </c>
      <c r="T40" s="14" t="s">
        <v>219</v>
      </c>
      <c r="U40" s="14" t="s">
        <v>96</v>
      </c>
      <c r="V40" s="14"/>
      <c r="W40" s="14">
        <v>0</v>
      </c>
      <c r="X40" s="14">
        <v>0</v>
      </c>
      <c r="Y40" s="14"/>
      <c r="Z40" s="14"/>
      <c r="AA40" s="14"/>
      <c r="AB40" s="14"/>
      <c r="AC40" s="14"/>
      <c r="AD40" s="14"/>
      <c r="AE40" s="14"/>
      <c r="AF40" s="14"/>
      <c r="AG40" s="14" t="s">
        <v>313</v>
      </c>
      <c r="AH40" s="14"/>
      <c r="AI40" s="14"/>
      <c r="AJ40" s="14"/>
      <c r="AK40" s="14"/>
      <c r="AL40" s="14"/>
      <c r="AM40" s="14"/>
      <c r="AN40" s="14" t="s">
        <v>235</v>
      </c>
      <c r="AO40" s="14" t="s">
        <v>314</v>
      </c>
      <c r="AP40" s="14" t="s">
        <v>315</v>
      </c>
      <c r="AQ40" s="14"/>
      <c r="AR40" s="21"/>
      <c r="AS40" s="21"/>
      <c r="AT40" s="21"/>
      <c r="AU40" s="21"/>
    </row>
    <row r="41" spans="1:47" ht="31.5" customHeight="1" x14ac:dyDescent="0.2">
      <c r="A41" s="14" t="s">
        <v>86</v>
      </c>
      <c r="B41" s="15" t="s">
        <v>316</v>
      </c>
      <c r="C41" s="14" t="s">
        <v>317</v>
      </c>
      <c r="D41" s="13" t="s">
        <v>96</v>
      </c>
      <c r="E41" s="13" t="s">
        <v>233</v>
      </c>
      <c r="J41" s="14" t="s">
        <v>91</v>
      </c>
      <c r="K41" s="14" t="s">
        <v>92</v>
      </c>
      <c r="L41" s="14" t="s">
        <v>93</v>
      </c>
      <c r="M41" s="17" t="s">
        <v>94</v>
      </c>
      <c r="N41" s="18" t="s">
        <v>318</v>
      </c>
      <c r="O41" s="14" t="s">
        <v>36</v>
      </c>
      <c r="P41" s="19">
        <v>42802.754861111112</v>
      </c>
      <c r="Q41" s="19">
        <v>42811.671527777777</v>
      </c>
      <c r="R41" s="14"/>
      <c r="S41" s="14" t="s">
        <v>203</v>
      </c>
      <c r="T41" s="14" t="s">
        <v>155</v>
      </c>
      <c r="U41" s="14" t="s">
        <v>117</v>
      </c>
      <c r="V41" s="14"/>
      <c r="W41" s="14">
        <v>0</v>
      </c>
      <c r="X41" s="14">
        <v>0</v>
      </c>
      <c r="Y41" s="20" t="s">
        <v>319</v>
      </c>
      <c r="Z41" s="14"/>
      <c r="AA41" s="14"/>
      <c r="AB41" s="14"/>
      <c r="AC41" s="14"/>
      <c r="AD41" s="14"/>
      <c r="AE41" s="14"/>
      <c r="AF41" s="14" t="s">
        <v>126</v>
      </c>
      <c r="AG41" s="14" t="s">
        <v>320</v>
      </c>
      <c r="AH41" s="14"/>
      <c r="AI41" s="14"/>
      <c r="AJ41" s="14"/>
      <c r="AK41" s="14"/>
      <c r="AL41" s="14"/>
      <c r="AM41" s="14"/>
      <c r="AN41" s="14" t="s">
        <v>145</v>
      </c>
      <c r="AO41" s="14"/>
      <c r="AP41" s="14"/>
      <c r="AQ41" s="14"/>
      <c r="AR41" s="21"/>
      <c r="AS41" s="21"/>
      <c r="AT41" s="21"/>
      <c r="AU41" s="21"/>
    </row>
    <row r="42" spans="1:47" ht="31.5" customHeight="1" x14ac:dyDescent="0.2">
      <c r="A42" s="14" t="s">
        <v>86</v>
      </c>
      <c r="B42" s="15" t="s">
        <v>321</v>
      </c>
      <c r="C42" s="14" t="s">
        <v>322</v>
      </c>
      <c r="D42" s="13" t="s">
        <v>117</v>
      </c>
      <c r="E42" s="13" t="s">
        <v>138</v>
      </c>
      <c r="J42" s="14" t="s">
        <v>91</v>
      </c>
      <c r="K42" s="14" t="s">
        <v>323</v>
      </c>
      <c r="L42" s="14" t="s">
        <v>93</v>
      </c>
      <c r="M42" s="17" t="s">
        <v>94</v>
      </c>
      <c r="N42" s="18" t="s">
        <v>24</v>
      </c>
      <c r="O42" s="14" t="s">
        <v>24</v>
      </c>
      <c r="P42" s="19">
        <v>42802.668055555558</v>
      </c>
      <c r="Q42" s="19">
        <v>42811.436111111114</v>
      </c>
      <c r="R42" s="14"/>
      <c r="S42" s="14" t="s">
        <v>139</v>
      </c>
      <c r="T42" s="14" t="s">
        <v>324</v>
      </c>
      <c r="U42" s="14" t="s">
        <v>117</v>
      </c>
      <c r="V42" s="14"/>
      <c r="W42" s="14">
        <v>0</v>
      </c>
      <c r="X42" s="14">
        <v>0</v>
      </c>
      <c r="Y42" s="14"/>
      <c r="Z42" s="14"/>
      <c r="AA42" s="14"/>
      <c r="AB42" s="14"/>
      <c r="AC42" s="14"/>
      <c r="AD42" s="14"/>
      <c r="AE42" s="14"/>
      <c r="AF42" s="14" t="s">
        <v>325</v>
      </c>
      <c r="AG42" s="14" t="s">
        <v>326</v>
      </c>
      <c r="AH42" s="14"/>
      <c r="AI42" s="14"/>
      <c r="AJ42" s="14"/>
      <c r="AK42" s="14"/>
      <c r="AL42" s="14"/>
      <c r="AM42" s="14"/>
      <c r="AN42" s="14" t="s">
        <v>123</v>
      </c>
      <c r="AO42" s="14" t="s">
        <v>327</v>
      </c>
      <c r="AP42" s="14"/>
      <c r="AQ42" s="14"/>
      <c r="AR42" s="21"/>
      <c r="AS42" s="21"/>
      <c r="AT42" s="21"/>
      <c r="AU42" s="21"/>
    </row>
    <row r="43" spans="1:47" ht="31.5" customHeight="1" x14ac:dyDescent="0.2">
      <c r="A43" s="14" t="s">
        <v>86</v>
      </c>
      <c r="B43" s="15" t="s">
        <v>328</v>
      </c>
      <c r="C43" s="14" t="s">
        <v>329</v>
      </c>
      <c r="D43" s="13" t="s">
        <v>117</v>
      </c>
      <c r="E43" s="13" t="s">
        <v>123</v>
      </c>
      <c r="J43" s="14" t="s">
        <v>91</v>
      </c>
      <c r="K43" s="14" t="s">
        <v>59</v>
      </c>
      <c r="L43" s="14" t="s">
        <v>93</v>
      </c>
      <c r="M43" s="14" t="s">
        <v>132</v>
      </c>
      <c r="N43" s="18" t="s">
        <v>19</v>
      </c>
      <c r="O43" s="14" t="s">
        <v>30</v>
      </c>
      <c r="P43" s="19">
        <v>42802.638194444444</v>
      </c>
      <c r="Q43" s="19">
        <v>42803.92083333333</v>
      </c>
      <c r="R43" s="19">
        <v>42803.92083333333</v>
      </c>
      <c r="S43" s="14" t="s">
        <v>330</v>
      </c>
      <c r="T43" s="14" t="s">
        <v>219</v>
      </c>
      <c r="U43" s="14" t="s">
        <v>89</v>
      </c>
      <c r="V43" s="14"/>
      <c r="W43" s="14">
        <v>0</v>
      </c>
      <c r="X43" s="14">
        <v>0</v>
      </c>
      <c r="Y43" s="14"/>
      <c r="Z43" s="14"/>
      <c r="AA43" s="14"/>
      <c r="AB43" s="14"/>
      <c r="AC43" s="14"/>
      <c r="AD43" s="14"/>
      <c r="AE43" s="14"/>
      <c r="AF43" s="14" t="s">
        <v>331</v>
      </c>
      <c r="AG43" s="14" t="s">
        <v>332</v>
      </c>
      <c r="AH43" s="14"/>
      <c r="AI43" s="14"/>
      <c r="AJ43" s="14"/>
      <c r="AK43" s="14"/>
      <c r="AL43" s="14"/>
      <c r="AM43" s="14"/>
      <c r="AN43" s="14" t="s">
        <v>308</v>
      </c>
      <c r="AO43" s="14" t="s">
        <v>333</v>
      </c>
      <c r="AP43" s="14"/>
      <c r="AQ43" s="14"/>
      <c r="AR43" s="21"/>
      <c r="AS43" s="21"/>
      <c r="AT43" s="21"/>
      <c r="AU43" s="21"/>
    </row>
    <row r="44" spans="1:47" ht="31.5" customHeight="1" x14ac:dyDescent="0.2">
      <c r="A44" s="14" t="s">
        <v>86</v>
      </c>
      <c r="B44" s="15" t="s">
        <v>334</v>
      </c>
      <c r="C44" s="14" t="s">
        <v>335</v>
      </c>
      <c r="D44" s="16" t="s">
        <v>89</v>
      </c>
      <c r="E44" s="16" t="s">
        <v>193</v>
      </c>
      <c r="F44" s="16"/>
      <c r="G44" s="16"/>
      <c r="H44" s="16"/>
      <c r="I44" s="16"/>
      <c r="J44" s="14" t="s">
        <v>91</v>
      </c>
      <c r="K44" s="14" t="s">
        <v>59</v>
      </c>
      <c r="L44" s="14" t="s">
        <v>103</v>
      </c>
      <c r="M44" s="14" t="s">
        <v>201</v>
      </c>
      <c r="N44" s="18" t="s">
        <v>24</v>
      </c>
      <c r="O44" s="14" t="s">
        <v>24</v>
      </c>
      <c r="P44" s="19">
        <v>42802.479861111111</v>
      </c>
      <c r="Q44" s="19">
        <v>42804.561111111114</v>
      </c>
      <c r="R44" s="19">
        <v>42804.560416666667</v>
      </c>
      <c r="S44" s="14" t="s">
        <v>139</v>
      </c>
      <c r="T44" s="14" t="s">
        <v>139</v>
      </c>
      <c r="U44" s="14" t="s">
        <v>117</v>
      </c>
      <c r="V44" s="14"/>
      <c r="W44" s="14">
        <v>0</v>
      </c>
      <c r="X44" s="14">
        <v>0</v>
      </c>
      <c r="Y44" s="14"/>
      <c r="Z44" s="14"/>
      <c r="AA44" s="14"/>
      <c r="AB44" s="14"/>
      <c r="AC44" s="14"/>
      <c r="AD44" s="14"/>
      <c r="AE44" s="14"/>
      <c r="AF44" s="14" t="s">
        <v>336</v>
      </c>
      <c r="AG44" s="14" t="s">
        <v>337</v>
      </c>
      <c r="AH44" s="14"/>
      <c r="AI44" s="14"/>
      <c r="AJ44" s="14"/>
      <c r="AK44" s="14"/>
      <c r="AL44" s="14"/>
      <c r="AM44" s="14"/>
      <c r="AN44" s="14" t="s">
        <v>229</v>
      </c>
      <c r="AO44" s="14"/>
      <c r="AP44" s="14"/>
      <c r="AQ44" s="14"/>
      <c r="AR44" s="21"/>
      <c r="AS44" s="21"/>
      <c r="AT44" s="21"/>
      <c r="AU44" s="21"/>
    </row>
    <row r="45" spans="1:47" s="16" customFormat="1" ht="68.25" customHeight="1" x14ac:dyDescent="0.2">
      <c r="A45" s="14" t="s">
        <v>86</v>
      </c>
      <c r="B45" s="15" t="s">
        <v>338</v>
      </c>
      <c r="C45" s="14" t="s">
        <v>339</v>
      </c>
      <c r="D45" s="16" t="s">
        <v>117</v>
      </c>
      <c r="E45" s="16" t="s">
        <v>229</v>
      </c>
      <c r="J45" s="14" t="s">
        <v>91</v>
      </c>
      <c r="K45" s="14" t="s">
        <v>59</v>
      </c>
      <c r="L45" s="14" t="s">
        <v>93</v>
      </c>
      <c r="M45" s="14" t="s">
        <v>132</v>
      </c>
      <c r="N45" s="18" t="s">
        <v>19</v>
      </c>
      <c r="O45" s="14" t="s">
        <v>30</v>
      </c>
      <c r="P45" s="19">
        <v>42802.463888888888</v>
      </c>
      <c r="Q45" s="19">
        <v>42803.844444444447</v>
      </c>
      <c r="R45" s="19">
        <v>42803.844444444447</v>
      </c>
      <c r="S45" s="14" t="s">
        <v>330</v>
      </c>
      <c r="T45" s="14" t="s">
        <v>219</v>
      </c>
      <c r="U45" s="14" t="s">
        <v>89</v>
      </c>
      <c r="V45" s="14"/>
      <c r="W45" s="14">
        <v>0</v>
      </c>
      <c r="X45" s="14">
        <v>0</v>
      </c>
      <c r="Y45" s="14"/>
      <c r="Z45" s="14"/>
      <c r="AA45" s="14"/>
      <c r="AB45" s="14"/>
      <c r="AC45" s="14"/>
      <c r="AD45" s="14"/>
      <c r="AE45" s="14"/>
      <c r="AF45" s="14"/>
      <c r="AG45" s="14" t="s">
        <v>340</v>
      </c>
      <c r="AH45" s="14"/>
      <c r="AI45" s="14"/>
      <c r="AJ45" s="14"/>
      <c r="AK45" s="14"/>
      <c r="AL45" s="14"/>
      <c r="AM45" s="14"/>
      <c r="AN45" s="14" t="s">
        <v>193</v>
      </c>
      <c r="AO45" s="14" t="s">
        <v>341</v>
      </c>
      <c r="AP45" s="14"/>
      <c r="AQ45" s="14"/>
    </row>
    <row r="46" spans="1:47" s="16" customFormat="1" ht="68.25" customHeight="1" x14ac:dyDescent="0.2">
      <c r="A46" s="14" t="s">
        <v>86</v>
      </c>
      <c r="B46" s="15" t="s">
        <v>342</v>
      </c>
      <c r="C46" s="14" t="s">
        <v>343</v>
      </c>
      <c r="D46" s="16" t="s">
        <v>89</v>
      </c>
      <c r="E46" s="16" t="s">
        <v>193</v>
      </c>
      <c r="J46" s="14" t="s">
        <v>91</v>
      </c>
      <c r="K46" s="14" t="s">
        <v>59</v>
      </c>
      <c r="L46" s="14" t="s">
        <v>93</v>
      </c>
      <c r="M46" s="14" t="s">
        <v>132</v>
      </c>
      <c r="N46" s="18" t="s">
        <v>24</v>
      </c>
      <c r="O46" s="14" t="s">
        <v>24</v>
      </c>
      <c r="P46" s="19">
        <v>42802.43472222222</v>
      </c>
      <c r="Q46" s="19">
        <v>42811.436805555553</v>
      </c>
      <c r="R46" s="19">
        <v>42804.554166666669</v>
      </c>
      <c r="S46" s="14" t="s">
        <v>139</v>
      </c>
      <c r="T46" s="14" t="s">
        <v>344</v>
      </c>
      <c r="U46" s="14" t="s">
        <v>117</v>
      </c>
      <c r="V46" s="14"/>
      <c r="W46" s="14">
        <v>0</v>
      </c>
      <c r="X46" s="14">
        <v>0</v>
      </c>
      <c r="Y46" s="14"/>
      <c r="Z46" s="14"/>
      <c r="AA46" s="14"/>
      <c r="AB46" s="14"/>
      <c r="AC46" s="14"/>
      <c r="AD46" s="14"/>
      <c r="AE46" s="14"/>
      <c r="AF46" s="14" t="s">
        <v>345</v>
      </c>
      <c r="AG46" s="14" t="s">
        <v>346</v>
      </c>
      <c r="AH46" s="14"/>
      <c r="AI46" s="14"/>
      <c r="AJ46" s="14"/>
      <c r="AK46" s="14"/>
      <c r="AL46" s="14"/>
      <c r="AM46" s="14"/>
      <c r="AN46" s="14" t="s">
        <v>99</v>
      </c>
      <c r="AO46" s="14" t="s">
        <v>347</v>
      </c>
      <c r="AP46" s="14"/>
      <c r="AQ46" s="14"/>
    </row>
    <row r="47" spans="1:47" s="16" customFormat="1" ht="68.25" customHeight="1" x14ac:dyDescent="0.2">
      <c r="A47" s="14" t="s">
        <v>86</v>
      </c>
      <c r="B47" s="15" t="s">
        <v>348</v>
      </c>
      <c r="C47" s="14" t="s">
        <v>349</v>
      </c>
      <c r="D47" s="16" t="s">
        <v>117</v>
      </c>
      <c r="E47" s="16" t="s">
        <v>99</v>
      </c>
      <c r="J47" s="14" t="s">
        <v>91</v>
      </c>
      <c r="K47" s="14" t="s">
        <v>59</v>
      </c>
      <c r="L47" s="14" t="s">
        <v>93</v>
      </c>
      <c r="M47" s="14" t="s">
        <v>132</v>
      </c>
      <c r="N47" s="18" t="s">
        <v>24</v>
      </c>
      <c r="O47" s="14" t="s">
        <v>24</v>
      </c>
      <c r="P47" s="19">
        <v>42802.402777777781</v>
      </c>
      <c r="Q47" s="19">
        <v>42804.556250000001</v>
      </c>
      <c r="R47" s="19">
        <v>42804.556250000001</v>
      </c>
      <c r="S47" s="14" t="s">
        <v>139</v>
      </c>
      <c r="T47" s="14" t="s">
        <v>197</v>
      </c>
      <c r="U47" s="14" t="s">
        <v>117</v>
      </c>
      <c r="V47" s="14"/>
      <c r="W47" s="14">
        <v>0</v>
      </c>
      <c r="X47" s="14">
        <v>0</v>
      </c>
      <c r="Y47" s="14"/>
      <c r="Z47" s="14"/>
      <c r="AA47" s="14"/>
      <c r="AB47" s="14"/>
      <c r="AC47" s="14"/>
      <c r="AD47" s="14"/>
      <c r="AE47" s="14"/>
      <c r="AF47" s="14" t="s">
        <v>350</v>
      </c>
      <c r="AG47" s="14" t="s">
        <v>351</v>
      </c>
      <c r="AH47" s="14"/>
      <c r="AI47" s="14"/>
      <c r="AJ47" s="14"/>
      <c r="AK47" s="14"/>
      <c r="AL47" s="14"/>
      <c r="AM47" s="14"/>
      <c r="AN47" s="14" t="s">
        <v>99</v>
      </c>
      <c r="AO47" s="14" t="s">
        <v>352</v>
      </c>
      <c r="AP47" s="14" t="s">
        <v>146</v>
      </c>
      <c r="AQ47" s="14"/>
    </row>
    <row r="48" spans="1:47" s="16" customFormat="1" ht="68.25" customHeight="1" x14ac:dyDescent="0.2">
      <c r="A48" s="14" t="s">
        <v>86</v>
      </c>
      <c r="B48" s="15" t="s">
        <v>353</v>
      </c>
      <c r="C48" s="14" t="s">
        <v>354</v>
      </c>
      <c r="D48" s="16" t="s">
        <v>117</v>
      </c>
      <c r="E48" s="16" t="s">
        <v>99</v>
      </c>
      <c r="J48" s="14" t="s">
        <v>91</v>
      </c>
      <c r="K48" s="14" t="s">
        <v>59</v>
      </c>
      <c r="L48" s="14" t="s">
        <v>103</v>
      </c>
      <c r="M48" s="14" t="s">
        <v>132</v>
      </c>
      <c r="N48" s="18" t="s">
        <v>202</v>
      </c>
      <c r="O48" s="14" t="s">
        <v>37</v>
      </c>
      <c r="P48" s="19">
        <v>42801.461805555555</v>
      </c>
      <c r="Q48" s="19">
        <v>42807.398611111108</v>
      </c>
      <c r="R48" s="19">
        <v>42807.398611111108</v>
      </c>
      <c r="S48" s="14" t="s">
        <v>104</v>
      </c>
      <c r="T48" s="14" t="s">
        <v>104</v>
      </c>
      <c r="U48" s="14" t="s">
        <v>96</v>
      </c>
      <c r="V48" s="14"/>
      <c r="W48" s="14">
        <v>0</v>
      </c>
      <c r="X48" s="14">
        <v>0</v>
      </c>
      <c r="Y48" s="14" t="s">
        <v>355</v>
      </c>
      <c r="Z48" s="14"/>
      <c r="AA48" s="14"/>
      <c r="AB48" s="14"/>
      <c r="AC48" s="14"/>
      <c r="AD48" s="14"/>
      <c r="AE48" s="14"/>
      <c r="AF48" s="14" t="s">
        <v>106</v>
      </c>
      <c r="AG48" s="14" t="s">
        <v>356</v>
      </c>
      <c r="AH48" s="14"/>
      <c r="AI48" s="14"/>
      <c r="AJ48" s="14"/>
      <c r="AK48" s="14"/>
      <c r="AL48" s="14"/>
      <c r="AM48" s="14"/>
      <c r="AN48" s="14" t="s">
        <v>261</v>
      </c>
      <c r="AO48" s="14" t="s">
        <v>357</v>
      </c>
      <c r="AP48" s="14" t="s">
        <v>250</v>
      </c>
      <c r="AQ48" s="14"/>
    </row>
    <row r="49" spans="1:47" s="16" customFormat="1" ht="80.25" customHeight="1" x14ac:dyDescent="0.2">
      <c r="A49" s="14" t="s">
        <v>86</v>
      </c>
      <c r="B49" s="15" t="s">
        <v>358</v>
      </c>
      <c r="C49" s="14" t="s">
        <v>359</v>
      </c>
      <c r="D49" s="16" t="s">
        <v>96</v>
      </c>
      <c r="E49" s="16" t="s">
        <v>99</v>
      </c>
      <c r="J49" s="14" t="s">
        <v>91</v>
      </c>
      <c r="K49" s="14" t="s">
        <v>174</v>
      </c>
      <c r="L49" s="14" t="s">
        <v>103</v>
      </c>
      <c r="M49" s="17" t="s">
        <v>94</v>
      </c>
      <c r="N49" s="18" t="s">
        <v>27</v>
      </c>
      <c r="O49" s="14" t="s">
        <v>36</v>
      </c>
      <c r="P49" s="19">
        <v>42800.805555555555</v>
      </c>
      <c r="Q49" s="19">
        <v>42811.484027777777</v>
      </c>
      <c r="R49" s="14"/>
      <c r="S49" s="14" t="s">
        <v>203</v>
      </c>
      <c r="T49" s="14" t="s">
        <v>203</v>
      </c>
      <c r="U49" s="14" t="s">
        <v>117</v>
      </c>
      <c r="V49" s="14"/>
      <c r="W49" s="14">
        <v>0</v>
      </c>
      <c r="X49" s="14">
        <v>0</v>
      </c>
      <c r="Y49" s="20" t="s">
        <v>360</v>
      </c>
      <c r="Z49" s="14"/>
      <c r="AA49" s="14"/>
      <c r="AB49" s="14"/>
      <c r="AC49" s="14"/>
      <c r="AD49" s="14"/>
      <c r="AE49" s="14"/>
      <c r="AF49" s="14" t="s">
        <v>126</v>
      </c>
      <c r="AG49" s="14" t="s">
        <v>361</v>
      </c>
      <c r="AH49" s="14"/>
      <c r="AI49" s="14"/>
      <c r="AJ49" s="14"/>
      <c r="AK49" s="14"/>
      <c r="AL49" s="14"/>
      <c r="AM49" s="14"/>
      <c r="AN49" s="14" t="s">
        <v>362</v>
      </c>
      <c r="AO49" s="14" t="s">
        <v>363</v>
      </c>
      <c r="AP49" s="14"/>
      <c r="AQ49" s="14"/>
    </row>
    <row r="50" spans="1:47" s="16" customFormat="1" ht="80.25" customHeight="1" x14ac:dyDescent="0.2">
      <c r="A50" s="14" t="s">
        <v>86</v>
      </c>
      <c r="B50" s="15" t="s">
        <v>364</v>
      </c>
      <c r="C50" s="14" t="s">
        <v>365</v>
      </c>
      <c r="D50" s="16" t="s">
        <v>117</v>
      </c>
      <c r="E50" s="16" t="s">
        <v>366</v>
      </c>
      <c r="J50" s="14" t="s">
        <v>91</v>
      </c>
      <c r="K50" s="14" t="s">
        <v>59</v>
      </c>
      <c r="L50" s="14" t="s">
        <v>167</v>
      </c>
      <c r="M50" s="14" t="s">
        <v>132</v>
      </c>
      <c r="N50" s="18" t="s">
        <v>202</v>
      </c>
      <c r="O50" s="14" t="s">
        <v>37</v>
      </c>
      <c r="P50" s="19">
        <v>42800.673611111109</v>
      </c>
      <c r="Q50" s="19">
        <v>42807.593055555553</v>
      </c>
      <c r="R50" s="19">
        <v>42807.593055555553</v>
      </c>
      <c r="S50" s="14" t="s">
        <v>104</v>
      </c>
      <c r="T50" s="14" t="s">
        <v>155</v>
      </c>
      <c r="U50" s="14" t="s">
        <v>89</v>
      </c>
      <c r="V50" s="14"/>
      <c r="W50" s="14">
        <v>0</v>
      </c>
      <c r="X50" s="14">
        <v>0</v>
      </c>
      <c r="Y50" s="20" t="s">
        <v>367</v>
      </c>
      <c r="Z50" s="14"/>
      <c r="AA50" s="14"/>
      <c r="AB50" s="14"/>
      <c r="AC50" s="14"/>
      <c r="AD50" s="14"/>
      <c r="AE50" s="14"/>
      <c r="AF50" s="14" t="s">
        <v>106</v>
      </c>
      <c r="AG50" s="14" t="s">
        <v>368</v>
      </c>
      <c r="AH50" s="14"/>
      <c r="AI50" s="14"/>
      <c r="AJ50" s="14"/>
      <c r="AK50" s="14"/>
      <c r="AL50" s="14"/>
      <c r="AM50" s="14"/>
      <c r="AN50" s="14" t="s">
        <v>369</v>
      </c>
      <c r="AO50" s="14" t="s">
        <v>370</v>
      </c>
      <c r="AP50" s="14"/>
      <c r="AQ50" s="14"/>
    </row>
    <row r="51" spans="1:47" s="16" customFormat="1" ht="80.25" customHeight="1" x14ac:dyDescent="0.2">
      <c r="A51" s="14" t="s">
        <v>86</v>
      </c>
      <c r="B51" s="15" t="s">
        <v>371</v>
      </c>
      <c r="C51" s="14" t="s">
        <v>372</v>
      </c>
      <c r="D51" s="16" t="s">
        <v>96</v>
      </c>
      <c r="E51" s="16" t="s">
        <v>261</v>
      </c>
      <c r="J51" s="14" t="s">
        <v>91</v>
      </c>
      <c r="K51" s="14" t="s">
        <v>59</v>
      </c>
      <c r="L51" s="14" t="s">
        <v>93</v>
      </c>
      <c r="M51" s="14" t="s">
        <v>132</v>
      </c>
      <c r="N51" s="18" t="s">
        <v>22</v>
      </c>
      <c r="O51" s="14" t="s">
        <v>30</v>
      </c>
      <c r="P51" s="19">
        <v>42800.668749999997</v>
      </c>
      <c r="Q51" s="19">
        <v>42807.835416666669</v>
      </c>
      <c r="R51" s="19">
        <v>42807.818055555559</v>
      </c>
      <c r="S51" s="14" t="s">
        <v>373</v>
      </c>
      <c r="T51" s="14"/>
      <c r="U51" s="14" t="s">
        <v>89</v>
      </c>
      <c r="V51" s="14"/>
      <c r="W51" s="14">
        <v>0</v>
      </c>
      <c r="X51" s="14">
        <v>0</v>
      </c>
      <c r="Y51" s="14"/>
      <c r="Z51" s="14"/>
      <c r="AA51" s="14"/>
      <c r="AB51" s="14"/>
      <c r="AC51" s="14"/>
      <c r="AD51" s="14"/>
      <c r="AE51" s="14" t="s">
        <v>374</v>
      </c>
      <c r="AF51" s="14"/>
      <c r="AG51" s="14" t="s">
        <v>375</v>
      </c>
      <c r="AH51" s="14"/>
      <c r="AI51" s="14"/>
      <c r="AJ51" s="14"/>
      <c r="AK51" s="14"/>
      <c r="AL51" s="14"/>
      <c r="AM51" s="14"/>
      <c r="AN51" s="14" t="s">
        <v>149</v>
      </c>
      <c r="AO51" s="14" t="s">
        <v>376</v>
      </c>
      <c r="AP51" s="14"/>
      <c r="AQ51" s="14"/>
    </row>
    <row r="52" spans="1:47" s="16" customFormat="1" ht="80.25" customHeight="1" x14ac:dyDescent="0.2">
      <c r="A52" s="14" t="s">
        <v>86</v>
      </c>
      <c r="B52" s="15" t="s">
        <v>377</v>
      </c>
      <c r="C52" s="14" t="s">
        <v>378</v>
      </c>
      <c r="D52" s="16" t="s">
        <v>89</v>
      </c>
      <c r="E52" s="16" t="s">
        <v>149</v>
      </c>
      <c r="J52" s="14" t="s">
        <v>91</v>
      </c>
      <c r="K52" s="14" t="s">
        <v>59</v>
      </c>
      <c r="L52" s="14" t="s">
        <v>103</v>
      </c>
      <c r="M52" s="14" t="s">
        <v>132</v>
      </c>
      <c r="N52" s="18" t="s">
        <v>202</v>
      </c>
      <c r="O52" s="14" t="s">
        <v>37</v>
      </c>
      <c r="P52" s="19">
        <v>42800.650694444441</v>
      </c>
      <c r="Q52" s="19">
        <v>42802.615277777775</v>
      </c>
      <c r="R52" s="19">
        <v>42801.409722222219</v>
      </c>
      <c r="S52" s="14" t="s">
        <v>104</v>
      </c>
      <c r="T52" s="14" t="s">
        <v>204</v>
      </c>
      <c r="U52" s="14" t="s">
        <v>241</v>
      </c>
      <c r="V52" s="14"/>
      <c r="W52" s="14">
        <v>0</v>
      </c>
      <c r="X52" s="14">
        <v>0</v>
      </c>
      <c r="Y52" s="20" t="s">
        <v>379</v>
      </c>
      <c r="Z52" s="14"/>
      <c r="AA52" s="14"/>
      <c r="AB52" s="14"/>
      <c r="AC52" s="14"/>
      <c r="AD52" s="14"/>
      <c r="AE52" s="14"/>
      <c r="AF52" s="14" t="s">
        <v>106</v>
      </c>
      <c r="AG52" s="14" t="s">
        <v>380</v>
      </c>
      <c r="AH52" s="14"/>
      <c r="AI52" s="14"/>
      <c r="AJ52" s="14"/>
      <c r="AK52" s="14"/>
      <c r="AL52" s="14"/>
      <c r="AM52" s="14"/>
      <c r="AN52" s="14" t="s">
        <v>229</v>
      </c>
      <c r="AO52" s="14" t="s">
        <v>381</v>
      </c>
      <c r="AP52" s="14" t="s">
        <v>146</v>
      </c>
      <c r="AQ52" s="14"/>
    </row>
    <row r="53" spans="1:47" s="16" customFormat="1" ht="80.25" customHeight="1" x14ac:dyDescent="0.2">
      <c r="A53" s="14" t="s">
        <v>86</v>
      </c>
      <c r="B53" s="15" t="s">
        <v>382</v>
      </c>
      <c r="C53" s="14" t="s">
        <v>383</v>
      </c>
      <c r="D53" s="16" t="s">
        <v>241</v>
      </c>
      <c r="E53" s="16" t="s">
        <v>229</v>
      </c>
      <c r="J53" s="14" t="s">
        <v>91</v>
      </c>
      <c r="K53" s="14" t="s">
        <v>59</v>
      </c>
      <c r="L53" s="14" t="s">
        <v>103</v>
      </c>
      <c r="M53" s="14" t="s">
        <v>132</v>
      </c>
      <c r="N53" s="18" t="s">
        <v>202</v>
      </c>
      <c r="O53" s="14" t="s">
        <v>37</v>
      </c>
      <c r="P53" s="19">
        <v>42800.640277777777</v>
      </c>
      <c r="Q53" s="19">
        <v>42802.614583333336</v>
      </c>
      <c r="R53" s="19">
        <v>42801.410416666666</v>
      </c>
      <c r="S53" s="14" t="s">
        <v>104</v>
      </c>
      <c r="T53" s="14" t="s">
        <v>204</v>
      </c>
      <c r="U53" s="14" t="s">
        <v>241</v>
      </c>
      <c r="V53" s="14"/>
      <c r="W53" s="14">
        <v>0</v>
      </c>
      <c r="X53" s="14">
        <v>0</v>
      </c>
      <c r="Y53" s="14" t="s">
        <v>384</v>
      </c>
      <c r="Z53" s="14"/>
      <c r="AA53" s="14"/>
      <c r="AB53" s="14"/>
      <c r="AC53" s="14"/>
      <c r="AD53" s="14"/>
      <c r="AE53" s="14"/>
      <c r="AF53" s="14" t="s">
        <v>106</v>
      </c>
      <c r="AG53" s="14" t="s">
        <v>385</v>
      </c>
      <c r="AH53" s="14"/>
      <c r="AI53" s="14"/>
      <c r="AJ53" s="14"/>
      <c r="AK53" s="14"/>
      <c r="AL53" s="14"/>
      <c r="AM53" s="14"/>
      <c r="AN53" s="14" t="s">
        <v>283</v>
      </c>
      <c r="AO53" s="14" t="s">
        <v>386</v>
      </c>
      <c r="AP53" s="14" t="s">
        <v>163</v>
      </c>
      <c r="AQ53" s="14"/>
    </row>
    <row r="54" spans="1:47" s="16" customFormat="1" ht="80.25" customHeight="1" x14ac:dyDescent="0.2">
      <c r="A54" s="14" t="s">
        <v>86</v>
      </c>
      <c r="B54" s="15" t="s">
        <v>387</v>
      </c>
      <c r="C54" s="14" t="s">
        <v>388</v>
      </c>
      <c r="D54" s="16" t="s">
        <v>241</v>
      </c>
      <c r="E54" s="16" t="s">
        <v>229</v>
      </c>
      <c r="J54" s="14" t="s">
        <v>91</v>
      </c>
      <c r="K54" s="14" t="s">
        <v>59</v>
      </c>
      <c r="L54" s="14" t="s">
        <v>93</v>
      </c>
      <c r="M54" s="14" t="s">
        <v>132</v>
      </c>
      <c r="N54" s="18" t="s">
        <v>19</v>
      </c>
      <c r="O54" s="14" t="s">
        <v>19</v>
      </c>
      <c r="P54" s="19">
        <v>42800.626388888886</v>
      </c>
      <c r="Q54" s="19">
        <v>42807.466666666667</v>
      </c>
      <c r="R54" s="19">
        <v>42807.466666666667</v>
      </c>
      <c r="S54" s="14" t="s">
        <v>373</v>
      </c>
      <c r="T54" s="14"/>
      <c r="U54" s="14" t="s">
        <v>89</v>
      </c>
      <c r="V54" s="14"/>
      <c r="W54" s="14">
        <v>0</v>
      </c>
      <c r="X54" s="14">
        <v>0</v>
      </c>
      <c r="Y54" s="14"/>
      <c r="Z54" s="14"/>
      <c r="AA54" s="14"/>
      <c r="AB54" s="14"/>
      <c r="AC54" s="14"/>
      <c r="AD54" s="14"/>
      <c r="AE54" s="14"/>
      <c r="AF54" s="14"/>
      <c r="AG54" s="14" t="s">
        <v>389</v>
      </c>
      <c r="AH54" s="14"/>
      <c r="AI54" s="14"/>
      <c r="AJ54" s="14"/>
      <c r="AK54" s="14"/>
      <c r="AL54" s="14"/>
      <c r="AM54" s="14"/>
      <c r="AN54" s="14" t="s">
        <v>229</v>
      </c>
      <c r="AO54" s="14"/>
      <c r="AP54" s="14"/>
      <c r="AQ54" s="14"/>
    </row>
    <row r="55" spans="1:47" s="16" customFormat="1" ht="80.25" customHeight="1" x14ac:dyDescent="0.2">
      <c r="A55" s="14" t="s">
        <v>86</v>
      </c>
      <c r="B55" s="15" t="s">
        <v>390</v>
      </c>
      <c r="C55" s="14" t="s">
        <v>391</v>
      </c>
      <c r="D55" s="16" t="s">
        <v>89</v>
      </c>
      <c r="E55" s="16" t="s">
        <v>229</v>
      </c>
      <c r="J55" s="14" t="s">
        <v>91</v>
      </c>
      <c r="K55" s="14" t="s">
        <v>110</v>
      </c>
      <c r="L55" s="14" t="s">
        <v>103</v>
      </c>
      <c r="M55" s="17" t="s">
        <v>94</v>
      </c>
      <c r="N55" s="18" t="s">
        <v>28</v>
      </c>
      <c r="O55" s="14" t="s">
        <v>37</v>
      </c>
      <c r="P55" s="19">
        <v>42800.626388888886</v>
      </c>
      <c r="Q55" s="19">
        <v>42808.736805555556</v>
      </c>
      <c r="R55" s="14"/>
      <c r="S55" s="14" t="s">
        <v>104</v>
      </c>
      <c r="T55" s="14" t="s">
        <v>392</v>
      </c>
      <c r="U55" s="14" t="s">
        <v>89</v>
      </c>
      <c r="V55" s="14"/>
      <c r="W55" s="14">
        <v>0</v>
      </c>
      <c r="X55" s="14">
        <v>0</v>
      </c>
      <c r="Y55" s="20" t="s">
        <v>393</v>
      </c>
      <c r="Z55" s="14"/>
      <c r="AA55" s="14"/>
      <c r="AB55" s="14"/>
      <c r="AC55" s="14"/>
      <c r="AD55" s="14"/>
      <c r="AE55" s="14"/>
      <c r="AF55" s="14" t="s">
        <v>106</v>
      </c>
      <c r="AG55" s="14" t="s">
        <v>394</v>
      </c>
      <c r="AH55" s="14"/>
      <c r="AI55" s="14"/>
      <c r="AJ55" s="14"/>
      <c r="AK55" s="14"/>
      <c r="AL55" s="14"/>
      <c r="AM55" s="14"/>
      <c r="AN55" s="14" t="s">
        <v>395</v>
      </c>
      <c r="AO55" s="14"/>
      <c r="AP55" s="14"/>
      <c r="AQ55" s="14"/>
    </row>
    <row r="56" spans="1:47" s="16" customFormat="1" ht="80.25" customHeight="1" x14ac:dyDescent="0.2">
      <c r="A56" s="14" t="s">
        <v>86</v>
      </c>
      <c r="B56" s="15" t="s">
        <v>396</v>
      </c>
      <c r="C56" s="14" t="s">
        <v>397</v>
      </c>
      <c r="D56" s="16" t="s">
        <v>96</v>
      </c>
      <c r="E56" s="16" t="s">
        <v>398</v>
      </c>
      <c r="J56" s="14" t="s">
        <v>91</v>
      </c>
      <c r="K56" s="14" t="s">
        <v>59</v>
      </c>
      <c r="L56" s="14" t="s">
        <v>93</v>
      </c>
      <c r="M56" s="14" t="s">
        <v>132</v>
      </c>
      <c r="N56" s="18" t="s">
        <v>30</v>
      </c>
      <c r="O56" s="14" t="s">
        <v>8</v>
      </c>
      <c r="P56" s="19">
        <v>42800.529166666667</v>
      </c>
      <c r="Q56" s="19">
        <v>42804.490972222222</v>
      </c>
      <c r="R56" s="19">
        <v>42804.490972222222</v>
      </c>
      <c r="S56" s="14" t="s">
        <v>373</v>
      </c>
      <c r="T56" s="14"/>
      <c r="U56" s="14" t="s">
        <v>242</v>
      </c>
      <c r="V56" s="14"/>
      <c r="W56" s="14">
        <v>0</v>
      </c>
      <c r="X56" s="14">
        <v>0</v>
      </c>
      <c r="Y56" s="14"/>
      <c r="Z56" s="14"/>
      <c r="AA56" s="14"/>
      <c r="AB56" s="14"/>
      <c r="AC56" s="14"/>
      <c r="AD56" s="14"/>
      <c r="AE56" s="14"/>
      <c r="AF56" s="14"/>
      <c r="AG56" s="14" t="s">
        <v>399</v>
      </c>
      <c r="AH56" s="14"/>
      <c r="AI56" s="14"/>
      <c r="AJ56" s="14"/>
      <c r="AK56" s="14"/>
      <c r="AL56" s="14"/>
      <c r="AM56" s="14"/>
      <c r="AN56" s="14" t="s">
        <v>235</v>
      </c>
      <c r="AO56" s="14" t="s">
        <v>400</v>
      </c>
      <c r="AP56" s="14" t="s">
        <v>146</v>
      </c>
      <c r="AQ56" s="14"/>
    </row>
    <row r="57" spans="1:47" s="16" customFormat="1" ht="80.25" customHeight="1" x14ac:dyDescent="0.2">
      <c r="A57" s="14" t="s">
        <v>86</v>
      </c>
      <c r="B57" s="15" t="s">
        <v>401</v>
      </c>
      <c r="C57" s="14" t="s">
        <v>402</v>
      </c>
      <c r="D57" s="16" t="s">
        <v>241</v>
      </c>
      <c r="E57" s="16" t="s">
        <v>166</v>
      </c>
      <c r="J57" s="14" t="s">
        <v>91</v>
      </c>
      <c r="K57" s="14" t="s">
        <v>59</v>
      </c>
      <c r="L57" s="14" t="s">
        <v>93</v>
      </c>
      <c r="M57" s="14" t="s">
        <v>132</v>
      </c>
      <c r="N57" s="18" t="s">
        <v>27</v>
      </c>
      <c r="O57" s="14" t="s">
        <v>27</v>
      </c>
      <c r="P57" s="19">
        <v>42800.404166666667</v>
      </c>
      <c r="Q57" s="19">
        <v>42803.418749999997</v>
      </c>
      <c r="R57" s="19">
        <v>42803.418749999997</v>
      </c>
      <c r="S57" s="14" t="s">
        <v>139</v>
      </c>
      <c r="T57" s="14" t="s">
        <v>204</v>
      </c>
      <c r="U57" s="14" t="s">
        <v>117</v>
      </c>
      <c r="V57" s="14"/>
      <c r="W57" s="14">
        <v>0</v>
      </c>
      <c r="X57" s="14">
        <v>0</v>
      </c>
      <c r="Y57" s="14"/>
      <c r="Z57" s="14"/>
      <c r="AA57" s="14"/>
      <c r="AB57" s="14"/>
      <c r="AC57" s="14"/>
      <c r="AD57" s="14"/>
      <c r="AE57" s="14"/>
      <c r="AF57" s="14" t="s">
        <v>403</v>
      </c>
      <c r="AG57" s="14" t="s">
        <v>404</v>
      </c>
      <c r="AH57" s="14"/>
      <c r="AI57" s="14"/>
      <c r="AJ57" s="14"/>
      <c r="AK57" s="14"/>
      <c r="AL57" s="14"/>
      <c r="AM57" s="14"/>
      <c r="AN57" s="14" t="s">
        <v>229</v>
      </c>
      <c r="AO57" s="14" t="s">
        <v>229</v>
      </c>
      <c r="AP57" s="14"/>
      <c r="AQ57" s="14"/>
    </row>
    <row r="58" spans="1:47" s="16" customFormat="1" ht="80.25" customHeight="1" x14ac:dyDescent="0.2">
      <c r="A58" s="14" t="s">
        <v>86</v>
      </c>
      <c r="B58" s="15" t="s">
        <v>405</v>
      </c>
      <c r="C58" s="14" t="s">
        <v>406</v>
      </c>
      <c r="D58" s="16" t="s">
        <v>117</v>
      </c>
      <c r="E58" s="16" t="s">
        <v>229</v>
      </c>
      <c r="J58" s="14" t="s">
        <v>91</v>
      </c>
      <c r="K58" s="14" t="s">
        <v>59</v>
      </c>
      <c r="L58" s="14" t="s">
        <v>124</v>
      </c>
      <c r="M58" s="14" t="s">
        <v>132</v>
      </c>
      <c r="N58" s="18" t="s">
        <v>23</v>
      </c>
      <c r="O58" s="14" t="s">
        <v>23</v>
      </c>
      <c r="P58" s="19">
        <v>42797.774305555555</v>
      </c>
      <c r="Q58" s="19">
        <v>42804.556944444441</v>
      </c>
      <c r="R58" s="19">
        <v>42804.556944444441</v>
      </c>
      <c r="S58" s="14" t="s">
        <v>139</v>
      </c>
      <c r="T58" s="14" t="s">
        <v>197</v>
      </c>
      <c r="U58" s="14" t="s">
        <v>117</v>
      </c>
      <c r="V58" s="14"/>
      <c r="W58" s="14">
        <v>0</v>
      </c>
      <c r="X58" s="14">
        <v>0</v>
      </c>
      <c r="Y58" s="14"/>
      <c r="Z58" s="14"/>
      <c r="AA58" s="14"/>
      <c r="AB58" s="14"/>
      <c r="AC58" s="14"/>
      <c r="AD58" s="14"/>
      <c r="AE58" s="14"/>
      <c r="AF58" s="14"/>
      <c r="AG58" s="14" t="s">
        <v>407</v>
      </c>
      <c r="AH58" s="14"/>
      <c r="AI58" s="14"/>
      <c r="AJ58" s="14"/>
      <c r="AK58" s="14"/>
      <c r="AL58" s="14"/>
      <c r="AM58" s="14"/>
      <c r="AN58" s="14" t="s">
        <v>408</v>
      </c>
      <c r="AO58" s="14" t="s">
        <v>409</v>
      </c>
      <c r="AP58" s="14"/>
      <c r="AQ58" s="14"/>
    </row>
    <row r="59" spans="1:47" s="16" customFormat="1" ht="80.25" customHeight="1" x14ac:dyDescent="0.2">
      <c r="A59" s="14" t="s">
        <v>86</v>
      </c>
      <c r="B59" s="15" t="s">
        <v>410</v>
      </c>
      <c r="C59" s="14" t="s">
        <v>411</v>
      </c>
      <c r="D59" s="16" t="s">
        <v>117</v>
      </c>
      <c r="E59" s="16" t="s">
        <v>131</v>
      </c>
      <c r="J59" s="14" t="s">
        <v>91</v>
      </c>
      <c r="K59" s="14" t="s">
        <v>275</v>
      </c>
      <c r="L59" s="14" t="s">
        <v>103</v>
      </c>
      <c r="M59" s="14" t="s">
        <v>132</v>
      </c>
      <c r="N59" s="18" t="s">
        <v>202</v>
      </c>
      <c r="O59" s="14" t="s">
        <v>37</v>
      </c>
      <c r="P59" s="19">
        <v>42797.736805555556</v>
      </c>
      <c r="Q59" s="19">
        <v>42807.651388888888</v>
      </c>
      <c r="R59" s="19">
        <v>42804.587500000001</v>
      </c>
      <c r="S59" s="14" t="s">
        <v>104</v>
      </c>
      <c r="T59" s="14" t="s">
        <v>104</v>
      </c>
      <c r="U59" s="14" t="s">
        <v>412</v>
      </c>
      <c r="V59" s="14"/>
      <c r="W59" s="14">
        <v>0</v>
      </c>
      <c r="X59" s="14">
        <v>0</v>
      </c>
      <c r="Y59" s="14" t="s">
        <v>413</v>
      </c>
      <c r="Z59" s="14"/>
      <c r="AA59" s="14"/>
      <c r="AB59" s="14"/>
      <c r="AC59" s="14"/>
      <c r="AD59" s="14"/>
      <c r="AE59" s="14"/>
      <c r="AF59" s="14" t="s">
        <v>414</v>
      </c>
      <c r="AG59" s="14" t="s">
        <v>415</v>
      </c>
      <c r="AH59" s="14"/>
      <c r="AI59" s="14"/>
      <c r="AJ59" s="14"/>
      <c r="AK59" s="14"/>
      <c r="AL59" s="14"/>
      <c r="AM59" s="14"/>
      <c r="AN59" s="14" t="s">
        <v>416</v>
      </c>
      <c r="AO59" s="14" t="s">
        <v>417</v>
      </c>
      <c r="AP59" s="14"/>
      <c r="AQ59" s="14"/>
    </row>
    <row r="60" spans="1:47" s="16" customFormat="1" ht="80.25" customHeight="1" x14ac:dyDescent="0.2">
      <c r="A60" s="14" t="s">
        <v>86</v>
      </c>
      <c r="B60" s="15" t="s">
        <v>418</v>
      </c>
      <c r="C60" s="14" t="s">
        <v>419</v>
      </c>
      <c r="D60" s="16" t="s">
        <v>96</v>
      </c>
      <c r="E60" s="16" t="s">
        <v>416</v>
      </c>
      <c r="J60" s="14" t="s">
        <v>91</v>
      </c>
      <c r="K60" s="14" t="s">
        <v>110</v>
      </c>
      <c r="L60" s="14" t="s">
        <v>93</v>
      </c>
      <c r="M60" s="17" t="s">
        <v>94</v>
      </c>
      <c r="N60" s="18" t="s">
        <v>111</v>
      </c>
      <c r="O60" s="14" t="s">
        <v>37</v>
      </c>
      <c r="P60" s="19">
        <v>42797.606944444444</v>
      </c>
      <c r="Q60" s="19">
        <v>42808.839583333334</v>
      </c>
      <c r="R60" s="14"/>
      <c r="S60" s="14" t="s">
        <v>104</v>
      </c>
      <c r="T60" s="14"/>
      <c r="U60" s="14" t="s">
        <v>89</v>
      </c>
      <c r="V60" s="14"/>
      <c r="W60" s="14">
        <v>0</v>
      </c>
      <c r="X60" s="14">
        <v>0</v>
      </c>
      <c r="Y60" s="20" t="s">
        <v>420</v>
      </c>
      <c r="Z60" s="14"/>
      <c r="AA60" s="14"/>
      <c r="AB60" s="14"/>
      <c r="AC60" s="14"/>
      <c r="AD60" s="14"/>
      <c r="AE60" s="14"/>
      <c r="AF60" s="14" t="s">
        <v>414</v>
      </c>
      <c r="AG60" s="14" t="s">
        <v>421</v>
      </c>
      <c r="AH60" s="14"/>
      <c r="AI60" s="14"/>
      <c r="AJ60" s="14"/>
      <c r="AK60" s="14"/>
      <c r="AL60" s="14"/>
      <c r="AM60" s="14"/>
      <c r="AN60" s="14" t="s">
        <v>149</v>
      </c>
      <c r="AO60" s="14"/>
      <c r="AP60" s="14"/>
      <c r="AQ60" s="14"/>
    </row>
    <row r="61" spans="1:47" s="16" customFormat="1" ht="80.25" customHeight="1" x14ac:dyDescent="0.2">
      <c r="A61" s="14" t="s">
        <v>86</v>
      </c>
      <c r="B61" s="15" t="s">
        <v>422</v>
      </c>
      <c r="C61" s="14" t="s">
        <v>423</v>
      </c>
      <c r="D61" s="22" t="s">
        <v>89</v>
      </c>
      <c r="E61" s="22" t="s">
        <v>424</v>
      </c>
      <c r="J61" s="14" t="s">
        <v>91</v>
      </c>
      <c r="K61" s="14" t="s">
        <v>59</v>
      </c>
      <c r="L61" s="14" t="s">
        <v>93</v>
      </c>
      <c r="M61" s="14" t="s">
        <v>132</v>
      </c>
      <c r="N61" s="18" t="s">
        <v>24</v>
      </c>
      <c r="O61" s="14" t="s">
        <v>24</v>
      </c>
      <c r="P61" s="19">
        <v>42797.42083333333</v>
      </c>
      <c r="Q61" s="19">
        <v>42808.590277777781</v>
      </c>
      <c r="R61" s="19">
        <v>42808.590277777781</v>
      </c>
      <c r="S61" s="14" t="s">
        <v>203</v>
      </c>
      <c r="T61" s="14" t="s">
        <v>203</v>
      </c>
      <c r="U61" s="14" t="s">
        <v>117</v>
      </c>
      <c r="V61" s="14"/>
      <c r="W61" s="14">
        <v>0</v>
      </c>
      <c r="X61" s="14">
        <v>0</v>
      </c>
      <c r="Y61" s="14"/>
      <c r="Z61" s="14"/>
      <c r="AA61" s="14"/>
      <c r="AB61" s="14"/>
      <c r="AC61" s="14"/>
      <c r="AD61" s="14"/>
      <c r="AE61" s="14"/>
      <c r="AF61" s="14" t="s">
        <v>176</v>
      </c>
      <c r="AG61" s="14" t="s">
        <v>425</v>
      </c>
      <c r="AH61" s="14"/>
      <c r="AI61" s="14"/>
      <c r="AJ61" s="14"/>
      <c r="AK61" s="14"/>
      <c r="AL61" s="14"/>
      <c r="AM61" s="14"/>
      <c r="AN61" s="14" t="s">
        <v>426</v>
      </c>
      <c r="AO61" s="14"/>
      <c r="AP61" s="14"/>
      <c r="AQ61" s="14"/>
    </row>
    <row r="62" spans="1:47" s="16" customFormat="1" ht="80.25" customHeight="1" x14ac:dyDescent="0.2">
      <c r="A62" s="14" t="s">
        <v>86</v>
      </c>
      <c r="B62" s="15" t="s">
        <v>427</v>
      </c>
      <c r="C62" s="14" t="s">
        <v>428</v>
      </c>
      <c r="D62" s="16" t="s">
        <v>117</v>
      </c>
      <c r="E62" s="16" t="s">
        <v>429</v>
      </c>
      <c r="J62" s="14" t="s">
        <v>91</v>
      </c>
      <c r="K62" s="14" t="s">
        <v>59</v>
      </c>
      <c r="L62" s="14" t="s">
        <v>93</v>
      </c>
      <c r="M62" s="14" t="s">
        <v>132</v>
      </c>
      <c r="N62" s="18" t="s">
        <v>24</v>
      </c>
      <c r="O62" s="14" t="s">
        <v>24</v>
      </c>
      <c r="P62" s="19">
        <v>42796.801388888889</v>
      </c>
      <c r="Q62" s="19">
        <v>42811.486111111109</v>
      </c>
      <c r="R62" s="19">
        <v>42801.765277777777</v>
      </c>
      <c r="S62" s="14" t="s">
        <v>139</v>
      </c>
      <c r="T62" s="14" t="s">
        <v>344</v>
      </c>
      <c r="U62" s="14" t="s">
        <v>117</v>
      </c>
      <c r="V62" s="14"/>
      <c r="W62" s="14">
        <v>0</v>
      </c>
      <c r="X62" s="14">
        <v>0</v>
      </c>
      <c r="Y62" s="14"/>
      <c r="Z62" s="14"/>
      <c r="AA62" s="14"/>
      <c r="AB62" s="14"/>
      <c r="AC62" s="14"/>
      <c r="AD62" s="14"/>
      <c r="AE62" s="14"/>
      <c r="AF62" s="14" t="s">
        <v>143</v>
      </c>
      <c r="AG62" s="14" t="s">
        <v>430</v>
      </c>
      <c r="AH62" s="14"/>
      <c r="AI62" s="14"/>
      <c r="AJ62" s="14"/>
      <c r="AK62" s="14"/>
      <c r="AL62" s="14"/>
      <c r="AM62" s="14"/>
      <c r="AN62" s="14" t="s">
        <v>431</v>
      </c>
      <c r="AO62" s="14" t="s">
        <v>432</v>
      </c>
      <c r="AP62" s="14"/>
      <c r="AQ62" s="14"/>
    </row>
    <row r="63" spans="1:47" s="16" customFormat="1" ht="60" customHeight="1" x14ac:dyDescent="0.2">
      <c r="A63" s="14" t="s">
        <v>86</v>
      </c>
      <c r="B63" s="15" t="s">
        <v>433</v>
      </c>
      <c r="C63" s="14" t="s">
        <v>434</v>
      </c>
      <c r="D63" s="14" t="s">
        <v>117</v>
      </c>
      <c r="E63" s="14" t="s">
        <v>435</v>
      </c>
      <c r="F63" s="14"/>
      <c r="G63" s="23" t="s">
        <v>436</v>
      </c>
      <c r="H63" s="14"/>
      <c r="I63" s="14" t="s">
        <v>437</v>
      </c>
      <c r="J63" s="14" t="s">
        <v>91</v>
      </c>
      <c r="K63" s="14" t="s">
        <v>59</v>
      </c>
      <c r="L63" s="14" t="s">
        <v>103</v>
      </c>
      <c r="M63" s="14" t="s">
        <v>132</v>
      </c>
      <c r="N63" s="18" t="s">
        <v>202</v>
      </c>
      <c r="O63" s="14" t="s">
        <v>37</v>
      </c>
      <c r="P63" s="19">
        <v>42796.645833333336</v>
      </c>
      <c r="Q63" s="19">
        <v>42801.60833333333</v>
      </c>
      <c r="R63" s="19">
        <v>42801.60833333333</v>
      </c>
      <c r="S63" s="14" t="s">
        <v>104</v>
      </c>
      <c r="T63" s="14" t="s">
        <v>438</v>
      </c>
      <c r="U63" s="14" t="s">
        <v>89</v>
      </c>
      <c r="V63" s="14"/>
      <c r="W63" s="14">
        <v>0</v>
      </c>
      <c r="X63" s="14">
        <v>0</v>
      </c>
      <c r="Y63" s="14" t="s">
        <v>439</v>
      </c>
      <c r="Z63" s="14"/>
      <c r="AA63" s="14"/>
      <c r="AB63" s="14"/>
      <c r="AC63" s="14"/>
      <c r="AD63" s="14"/>
      <c r="AE63" s="14"/>
      <c r="AF63" s="14" t="s">
        <v>440</v>
      </c>
      <c r="AG63" s="14" t="s">
        <v>441</v>
      </c>
      <c r="AH63" s="14"/>
      <c r="AI63" s="14"/>
      <c r="AJ63" s="14"/>
      <c r="AK63" s="14"/>
      <c r="AL63" s="14"/>
      <c r="AM63" s="14"/>
      <c r="AN63" s="14" t="s">
        <v>193</v>
      </c>
      <c r="AO63" s="14" t="s">
        <v>442</v>
      </c>
      <c r="AP63" s="14"/>
      <c r="AQ63" s="14"/>
      <c r="AR63" s="24"/>
      <c r="AS63" s="14" t="s">
        <v>117</v>
      </c>
      <c r="AT63" s="14" t="s">
        <v>435</v>
      </c>
      <c r="AU63" s="25" t="str">
        <f>VLOOKUP(O63,[1]Lookup!A:B,2,FALSE)</f>
        <v>DMO</v>
      </c>
    </row>
    <row r="64" spans="1:47" s="16" customFormat="1" ht="74.25" customHeight="1" x14ac:dyDescent="0.2">
      <c r="A64" s="14" t="s">
        <v>86</v>
      </c>
      <c r="B64" s="15" t="s">
        <v>443</v>
      </c>
      <c r="C64" s="14" t="s">
        <v>444</v>
      </c>
      <c r="D64" s="14" t="s">
        <v>89</v>
      </c>
      <c r="E64" s="14" t="s">
        <v>193</v>
      </c>
      <c r="F64" s="14" t="s">
        <v>445</v>
      </c>
      <c r="G64" s="26" t="s">
        <v>373</v>
      </c>
      <c r="H64" s="14"/>
      <c r="I64" s="14" t="s">
        <v>446</v>
      </c>
      <c r="J64" s="14" t="s">
        <v>91</v>
      </c>
      <c r="K64" s="14" t="s">
        <v>59</v>
      </c>
      <c r="L64" s="14" t="s">
        <v>124</v>
      </c>
      <c r="M64" s="14" t="s">
        <v>132</v>
      </c>
      <c r="N64" s="18" t="s">
        <v>38</v>
      </c>
      <c r="O64" s="14" t="s">
        <v>38</v>
      </c>
      <c r="P64" s="19">
        <v>42796.594444444447</v>
      </c>
      <c r="Q64" s="19">
        <v>42797.429861111108</v>
      </c>
      <c r="R64" s="19">
        <v>42797.429861111108</v>
      </c>
      <c r="S64" s="14" t="s">
        <v>104</v>
      </c>
      <c r="T64" s="14" t="s">
        <v>204</v>
      </c>
      <c r="U64" s="14" t="s">
        <v>117</v>
      </c>
      <c r="V64" s="14"/>
      <c r="W64" s="14">
        <v>0</v>
      </c>
      <c r="X64" s="14">
        <v>0</v>
      </c>
      <c r="Y64" s="14"/>
      <c r="Z64" s="14"/>
      <c r="AA64" s="14"/>
      <c r="AB64" s="14"/>
      <c r="AC64" s="14"/>
      <c r="AD64" s="14"/>
      <c r="AE64" s="14"/>
      <c r="AF64" s="14"/>
      <c r="AG64" s="14" t="s">
        <v>447</v>
      </c>
      <c r="AH64" s="14"/>
      <c r="AI64" s="14"/>
      <c r="AJ64" s="14"/>
      <c r="AK64" s="14"/>
      <c r="AL64" s="14"/>
      <c r="AM64" s="14"/>
      <c r="AN64" s="14" t="s">
        <v>229</v>
      </c>
      <c r="AO64" s="14" t="s">
        <v>448</v>
      </c>
      <c r="AP64" s="14"/>
      <c r="AQ64" s="14"/>
      <c r="AR64" s="24"/>
      <c r="AS64" s="14" t="s">
        <v>89</v>
      </c>
      <c r="AT64" s="14" t="s">
        <v>193</v>
      </c>
      <c r="AU64" s="25" t="str">
        <f>VLOOKUP(O64,[1]Lookup!A:B,2,FALSE)</f>
        <v>DMO</v>
      </c>
    </row>
    <row r="65" spans="1:47" s="16" customFormat="1" ht="54.75" customHeight="1" x14ac:dyDescent="0.2">
      <c r="A65" s="14" t="s">
        <v>86</v>
      </c>
      <c r="B65" s="15" t="s">
        <v>449</v>
      </c>
      <c r="C65" s="14" t="s">
        <v>450</v>
      </c>
      <c r="D65" s="14" t="s">
        <v>117</v>
      </c>
      <c r="E65" s="14" t="s">
        <v>229</v>
      </c>
      <c r="F65" s="14"/>
      <c r="G65" s="27" t="s">
        <v>373</v>
      </c>
      <c r="H65" s="14"/>
      <c r="I65" s="14"/>
      <c r="J65" s="14" t="s">
        <v>91</v>
      </c>
      <c r="K65" s="14" t="s">
        <v>59</v>
      </c>
      <c r="L65" s="14" t="s">
        <v>93</v>
      </c>
      <c r="M65" s="14" t="s">
        <v>132</v>
      </c>
      <c r="N65" s="18" t="s">
        <v>22</v>
      </c>
      <c r="O65" s="14" t="s">
        <v>19</v>
      </c>
      <c r="P65" s="19">
        <v>42796.586111111108</v>
      </c>
      <c r="Q65" s="19">
        <v>42800.472222222219</v>
      </c>
      <c r="R65" s="19">
        <v>42800.472222222219</v>
      </c>
      <c r="S65" s="14" t="s">
        <v>451</v>
      </c>
      <c r="T65" s="14" t="s">
        <v>373</v>
      </c>
      <c r="U65" s="14" t="s">
        <v>96</v>
      </c>
      <c r="V65" s="14"/>
      <c r="W65" s="14">
        <v>0</v>
      </c>
      <c r="X65" s="14">
        <v>0</v>
      </c>
      <c r="Y65" s="14"/>
      <c r="Z65" s="14"/>
      <c r="AA65" s="14"/>
      <c r="AB65" s="14"/>
      <c r="AC65" s="14"/>
      <c r="AD65" s="14"/>
      <c r="AE65" s="14" t="s">
        <v>452</v>
      </c>
      <c r="AF65" s="14" t="s">
        <v>453</v>
      </c>
      <c r="AG65" s="14" t="s">
        <v>454</v>
      </c>
      <c r="AH65" s="14"/>
      <c r="AI65" s="14"/>
      <c r="AJ65" s="14"/>
      <c r="AK65" s="14"/>
      <c r="AL65" s="14"/>
      <c r="AM65" s="14"/>
      <c r="AN65" s="14" t="s">
        <v>455</v>
      </c>
      <c r="AO65" s="14" t="s">
        <v>456</v>
      </c>
      <c r="AP65" s="14"/>
      <c r="AQ65" s="14"/>
      <c r="AR65" s="24"/>
      <c r="AS65" s="14" t="s">
        <v>117</v>
      </c>
      <c r="AT65" s="14" t="s">
        <v>229</v>
      </c>
      <c r="AU65" s="25" t="str">
        <f>VLOOKUP(O65,[1]Lookup!A:B,2,FALSE)</f>
        <v>Test-SIT</v>
      </c>
    </row>
    <row r="66" spans="1:47" s="16" customFormat="1" ht="65.25" customHeight="1" x14ac:dyDescent="0.2">
      <c r="A66" s="14" t="s">
        <v>86</v>
      </c>
      <c r="B66" s="15" t="s">
        <v>457</v>
      </c>
      <c r="C66" s="14" t="s">
        <v>458</v>
      </c>
      <c r="D66" s="14" t="s">
        <v>241</v>
      </c>
      <c r="E66" s="22" t="s">
        <v>166</v>
      </c>
      <c r="F66" s="14" t="s">
        <v>445</v>
      </c>
      <c r="G66" s="27" t="s">
        <v>373</v>
      </c>
      <c r="H66" s="14"/>
      <c r="I66" s="14" t="s">
        <v>446</v>
      </c>
      <c r="J66" s="14" t="s">
        <v>91</v>
      </c>
      <c r="K66" s="14" t="s">
        <v>59</v>
      </c>
      <c r="L66" s="14" t="s">
        <v>124</v>
      </c>
      <c r="M66" s="14" t="s">
        <v>132</v>
      </c>
      <c r="N66" s="18" t="s">
        <v>38</v>
      </c>
      <c r="O66" s="14" t="s">
        <v>38</v>
      </c>
      <c r="P66" s="19">
        <v>42796.474999999999</v>
      </c>
      <c r="Q66" s="19">
        <v>42797.438888888886</v>
      </c>
      <c r="R66" s="19">
        <v>42797.438888888886</v>
      </c>
      <c r="S66" s="14" t="s">
        <v>104</v>
      </c>
      <c r="T66" s="14" t="s">
        <v>204</v>
      </c>
      <c r="U66" s="14" t="s">
        <v>117</v>
      </c>
      <c r="V66" s="14"/>
      <c r="W66" s="14">
        <v>0</v>
      </c>
      <c r="X66" s="14">
        <v>0</v>
      </c>
      <c r="Y66" s="14"/>
      <c r="Z66" s="14"/>
      <c r="AA66" s="14"/>
      <c r="AB66" s="14"/>
      <c r="AC66" s="14"/>
      <c r="AD66" s="14"/>
      <c r="AE66" s="14"/>
      <c r="AF66" s="14"/>
      <c r="AG66" s="14" t="s">
        <v>459</v>
      </c>
      <c r="AH66" s="14"/>
      <c r="AI66" s="14"/>
      <c r="AJ66" s="14"/>
      <c r="AK66" s="14"/>
      <c r="AL66" s="14"/>
      <c r="AM66" s="14"/>
      <c r="AN66" s="14" t="s">
        <v>229</v>
      </c>
      <c r="AO66" s="14" t="s">
        <v>229</v>
      </c>
      <c r="AP66" s="14"/>
      <c r="AQ66" s="14"/>
      <c r="AR66" s="24"/>
      <c r="AS66" s="14" t="s">
        <v>241</v>
      </c>
      <c r="AT66" s="14" t="s">
        <v>166</v>
      </c>
      <c r="AU66" s="25" t="str">
        <f>VLOOKUP(O66,[1]Lookup!A:B,2,FALSE)</f>
        <v>DMO</v>
      </c>
    </row>
    <row r="67" spans="1:47" s="16" customFormat="1" ht="69.75" customHeight="1" x14ac:dyDescent="0.2">
      <c r="A67" s="14" t="s">
        <v>86</v>
      </c>
      <c r="B67" s="15" t="s">
        <v>460</v>
      </c>
      <c r="C67" s="14" t="s">
        <v>461</v>
      </c>
      <c r="D67" s="14" t="s">
        <v>117</v>
      </c>
      <c r="E67" s="14" t="s">
        <v>229</v>
      </c>
      <c r="F67" s="14"/>
      <c r="G67" s="14"/>
      <c r="H67" s="14"/>
      <c r="I67" s="14"/>
      <c r="J67" s="14" t="s">
        <v>91</v>
      </c>
      <c r="K67" s="14" t="s">
        <v>59</v>
      </c>
      <c r="L67" s="14" t="s">
        <v>124</v>
      </c>
      <c r="M67" s="14" t="s">
        <v>132</v>
      </c>
      <c r="N67" s="18" t="s">
        <v>38</v>
      </c>
      <c r="O67" s="14" t="s">
        <v>36</v>
      </c>
      <c r="P67" s="19">
        <v>42796.434027777781</v>
      </c>
      <c r="Q67" s="19">
        <v>42797.415277777778</v>
      </c>
      <c r="R67" s="19">
        <v>42796.468055555553</v>
      </c>
      <c r="S67" s="14" t="s">
        <v>104</v>
      </c>
      <c r="T67" s="14"/>
      <c r="U67" s="14" t="s">
        <v>96</v>
      </c>
      <c r="V67" s="14"/>
      <c r="W67" s="14">
        <v>0</v>
      </c>
      <c r="X67" s="14">
        <v>0</v>
      </c>
      <c r="Y67" s="14"/>
      <c r="Z67" s="14"/>
      <c r="AA67" s="14"/>
      <c r="AB67" s="14"/>
      <c r="AC67" s="14"/>
      <c r="AD67" s="14"/>
      <c r="AE67" s="14"/>
      <c r="AF67" s="14" t="s">
        <v>126</v>
      </c>
      <c r="AG67" s="14" t="s">
        <v>462</v>
      </c>
      <c r="AH67" s="14"/>
      <c r="AI67" s="14"/>
      <c r="AJ67" s="14"/>
      <c r="AK67" s="14"/>
      <c r="AL67" s="14"/>
      <c r="AM67" s="14"/>
      <c r="AN67" s="14"/>
      <c r="AO67" s="14"/>
      <c r="AP67" s="14"/>
      <c r="AQ67" s="14"/>
      <c r="AR67" s="24"/>
      <c r="AS67" s="14" t="s">
        <v>117</v>
      </c>
      <c r="AT67" s="14" t="s">
        <v>229</v>
      </c>
      <c r="AU67" s="25" t="str">
        <f>VLOOKUP(O67,[1]Lookup!A:B,2,FALSE)</f>
        <v>DMO</v>
      </c>
    </row>
    <row r="68" spans="1:47" s="16" customFormat="1" ht="66" customHeight="1" x14ac:dyDescent="0.2">
      <c r="A68" s="14" t="s">
        <v>86</v>
      </c>
      <c r="B68" s="15" t="s">
        <v>463</v>
      </c>
      <c r="C68" s="14" t="s">
        <v>464</v>
      </c>
      <c r="D68" s="14" t="s">
        <v>96</v>
      </c>
      <c r="E68" s="14" t="s">
        <v>229</v>
      </c>
      <c r="F68" s="14" t="s">
        <v>465</v>
      </c>
      <c r="G68" s="14"/>
      <c r="H68" s="14"/>
      <c r="I68" s="14"/>
      <c r="J68" s="14" t="s">
        <v>91</v>
      </c>
      <c r="K68" s="14" t="s">
        <v>174</v>
      </c>
      <c r="L68" s="14" t="s">
        <v>124</v>
      </c>
      <c r="M68" s="17" t="s">
        <v>94</v>
      </c>
      <c r="N68" s="18" t="s">
        <v>202</v>
      </c>
      <c r="O68" s="14" t="s">
        <v>8</v>
      </c>
      <c r="P68" s="19">
        <v>42796.406944444447</v>
      </c>
      <c r="Q68" s="19">
        <v>42809.457638888889</v>
      </c>
      <c r="R68" s="14"/>
      <c r="S68" s="14" t="s">
        <v>104</v>
      </c>
      <c r="T68" s="14" t="s">
        <v>466</v>
      </c>
      <c r="U68" s="14" t="s">
        <v>89</v>
      </c>
      <c r="V68" s="28">
        <v>42797</v>
      </c>
      <c r="W68" s="14">
        <v>0</v>
      </c>
      <c r="X68" s="14">
        <v>0</v>
      </c>
      <c r="Y68" s="14"/>
      <c r="Z68" s="14"/>
      <c r="AA68" s="14"/>
      <c r="AB68" s="14"/>
      <c r="AC68" s="14"/>
      <c r="AD68" s="14"/>
      <c r="AE68" s="14"/>
      <c r="AF68" s="14"/>
      <c r="AG68" s="14" t="s">
        <v>467</v>
      </c>
      <c r="AH68" s="14"/>
      <c r="AI68" s="14"/>
      <c r="AJ68" s="14"/>
      <c r="AK68" s="14"/>
      <c r="AL68" s="14"/>
      <c r="AM68" s="14"/>
      <c r="AN68" s="14" t="s">
        <v>468</v>
      </c>
      <c r="AO68" s="14" t="s">
        <v>469</v>
      </c>
      <c r="AP68" s="14"/>
      <c r="AQ68" s="14"/>
      <c r="AR68" s="24"/>
      <c r="AS68" s="14" t="s">
        <v>96</v>
      </c>
      <c r="AT68" s="14" t="s">
        <v>229</v>
      </c>
      <c r="AU68" s="25" t="str">
        <f>VLOOKUP(O68,[1]Lookup!A:B,2,FALSE)</f>
        <v>BTS-Dev</v>
      </c>
    </row>
    <row r="69" spans="1:47" s="16" customFormat="1" ht="77.25" customHeight="1" x14ac:dyDescent="0.2">
      <c r="A69" s="14" t="s">
        <v>86</v>
      </c>
      <c r="B69" s="15" t="s">
        <v>470</v>
      </c>
      <c r="C69" s="14" t="s">
        <v>471</v>
      </c>
      <c r="D69" s="14" t="s">
        <v>241</v>
      </c>
      <c r="E69" s="14" t="s">
        <v>123</v>
      </c>
      <c r="F69" s="14" t="s">
        <v>465</v>
      </c>
      <c r="G69" s="14" t="s">
        <v>174</v>
      </c>
      <c r="H69" s="14"/>
      <c r="I69" s="14" t="s">
        <v>472</v>
      </c>
      <c r="J69" s="14" t="s">
        <v>91</v>
      </c>
      <c r="K69" s="14" t="s">
        <v>59</v>
      </c>
      <c r="L69" s="14" t="s">
        <v>103</v>
      </c>
      <c r="M69" s="14" t="s">
        <v>132</v>
      </c>
      <c r="N69" s="18" t="s">
        <v>22</v>
      </c>
      <c r="O69" s="14" t="s">
        <v>21</v>
      </c>
      <c r="P69" s="19">
        <v>42795.572916666664</v>
      </c>
      <c r="Q69" s="19">
        <v>42807.481249999997</v>
      </c>
      <c r="R69" s="19">
        <v>42807.481249999997</v>
      </c>
      <c r="S69" s="14" t="s">
        <v>104</v>
      </c>
      <c r="T69" s="14" t="s">
        <v>373</v>
      </c>
      <c r="U69" s="14" t="s">
        <v>96</v>
      </c>
      <c r="V69" s="14"/>
      <c r="W69" s="14">
        <v>0</v>
      </c>
      <c r="X69" s="14">
        <v>0</v>
      </c>
      <c r="Y69" s="14"/>
      <c r="Z69" s="14"/>
      <c r="AA69" s="14"/>
      <c r="AB69" s="14"/>
      <c r="AC69" s="14"/>
      <c r="AD69" s="14"/>
      <c r="AE69" s="14"/>
      <c r="AF69" s="14"/>
      <c r="AG69" s="14" t="s">
        <v>473</v>
      </c>
      <c r="AH69" s="14"/>
      <c r="AI69" s="14"/>
      <c r="AJ69" s="14"/>
      <c r="AK69" s="14"/>
      <c r="AL69" s="14"/>
      <c r="AM69" s="14"/>
      <c r="AN69" s="14"/>
      <c r="AO69" s="14" t="s">
        <v>474</v>
      </c>
      <c r="AP69" s="14"/>
      <c r="AQ69" s="14"/>
      <c r="AR69" s="24"/>
      <c r="AS69" s="14" t="s">
        <v>241</v>
      </c>
      <c r="AT69" s="14" t="s">
        <v>123</v>
      </c>
      <c r="AU69" s="25" t="str">
        <f>VLOOKUP(O69,[1]Lookup!A:B,2,FALSE)</f>
        <v>Test-SIT</v>
      </c>
    </row>
    <row r="70" spans="1:47" ht="51.75" customHeight="1" x14ac:dyDescent="0.2">
      <c r="A70" s="27" t="s">
        <v>86</v>
      </c>
      <c r="B70" s="29" t="s">
        <v>475</v>
      </c>
      <c r="C70" s="27" t="s">
        <v>476</v>
      </c>
      <c r="D70" s="22" t="s">
        <v>89</v>
      </c>
      <c r="E70" s="22" t="s">
        <v>477</v>
      </c>
      <c r="F70" s="27" t="s">
        <v>478</v>
      </c>
      <c r="G70" s="27" t="s">
        <v>373</v>
      </c>
      <c r="H70" s="27"/>
      <c r="I70" s="27"/>
      <c r="J70" s="14" t="s">
        <v>91</v>
      </c>
      <c r="K70" s="14" t="s">
        <v>59</v>
      </c>
      <c r="L70" s="14" t="s">
        <v>103</v>
      </c>
      <c r="M70" s="14" t="s">
        <v>132</v>
      </c>
      <c r="N70" s="18" t="s">
        <v>22</v>
      </c>
      <c r="O70" s="14" t="s">
        <v>29</v>
      </c>
      <c r="P70" s="19">
        <v>42795.570138888892</v>
      </c>
      <c r="Q70" s="19">
        <v>42807.865277777775</v>
      </c>
      <c r="R70" s="19">
        <v>42807.865277777775</v>
      </c>
      <c r="S70" s="14" t="s">
        <v>104</v>
      </c>
      <c r="T70" s="14" t="s">
        <v>479</v>
      </c>
      <c r="U70" s="14" t="s">
        <v>130</v>
      </c>
      <c r="V70" s="28">
        <v>42801</v>
      </c>
      <c r="W70" s="14">
        <v>0</v>
      </c>
      <c r="X70" s="14">
        <v>1</v>
      </c>
      <c r="Y70" s="14"/>
      <c r="Z70" s="14"/>
      <c r="AA70" s="14"/>
      <c r="AB70" s="14"/>
      <c r="AC70" s="14"/>
      <c r="AD70" s="14"/>
      <c r="AE70" s="14"/>
      <c r="AF70" s="14" t="s">
        <v>480</v>
      </c>
      <c r="AG70" s="14" t="s">
        <v>481</v>
      </c>
      <c r="AH70" s="14"/>
      <c r="AI70" s="14"/>
      <c r="AJ70" s="14"/>
      <c r="AK70" s="14"/>
      <c r="AL70" s="14"/>
      <c r="AM70" s="14"/>
      <c r="AN70" s="14" t="s">
        <v>482</v>
      </c>
      <c r="AO70" s="14" t="s">
        <v>483</v>
      </c>
      <c r="AP70" s="14" t="s">
        <v>146</v>
      </c>
      <c r="AQ70" s="14"/>
      <c r="AR70" s="24"/>
      <c r="AS70" s="22" t="s">
        <v>89</v>
      </c>
      <c r="AT70" s="22" t="s">
        <v>477</v>
      </c>
      <c r="AU70" s="25" t="str">
        <f>VLOOKUP(O70,[1]Lookup!A:B,2,FALSE)</f>
        <v>BTS-Platform</v>
      </c>
    </row>
    <row r="71" spans="1:47" ht="51.75" customHeight="1" x14ac:dyDescent="0.2">
      <c r="A71" s="27" t="s">
        <v>86</v>
      </c>
      <c r="B71" s="29" t="s">
        <v>484</v>
      </c>
      <c r="C71" s="27" t="s">
        <v>485</v>
      </c>
      <c r="D71" s="22" t="s">
        <v>89</v>
      </c>
      <c r="E71" s="22" t="s">
        <v>477</v>
      </c>
      <c r="F71" s="27"/>
      <c r="G71" s="26" t="s">
        <v>312</v>
      </c>
      <c r="H71" s="27"/>
      <c r="I71" s="27"/>
      <c r="J71" s="14" t="s">
        <v>91</v>
      </c>
      <c r="K71" s="14" t="s">
        <v>59</v>
      </c>
      <c r="L71" s="14" t="s">
        <v>103</v>
      </c>
      <c r="M71" s="14" t="s">
        <v>132</v>
      </c>
      <c r="N71" s="18" t="s">
        <v>21</v>
      </c>
      <c r="O71" s="14" t="s">
        <v>21</v>
      </c>
      <c r="P71" s="19">
        <v>42795.515277777777</v>
      </c>
      <c r="Q71" s="19">
        <v>42807.863194444442</v>
      </c>
      <c r="R71" s="19">
        <v>42807.863194444442</v>
      </c>
      <c r="S71" s="14" t="s">
        <v>203</v>
      </c>
      <c r="T71" s="14" t="s">
        <v>312</v>
      </c>
      <c r="U71" s="14" t="s">
        <v>96</v>
      </c>
      <c r="V71" s="14"/>
      <c r="W71" s="14">
        <v>0</v>
      </c>
      <c r="X71" s="14">
        <v>0</v>
      </c>
      <c r="Y71" s="14"/>
      <c r="Z71" s="14"/>
      <c r="AA71" s="14"/>
      <c r="AB71" s="14"/>
      <c r="AC71" s="14"/>
      <c r="AD71" s="14"/>
      <c r="AE71" s="14"/>
      <c r="AF71" s="14"/>
      <c r="AG71" s="14" t="s">
        <v>486</v>
      </c>
      <c r="AH71" s="14"/>
      <c r="AI71" s="14"/>
      <c r="AJ71" s="14"/>
      <c r="AK71" s="14"/>
      <c r="AL71" s="14"/>
      <c r="AM71" s="14"/>
      <c r="AN71" s="14"/>
      <c r="AO71" s="14" t="s">
        <v>487</v>
      </c>
      <c r="AP71" s="14"/>
      <c r="AQ71" s="14"/>
      <c r="AR71" s="24"/>
      <c r="AS71" s="22" t="s">
        <v>89</v>
      </c>
      <c r="AT71" s="22" t="s">
        <v>477</v>
      </c>
      <c r="AU71" s="25" t="str">
        <f>VLOOKUP(O71,[1]Lookup!A:B,2,FALSE)</f>
        <v>Test-SIT</v>
      </c>
    </row>
    <row r="72" spans="1:47" ht="51.75" customHeight="1" x14ac:dyDescent="0.2">
      <c r="A72" s="27" t="s">
        <v>86</v>
      </c>
      <c r="B72" s="29" t="s">
        <v>488</v>
      </c>
      <c r="C72" s="27" t="s">
        <v>489</v>
      </c>
      <c r="D72" s="22" t="s">
        <v>130</v>
      </c>
      <c r="E72" s="22" t="s">
        <v>490</v>
      </c>
      <c r="F72" s="27"/>
      <c r="G72" s="27" t="s">
        <v>312</v>
      </c>
      <c r="H72" s="27"/>
      <c r="I72" s="27"/>
      <c r="J72" s="14" t="s">
        <v>91</v>
      </c>
      <c r="K72" s="14" t="s">
        <v>92</v>
      </c>
      <c r="L72" s="14" t="s">
        <v>124</v>
      </c>
      <c r="M72" s="17" t="s">
        <v>94</v>
      </c>
      <c r="N72" s="18" t="s">
        <v>9</v>
      </c>
      <c r="O72" s="14" t="s">
        <v>24</v>
      </c>
      <c r="P72" s="19">
        <v>42794.667361111111</v>
      </c>
      <c r="Q72" s="19">
        <v>42811.435416666667</v>
      </c>
      <c r="R72" s="14"/>
      <c r="S72" s="14" t="s">
        <v>139</v>
      </c>
      <c r="T72" s="14" t="s">
        <v>155</v>
      </c>
      <c r="U72" s="14" t="s">
        <v>117</v>
      </c>
      <c r="V72" s="14"/>
      <c r="W72" s="14">
        <v>0</v>
      </c>
      <c r="X72" s="14">
        <v>0</v>
      </c>
      <c r="Y72" s="14"/>
      <c r="Z72" s="14"/>
      <c r="AA72" s="14"/>
      <c r="AB72" s="14"/>
      <c r="AC72" s="14"/>
      <c r="AD72" s="14"/>
      <c r="AE72" s="14"/>
      <c r="AF72" s="14" t="s">
        <v>97</v>
      </c>
      <c r="AG72" s="14" t="s">
        <v>491</v>
      </c>
      <c r="AH72" s="14"/>
      <c r="AI72" s="14"/>
      <c r="AJ72" s="14"/>
      <c r="AK72" s="14"/>
      <c r="AL72" s="14"/>
      <c r="AM72" s="14"/>
      <c r="AN72" s="14" t="s">
        <v>255</v>
      </c>
      <c r="AO72" s="14"/>
      <c r="AP72" s="14"/>
      <c r="AQ72" s="14"/>
      <c r="AR72" s="24"/>
      <c r="AS72" s="22" t="s">
        <v>130</v>
      </c>
      <c r="AT72" s="22" t="s">
        <v>490</v>
      </c>
      <c r="AU72" s="25" t="str">
        <f>VLOOKUP(O72,[1]Lookup!A:B,2,FALSE)</f>
        <v>Test-SIT</v>
      </c>
    </row>
    <row r="73" spans="1:47" ht="51.75" customHeight="1" x14ac:dyDescent="0.2">
      <c r="A73" s="27" t="s">
        <v>86</v>
      </c>
      <c r="B73" s="29" t="s">
        <v>492</v>
      </c>
      <c r="C73" s="27" t="s">
        <v>493</v>
      </c>
      <c r="D73" s="22" t="s">
        <v>117</v>
      </c>
      <c r="E73" s="22" t="s">
        <v>490</v>
      </c>
      <c r="F73" s="27"/>
      <c r="G73" s="27"/>
      <c r="H73" s="27"/>
      <c r="I73" s="27"/>
      <c r="J73" s="14" t="s">
        <v>91</v>
      </c>
      <c r="K73" s="14" t="s">
        <v>59</v>
      </c>
      <c r="L73" s="14" t="s">
        <v>93</v>
      </c>
      <c r="M73" s="14" t="s">
        <v>132</v>
      </c>
      <c r="N73" s="18" t="s">
        <v>22</v>
      </c>
      <c r="O73" s="14" t="s">
        <v>19</v>
      </c>
      <c r="P73" s="19">
        <v>42794.634027777778</v>
      </c>
      <c r="Q73" s="19">
        <v>42800.469444444447</v>
      </c>
      <c r="R73" s="19">
        <v>42800.469444444447</v>
      </c>
      <c r="S73" s="14" t="s">
        <v>451</v>
      </c>
      <c r="T73" s="14" t="s">
        <v>373</v>
      </c>
      <c r="U73" s="14" t="s">
        <v>96</v>
      </c>
      <c r="V73" s="14"/>
      <c r="W73" s="14">
        <v>0</v>
      </c>
      <c r="X73" s="14">
        <v>0</v>
      </c>
      <c r="Y73" s="14"/>
      <c r="Z73" s="14"/>
      <c r="AA73" s="14"/>
      <c r="AB73" s="14"/>
      <c r="AC73" s="14"/>
      <c r="AD73" s="14"/>
      <c r="AE73" s="14"/>
      <c r="AF73" s="14" t="s">
        <v>494</v>
      </c>
      <c r="AG73" s="14" t="s">
        <v>495</v>
      </c>
      <c r="AH73" s="14"/>
      <c r="AI73" s="14"/>
      <c r="AJ73" s="14"/>
      <c r="AK73" s="14"/>
      <c r="AL73" s="14"/>
      <c r="AM73" s="14"/>
      <c r="AN73" s="14" t="s">
        <v>123</v>
      </c>
      <c r="AO73" s="14" t="s">
        <v>496</v>
      </c>
      <c r="AP73" s="14"/>
      <c r="AQ73" s="14"/>
      <c r="AR73" s="24"/>
      <c r="AS73" s="22" t="s">
        <v>130</v>
      </c>
      <c r="AT73" s="22" t="s">
        <v>490</v>
      </c>
      <c r="AU73" s="25" t="str">
        <f>VLOOKUP(O73,[1]Lookup!A:B,2,FALSE)</f>
        <v>Test-SIT</v>
      </c>
    </row>
    <row r="74" spans="1:47" ht="51.75" customHeight="1" x14ac:dyDescent="0.2">
      <c r="A74" s="27" t="s">
        <v>86</v>
      </c>
      <c r="B74" s="29" t="s">
        <v>497</v>
      </c>
      <c r="C74" s="27" t="s">
        <v>498</v>
      </c>
      <c r="D74" s="22" t="s">
        <v>89</v>
      </c>
      <c r="E74" s="22" t="s">
        <v>499</v>
      </c>
      <c r="F74" s="30" t="s">
        <v>500</v>
      </c>
      <c r="G74" s="30" t="s">
        <v>373</v>
      </c>
      <c r="H74" s="30"/>
      <c r="I74" s="30" t="s">
        <v>501</v>
      </c>
      <c r="J74" s="14" t="s">
        <v>91</v>
      </c>
      <c r="K74" s="14" t="s">
        <v>59</v>
      </c>
      <c r="L74" s="14" t="s">
        <v>93</v>
      </c>
      <c r="M74" s="14" t="s">
        <v>132</v>
      </c>
      <c r="N74" s="18" t="s">
        <v>22</v>
      </c>
      <c r="O74" s="14" t="s">
        <v>22</v>
      </c>
      <c r="P74" s="19">
        <v>42794.588888888888</v>
      </c>
      <c r="Q74" s="19">
        <v>42807.845138888886</v>
      </c>
      <c r="R74" s="19">
        <v>42807.469444444447</v>
      </c>
      <c r="S74" s="14" t="s">
        <v>502</v>
      </c>
      <c r="T74" s="14" t="s">
        <v>373</v>
      </c>
      <c r="U74" s="14" t="s">
        <v>89</v>
      </c>
      <c r="V74" s="14"/>
      <c r="W74" s="14">
        <v>0</v>
      </c>
      <c r="X74" s="14">
        <v>0</v>
      </c>
      <c r="Y74" s="14"/>
      <c r="Z74" s="14"/>
      <c r="AA74" s="14"/>
      <c r="AB74" s="14"/>
      <c r="AC74" s="14"/>
      <c r="AD74" s="14"/>
      <c r="AE74" s="14"/>
      <c r="AF74" s="14"/>
      <c r="AG74" s="14" t="s">
        <v>503</v>
      </c>
      <c r="AH74" s="14"/>
      <c r="AI74" s="14"/>
      <c r="AJ74" s="14"/>
      <c r="AK74" s="14"/>
      <c r="AL74" s="14"/>
      <c r="AM74" s="14"/>
      <c r="AN74" s="14" t="s">
        <v>193</v>
      </c>
      <c r="AO74" s="14" t="s">
        <v>504</v>
      </c>
      <c r="AP74" s="14"/>
      <c r="AQ74" s="14"/>
      <c r="AR74" s="24"/>
      <c r="AS74" s="22" t="s">
        <v>89</v>
      </c>
      <c r="AT74" s="22" t="s">
        <v>499</v>
      </c>
      <c r="AU74" s="25" t="str">
        <f>VLOOKUP(O74,[1]Lookup!A:B,2,FALSE)</f>
        <v>Test-SIT</v>
      </c>
    </row>
    <row r="75" spans="1:47" ht="51.75" customHeight="1" x14ac:dyDescent="0.2">
      <c r="A75" s="27" t="s">
        <v>86</v>
      </c>
      <c r="B75" s="29" t="s">
        <v>505</v>
      </c>
      <c r="C75" s="27" t="s">
        <v>506</v>
      </c>
      <c r="D75" s="22" t="s">
        <v>89</v>
      </c>
      <c r="E75" s="22" t="s">
        <v>507</v>
      </c>
      <c r="F75" s="30" t="s">
        <v>508</v>
      </c>
      <c r="G75" s="26" t="s">
        <v>373</v>
      </c>
      <c r="H75" s="30" t="s">
        <v>104</v>
      </c>
      <c r="I75" s="30" t="s">
        <v>509</v>
      </c>
      <c r="J75" s="14" t="s">
        <v>91</v>
      </c>
      <c r="K75" s="14" t="s">
        <v>59</v>
      </c>
      <c r="L75" s="14" t="s">
        <v>103</v>
      </c>
      <c r="M75" s="14" t="s">
        <v>132</v>
      </c>
      <c r="N75" s="18" t="s">
        <v>22</v>
      </c>
      <c r="O75" s="14" t="s">
        <v>8</v>
      </c>
      <c r="P75" s="19">
        <v>42794.574999999997</v>
      </c>
      <c r="Q75" s="19">
        <v>42800.469444444447</v>
      </c>
      <c r="R75" s="19">
        <v>42800.469444444447</v>
      </c>
      <c r="S75" s="14" t="s">
        <v>510</v>
      </c>
      <c r="T75" s="14" t="s">
        <v>373</v>
      </c>
      <c r="U75" s="14" t="s">
        <v>96</v>
      </c>
      <c r="V75" s="14"/>
      <c r="W75" s="14">
        <v>0</v>
      </c>
      <c r="X75" s="14">
        <v>0</v>
      </c>
      <c r="Y75" s="14"/>
      <c r="Z75" s="14"/>
      <c r="AA75" s="14"/>
      <c r="AB75" s="14"/>
      <c r="AC75" s="14"/>
      <c r="AD75" s="14"/>
      <c r="AE75" s="14"/>
      <c r="AF75" s="14"/>
      <c r="AG75" s="14" t="s">
        <v>511</v>
      </c>
      <c r="AH75" s="14"/>
      <c r="AI75" s="14"/>
      <c r="AJ75" s="14"/>
      <c r="AK75" s="14"/>
      <c r="AL75" s="14"/>
      <c r="AM75" s="14"/>
      <c r="AN75" s="14" t="s">
        <v>193</v>
      </c>
      <c r="AO75" s="14" t="s">
        <v>512</v>
      </c>
      <c r="AP75" s="14"/>
      <c r="AQ75" s="14"/>
      <c r="AR75" s="22" t="s">
        <v>480</v>
      </c>
      <c r="AS75" s="22" t="s">
        <v>89</v>
      </c>
      <c r="AT75" s="22" t="s">
        <v>513</v>
      </c>
      <c r="AU75" s="25" t="str">
        <f>VLOOKUP(O75,[1]Lookup!A:B,2,FALSE)</f>
        <v>BTS-Dev</v>
      </c>
    </row>
    <row r="76" spans="1:47" ht="51.75" customHeight="1" x14ac:dyDescent="0.2">
      <c r="A76" s="27" t="s">
        <v>86</v>
      </c>
      <c r="B76" s="29" t="s">
        <v>514</v>
      </c>
      <c r="C76" s="27" t="s">
        <v>515</v>
      </c>
      <c r="D76" s="22" t="s">
        <v>241</v>
      </c>
      <c r="E76" s="22" t="s">
        <v>166</v>
      </c>
      <c r="F76" s="30" t="s">
        <v>516</v>
      </c>
      <c r="G76" s="30" t="s">
        <v>373</v>
      </c>
      <c r="H76" s="30" t="s">
        <v>104</v>
      </c>
      <c r="I76" s="30" t="s">
        <v>517</v>
      </c>
      <c r="J76" s="14" t="s">
        <v>91</v>
      </c>
      <c r="K76" s="14" t="s">
        <v>174</v>
      </c>
      <c r="L76" s="14" t="s">
        <v>103</v>
      </c>
      <c r="M76" s="17" t="s">
        <v>94</v>
      </c>
      <c r="N76" s="18" t="s">
        <v>29</v>
      </c>
      <c r="O76" s="14" t="s">
        <v>21</v>
      </c>
      <c r="P76" s="19">
        <v>42793.467361111114</v>
      </c>
      <c r="Q76" s="19">
        <v>42809.568055555559</v>
      </c>
      <c r="R76" s="14"/>
      <c r="S76" s="14" t="s">
        <v>518</v>
      </c>
      <c r="T76" s="14" t="s">
        <v>373</v>
      </c>
      <c r="U76" s="14" t="s">
        <v>89</v>
      </c>
      <c r="V76" s="14"/>
      <c r="W76" s="14">
        <v>0</v>
      </c>
      <c r="X76" s="14">
        <v>0</v>
      </c>
      <c r="Y76" s="14"/>
      <c r="Z76" s="14"/>
      <c r="AA76" s="14"/>
      <c r="AB76" s="14"/>
      <c r="AC76" s="14"/>
      <c r="AD76" s="14"/>
      <c r="AE76" s="14"/>
      <c r="AF76" s="14"/>
      <c r="AG76" s="14" t="s">
        <v>519</v>
      </c>
      <c r="AH76" s="14"/>
      <c r="AI76" s="14"/>
      <c r="AJ76" s="14"/>
      <c r="AK76" s="14"/>
      <c r="AL76" s="14"/>
      <c r="AM76" s="14"/>
      <c r="AN76" s="14" t="s">
        <v>520</v>
      </c>
      <c r="AO76" s="14" t="s">
        <v>521</v>
      </c>
      <c r="AP76" s="14"/>
      <c r="AQ76" s="14"/>
      <c r="AR76" s="22"/>
      <c r="AS76" s="22" t="s">
        <v>241</v>
      </c>
      <c r="AT76" s="22" t="s">
        <v>235</v>
      </c>
      <c r="AU76" s="25" t="str">
        <f>VLOOKUP(O76,[1]Lookup!A:B,2,FALSE)</f>
        <v>Test-SIT</v>
      </c>
    </row>
    <row r="77" spans="1:47" ht="51.75" customHeight="1" x14ac:dyDescent="0.2">
      <c r="A77" s="27" t="s">
        <v>86</v>
      </c>
      <c r="B77" s="29" t="s">
        <v>522</v>
      </c>
      <c r="C77" s="27" t="s">
        <v>523</v>
      </c>
      <c r="D77" s="22" t="s">
        <v>89</v>
      </c>
      <c r="E77" s="22" t="s">
        <v>524</v>
      </c>
      <c r="F77" s="26" t="s">
        <v>525</v>
      </c>
      <c r="G77" s="26" t="s">
        <v>373</v>
      </c>
      <c r="H77" s="26" t="s">
        <v>526</v>
      </c>
      <c r="I77" s="26" t="s">
        <v>527</v>
      </c>
      <c r="J77" s="14" t="s">
        <v>91</v>
      </c>
      <c r="K77" s="14" t="s">
        <v>59</v>
      </c>
      <c r="L77" s="14" t="s">
        <v>124</v>
      </c>
      <c r="M77" s="14" t="s">
        <v>132</v>
      </c>
      <c r="N77" s="18" t="s">
        <v>30</v>
      </c>
      <c r="O77" s="14" t="s">
        <v>19</v>
      </c>
      <c r="P77" s="19">
        <v>42791.824999999997</v>
      </c>
      <c r="Q77" s="19">
        <v>42794.445833333331</v>
      </c>
      <c r="R77" s="19">
        <v>42794.436805555553</v>
      </c>
      <c r="S77" s="14" t="s">
        <v>528</v>
      </c>
      <c r="T77" s="14"/>
      <c r="U77" s="14" t="s">
        <v>96</v>
      </c>
      <c r="V77" s="14"/>
      <c r="W77" s="14">
        <v>0</v>
      </c>
      <c r="X77" s="14">
        <v>0</v>
      </c>
      <c r="Y77" s="14"/>
      <c r="Z77" s="14"/>
      <c r="AA77" s="14"/>
      <c r="AB77" s="14"/>
      <c r="AC77" s="14"/>
      <c r="AD77" s="14"/>
      <c r="AE77" s="14"/>
      <c r="AF77" s="14" t="s">
        <v>529</v>
      </c>
      <c r="AG77" s="14" t="s">
        <v>530</v>
      </c>
      <c r="AH77" s="14"/>
      <c r="AI77" s="14"/>
      <c r="AJ77" s="14"/>
      <c r="AK77" s="14"/>
      <c r="AL77" s="14"/>
      <c r="AM77" s="14"/>
      <c r="AN77" s="14" t="s">
        <v>99</v>
      </c>
      <c r="AO77" s="14"/>
      <c r="AP77" s="14"/>
      <c r="AQ77" s="14"/>
      <c r="AR77" s="22"/>
      <c r="AS77" s="22" t="s">
        <v>89</v>
      </c>
      <c r="AT77" s="22" t="s">
        <v>524</v>
      </c>
      <c r="AU77" s="25" t="str">
        <f>VLOOKUP(O77,[1]Lookup!A:B,2,FALSE)</f>
        <v>Test-SIT</v>
      </c>
    </row>
    <row r="78" spans="1:47" ht="51.75" customHeight="1" x14ac:dyDescent="0.2">
      <c r="A78" s="27" t="s">
        <v>86</v>
      </c>
      <c r="B78" s="29" t="s">
        <v>531</v>
      </c>
      <c r="C78" s="27" t="s">
        <v>532</v>
      </c>
      <c r="D78" s="22" t="s">
        <v>89</v>
      </c>
      <c r="E78" s="22" t="s">
        <v>398</v>
      </c>
      <c r="F78" s="27"/>
      <c r="G78" s="27"/>
      <c r="H78" s="27"/>
      <c r="I78" s="27"/>
      <c r="J78" s="14" t="s">
        <v>91</v>
      </c>
      <c r="K78" s="14" t="s">
        <v>59</v>
      </c>
      <c r="L78" s="14" t="s">
        <v>124</v>
      </c>
      <c r="M78" s="14" t="s">
        <v>132</v>
      </c>
      <c r="N78" s="18" t="s">
        <v>23</v>
      </c>
      <c r="O78" s="14" t="s">
        <v>23</v>
      </c>
      <c r="P78" s="19">
        <v>42790.775000000001</v>
      </c>
      <c r="Q78" s="19">
        <v>42811.442361111112</v>
      </c>
      <c r="R78" s="19">
        <v>42809.724999999999</v>
      </c>
      <c r="S78" s="14" t="s">
        <v>139</v>
      </c>
      <c r="T78" s="14" t="s">
        <v>533</v>
      </c>
      <c r="U78" s="14" t="s">
        <v>117</v>
      </c>
      <c r="V78" s="14"/>
      <c r="W78" s="14">
        <v>0</v>
      </c>
      <c r="X78" s="14">
        <v>0</v>
      </c>
      <c r="Y78" s="14"/>
      <c r="Z78" s="14"/>
      <c r="AA78" s="14"/>
      <c r="AB78" s="14"/>
      <c r="AC78" s="14"/>
      <c r="AD78" s="14"/>
      <c r="AE78" s="14"/>
      <c r="AF78" s="14" t="s">
        <v>156</v>
      </c>
      <c r="AG78" s="14" t="s">
        <v>534</v>
      </c>
      <c r="AH78" s="14"/>
      <c r="AI78" s="14"/>
      <c r="AJ78" s="14"/>
      <c r="AK78" s="14"/>
      <c r="AL78" s="14"/>
      <c r="AM78" s="14"/>
      <c r="AN78" s="14" t="s">
        <v>535</v>
      </c>
      <c r="AO78" s="14"/>
      <c r="AP78" s="14"/>
      <c r="AQ78" s="14"/>
      <c r="AR78" s="22"/>
      <c r="AS78" s="22" t="s">
        <v>89</v>
      </c>
      <c r="AT78" s="22" t="s">
        <v>398</v>
      </c>
      <c r="AU78" s="25" t="str">
        <f>VLOOKUP(O78,[1]Lookup!A:B,2,FALSE)</f>
        <v>Test-SIT</v>
      </c>
    </row>
    <row r="79" spans="1:47" ht="51.75" customHeight="1" x14ac:dyDescent="0.2">
      <c r="A79" s="27" t="s">
        <v>86</v>
      </c>
      <c r="B79" s="29" t="s">
        <v>536</v>
      </c>
      <c r="C79" s="27" t="s">
        <v>537</v>
      </c>
      <c r="D79" s="22" t="s">
        <v>117</v>
      </c>
      <c r="E79" s="22" t="s">
        <v>398</v>
      </c>
      <c r="F79" s="27"/>
      <c r="G79" s="30" t="s">
        <v>538</v>
      </c>
      <c r="H79" s="27" t="s">
        <v>539</v>
      </c>
      <c r="I79" s="27"/>
      <c r="J79" s="14" t="s">
        <v>91</v>
      </c>
      <c r="K79" s="14" t="s">
        <v>174</v>
      </c>
      <c r="L79" s="14" t="s">
        <v>103</v>
      </c>
      <c r="M79" s="17" t="s">
        <v>94</v>
      </c>
      <c r="N79" s="18" t="s">
        <v>38</v>
      </c>
      <c r="O79" s="14" t="s">
        <v>38</v>
      </c>
      <c r="P79" s="19">
        <v>42790.709722222222</v>
      </c>
      <c r="Q79" s="19">
        <v>42797.694444444445</v>
      </c>
      <c r="R79" s="14"/>
      <c r="S79" s="14" t="s">
        <v>203</v>
      </c>
      <c r="T79" s="14" t="s">
        <v>204</v>
      </c>
      <c r="U79" s="14" t="s">
        <v>117</v>
      </c>
      <c r="V79" s="14"/>
      <c r="W79" s="14">
        <v>0</v>
      </c>
      <c r="X79" s="14">
        <v>0</v>
      </c>
      <c r="Y79" s="14"/>
      <c r="Z79" s="14"/>
      <c r="AA79" s="14"/>
      <c r="AB79" s="14"/>
      <c r="AC79" s="14"/>
      <c r="AD79" s="14"/>
      <c r="AE79" s="14"/>
      <c r="AF79" s="14"/>
      <c r="AG79" s="14" t="s">
        <v>540</v>
      </c>
      <c r="AH79" s="14"/>
      <c r="AI79" s="14"/>
      <c r="AJ79" s="14"/>
      <c r="AK79" s="14"/>
      <c r="AL79" s="14"/>
      <c r="AM79" s="14"/>
      <c r="AN79" s="14" t="s">
        <v>283</v>
      </c>
      <c r="AO79" s="14" t="s">
        <v>541</v>
      </c>
      <c r="AP79" s="14"/>
      <c r="AQ79" s="14"/>
      <c r="AR79" s="22"/>
      <c r="AS79" s="22" t="s">
        <v>117</v>
      </c>
      <c r="AT79" s="22" t="s">
        <v>542</v>
      </c>
      <c r="AU79" s="25" t="str">
        <f>VLOOKUP(O79,[1]Lookup!A:B,2,FALSE)</f>
        <v>DMO</v>
      </c>
    </row>
    <row r="80" spans="1:47" s="35" customFormat="1" ht="51.75" customHeight="1" x14ac:dyDescent="0.2">
      <c r="A80" s="31" t="s">
        <v>86</v>
      </c>
      <c r="B80" s="29" t="s">
        <v>543</v>
      </c>
      <c r="C80" s="31" t="s">
        <v>544</v>
      </c>
      <c r="D80" s="32" t="s">
        <v>117</v>
      </c>
      <c r="E80" s="32" t="s">
        <v>229</v>
      </c>
      <c r="F80" s="31"/>
      <c r="G80" s="33" t="s">
        <v>545</v>
      </c>
      <c r="H80" s="31"/>
      <c r="I80" s="31" t="s">
        <v>546</v>
      </c>
      <c r="J80" s="14" t="s">
        <v>91</v>
      </c>
      <c r="K80" s="14" t="s">
        <v>323</v>
      </c>
      <c r="L80" s="14" t="s">
        <v>167</v>
      </c>
      <c r="M80" s="17" t="s">
        <v>94</v>
      </c>
      <c r="N80" s="18" t="s">
        <v>21</v>
      </c>
      <c r="O80" s="14" t="s">
        <v>37</v>
      </c>
      <c r="P80" s="19">
        <v>42790.60833333333</v>
      </c>
      <c r="Q80" s="19">
        <v>42808.611805555556</v>
      </c>
      <c r="R80" s="14"/>
      <c r="S80" s="14" t="s">
        <v>203</v>
      </c>
      <c r="T80" s="14" t="s">
        <v>204</v>
      </c>
      <c r="U80" s="14" t="s">
        <v>96</v>
      </c>
      <c r="V80" s="14"/>
      <c r="W80" s="14">
        <v>0</v>
      </c>
      <c r="X80" s="14">
        <v>0</v>
      </c>
      <c r="Y80" s="20" t="s">
        <v>547</v>
      </c>
      <c r="Z80" s="14"/>
      <c r="AA80" s="14"/>
      <c r="AB80" s="14"/>
      <c r="AC80" s="14"/>
      <c r="AD80" s="14"/>
      <c r="AE80" s="14"/>
      <c r="AF80" s="14" t="s">
        <v>126</v>
      </c>
      <c r="AG80" s="14" t="s">
        <v>548</v>
      </c>
      <c r="AH80" s="14"/>
      <c r="AI80" s="14"/>
      <c r="AJ80" s="14"/>
      <c r="AK80" s="14"/>
      <c r="AL80" s="14"/>
      <c r="AM80" s="14"/>
      <c r="AN80" s="14" t="s">
        <v>229</v>
      </c>
      <c r="AO80" s="14" t="s">
        <v>381</v>
      </c>
      <c r="AP80" s="14"/>
      <c r="AQ80" s="14"/>
      <c r="AR80" s="32" t="s">
        <v>549</v>
      </c>
      <c r="AS80" s="32" t="s">
        <v>117</v>
      </c>
      <c r="AT80" s="32" t="s">
        <v>550</v>
      </c>
      <c r="AU80" s="34" t="str">
        <f>VLOOKUP(O80,[1]Lookup!A:B,2,FALSE)</f>
        <v>DMO</v>
      </c>
    </row>
    <row r="81" spans="1:47" ht="51.75" customHeight="1" x14ac:dyDescent="0.2">
      <c r="A81" s="27" t="s">
        <v>86</v>
      </c>
      <c r="B81" s="29" t="s">
        <v>551</v>
      </c>
      <c r="C81" s="27" t="s">
        <v>552</v>
      </c>
      <c r="D81" s="22" t="s">
        <v>229</v>
      </c>
      <c r="E81" s="36" t="s">
        <v>229</v>
      </c>
      <c r="F81" s="37" t="s">
        <v>104</v>
      </c>
      <c r="G81" s="37" t="s">
        <v>174</v>
      </c>
      <c r="H81" s="37" t="s">
        <v>472</v>
      </c>
      <c r="I81" s="37" t="s">
        <v>553</v>
      </c>
      <c r="J81" s="14" t="s">
        <v>91</v>
      </c>
      <c r="K81" s="14" t="s">
        <v>323</v>
      </c>
      <c r="L81" s="14" t="s">
        <v>124</v>
      </c>
      <c r="M81" s="17" t="s">
        <v>94</v>
      </c>
      <c r="N81" s="18" t="s">
        <v>28</v>
      </c>
      <c r="O81" s="14" t="s">
        <v>38</v>
      </c>
      <c r="P81" s="19">
        <v>42790.515277777777</v>
      </c>
      <c r="Q81" s="19">
        <v>42811.48333333333</v>
      </c>
      <c r="R81" s="14"/>
      <c r="S81" s="14" t="s">
        <v>203</v>
      </c>
      <c r="T81" s="14" t="s">
        <v>155</v>
      </c>
      <c r="U81" s="14" t="s">
        <v>117</v>
      </c>
      <c r="V81" s="14"/>
      <c r="W81" s="14">
        <v>0</v>
      </c>
      <c r="X81" s="14">
        <v>0</v>
      </c>
      <c r="Y81" s="14"/>
      <c r="Z81" s="14"/>
      <c r="AA81" s="14"/>
      <c r="AB81" s="14"/>
      <c r="AC81" s="14"/>
      <c r="AD81" s="14"/>
      <c r="AE81" s="14"/>
      <c r="AF81" s="14"/>
      <c r="AG81" s="14" t="s">
        <v>554</v>
      </c>
      <c r="AH81" s="14"/>
      <c r="AI81" s="14"/>
      <c r="AJ81" s="14"/>
      <c r="AK81" s="14"/>
      <c r="AL81" s="14"/>
      <c r="AM81" s="14"/>
      <c r="AN81" s="14" t="s">
        <v>123</v>
      </c>
      <c r="AO81" s="14" t="s">
        <v>555</v>
      </c>
      <c r="AP81" s="14" t="s">
        <v>556</v>
      </c>
      <c r="AQ81" s="14"/>
      <c r="AR81" s="22" t="s">
        <v>557</v>
      </c>
      <c r="AS81" s="22" t="s">
        <v>89</v>
      </c>
      <c r="AT81" s="36" t="s">
        <v>229</v>
      </c>
      <c r="AU81" s="25" t="str">
        <f>VLOOKUP(O81,[1]Lookup!A:B,2,FALSE)</f>
        <v>DMO</v>
      </c>
    </row>
    <row r="82" spans="1:47" s="35" customFormat="1" ht="88.5" customHeight="1" x14ac:dyDescent="0.2">
      <c r="A82" s="31" t="s">
        <v>86</v>
      </c>
      <c r="B82" s="29" t="s">
        <v>558</v>
      </c>
      <c r="C82" s="31" t="s">
        <v>559</v>
      </c>
      <c r="D82" s="32" t="s">
        <v>117</v>
      </c>
      <c r="E82" s="32" t="s">
        <v>550</v>
      </c>
      <c r="F82" s="31"/>
      <c r="G82" s="33" t="s">
        <v>545</v>
      </c>
      <c r="H82" s="31"/>
      <c r="I82" s="31" t="s">
        <v>560</v>
      </c>
      <c r="J82" s="14" t="s">
        <v>91</v>
      </c>
      <c r="K82" s="14" t="s">
        <v>59</v>
      </c>
      <c r="L82" s="14" t="s">
        <v>103</v>
      </c>
      <c r="M82" s="14" t="s">
        <v>201</v>
      </c>
      <c r="N82" s="18" t="s">
        <v>561</v>
      </c>
      <c r="O82" s="14" t="s">
        <v>561</v>
      </c>
      <c r="P82" s="19">
        <v>42790.472222222219</v>
      </c>
      <c r="Q82" s="19">
        <v>42811.445138888892</v>
      </c>
      <c r="R82" s="19">
        <v>42800.618055555555</v>
      </c>
      <c r="S82" s="14" t="s">
        <v>203</v>
      </c>
      <c r="T82" s="14" t="s">
        <v>204</v>
      </c>
      <c r="U82" s="14" t="s">
        <v>117</v>
      </c>
      <c r="V82" s="14"/>
      <c r="W82" s="14">
        <v>0</v>
      </c>
      <c r="X82" s="14">
        <v>0</v>
      </c>
      <c r="Y82" s="14"/>
      <c r="Z82" s="14"/>
      <c r="AA82" s="14"/>
      <c r="AB82" s="14"/>
      <c r="AC82" s="14"/>
      <c r="AD82" s="14"/>
      <c r="AE82" s="14"/>
      <c r="AF82" s="14" t="s">
        <v>126</v>
      </c>
      <c r="AG82" s="14" t="s">
        <v>562</v>
      </c>
      <c r="AH82" s="14"/>
      <c r="AI82" s="14"/>
      <c r="AJ82" s="14"/>
      <c r="AK82" s="14"/>
      <c r="AL82" s="14"/>
      <c r="AM82" s="14"/>
      <c r="AN82" s="14" t="s">
        <v>362</v>
      </c>
      <c r="AO82" s="14" t="s">
        <v>563</v>
      </c>
      <c r="AP82" s="14"/>
      <c r="AQ82" s="14"/>
      <c r="AR82" s="32" t="s">
        <v>550</v>
      </c>
      <c r="AS82" s="32" t="s">
        <v>117</v>
      </c>
      <c r="AT82" s="32" t="s">
        <v>564</v>
      </c>
      <c r="AU82" s="34" t="e">
        <f>VLOOKUP(O82,[1]Lookup!A:B,2,FALSE)</f>
        <v>#N/A</v>
      </c>
    </row>
    <row r="83" spans="1:47" ht="51.75" customHeight="1" x14ac:dyDescent="0.2">
      <c r="A83" s="27" t="s">
        <v>86</v>
      </c>
      <c r="B83" s="29" t="s">
        <v>565</v>
      </c>
      <c r="C83" s="27" t="s">
        <v>566</v>
      </c>
      <c r="D83" s="22" t="s">
        <v>229</v>
      </c>
      <c r="E83" s="22" t="s">
        <v>229</v>
      </c>
      <c r="F83" s="27" t="s">
        <v>465</v>
      </c>
      <c r="G83" s="14" t="s">
        <v>174</v>
      </c>
      <c r="H83" s="27"/>
      <c r="I83" s="27"/>
      <c r="J83" s="14" t="s">
        <v>91</v>
      </c>
      <c r="K83" s="14" t="s">
        <v>59</v>
      </c>
      <c r="L83" s="14" t="s">
        <v>167</v>
      </c>
      <c r="M83" s="14" t="s">
        <v>132</v>
      </c>
      <c r="N83" s="18" t="s">
        <v>37</v>
      </c>
      <c r="O83" s="14" t="s">
        <v>37</v>
      </c>
      <c r="P83" s="19">
        <v>42790.442361111112</v>
      </c>
      <c r="Q83" s="19">
        <v>42811.438194444447</v>
      </c>
      <c r="R83" s="19">
        <v>42793.698611111111</v>
      </c>
      <c r="S83" s="14" t="s">
        <v>203</v>
      </c>
      <c r="T83" s="14" t="s">
        <v>203</v>
      </c>
      <c r="U83" s="14" t="s">
        <v>117</v>
      </c>
      <c r="V83" s="14"/>
      <c r="W83" s="14">
        <v>0</v>
      </c>
      <c r="X83" s="14">
        <v>0</v>
      </c>
      <c r="Y83" s="14"/>
      <c r="Z83" s="14"/>
      <c r="AA83" s="14"/>
      <c r="AB83" s="14"/>
      <c r="AC83" s="14"/>
      <c r="AD83" s="14"/>
      <c r="AE83" s="14"/>
      <c r="AF83" s="14" t="s">
        <v>126</v>
      </c>
      <c r="AG83" s="14" t="s">
        <v>567</v>
      </c>
      <c r="AH83" s="14"/>
      <c r="AI83" s="14"/>
      <c r="AJ83" s="14"/>
      <c r="AK83" s="14"/>
      <c r="AL83" s="14"/>
      <c r="AM83" s="14"/>
      <c r="AN83" s="14" t="s">
        <v>145</v>
      </c>
      <c r="AO83" s="14" t="s">
        <v>568</v>
      </c>
      <c r="AP83" s="14"/>
      <c r="AQ83" s="14"/>
      <c r="AR83" s="24" t="s">
        <v>550</v>
      </c>
      <c r="AS83" s="22" t="s">
        <v>117</v>
      </c>
      <c r="AT83" s="22" t="s">
        <v>229</v>
      </c>
      <c r="AU83" s="25" t="str">
        <f>VLOOKUP(O83,[1]Lookup!A:B,2,FALSE)</f>
        <v>DMO</v>
      </c>
    </row>
    <row r="84" spans="1:47" ht="51.75" customHeight="1" x14ac:dyDescent="0.2">
      <c r="A84" s="27" t="s">
        <v>86</v>
      </c>
      <c r="B84" s="29" t="s">
        <v>569</v>
      </c>
      <c r="C84" s="27" t="s">
        <v>570</v>
      </c>
      <c r="D84" s="22" t="s">
        <v>117</v>
      </c>
      <c r="E84" s="22" t="s">
        <v>550</v>
      </c>
      <c r="F84" s="27"/>
      <c r="G84" s="27"/>
      <c r="H84" s="27"/>
      <c r="I84" s="27"/>
      <c r="J84" s="14" t="s">
        <v>91</v>
      </c>
      <c r="K84" s="14" t="s">
        <v>59</v>
      </c>
      <c r="L84" s="14" t="s">
        <v>124</v>
      </c>
      <c r="M84" s="14" t="s">
        <v>132</v>
      </c>
      <c r="N84" s="18" t="s">
        <v>202</v>
      </c>
      <c r="O84" s="14" t="s">
        <v>38</v>
      </c>
      <c r="P84" s="19">
        <v>42790.431944444441</v>
      </c>
      <c r="Q84" s="19">
        <v>42811.443055555559</v>
      </c>
      <c r="R84" s="19">
        <v>42793.73541666667</v>
      </c>
      <c r="S84" s="14" t="s">
        <v>203</v>
      </c>
      <c r="T84" s="14" t="s">
        <v>344</v>
      </c>
      <c r="U84" s="14" t="s">
        <v>117</v>
      </c>
      <c r="V84" s="14"/>
      <c r="W84" s="14">
        <v>0</v>
      </c>
      <c r="X84" s="14">
        <v>0</v>
      </c>
      <c r="Y84" s="14"/>
      <c r="Z84" s="14"/>
      <c r="AA84" s="14"/>
      <c r="AB84" s="14"/>
      <c r="AC84" s="14"/>
      <c r="AD84" s="14"/>
      <c r="AE84" s="14"/>
      <c r="AF84" s="14"/>
      <c r="AG84" s="14" t="s">
        <v>571</v>
      </c>
      <c r="AH84" s="14"/>
      <c r="AI84" s="14"/>
      <c r="AJ84" s="14"/>
      <c r="AK84" s="14"/>
      <c r="AL84" s="14"/>
      <c r="AM84" s="14"/>
      <c r="AN84" s="14" t="s">
        <v>362</v>
      </c>
      <c r="AO84" s="14" t="s">
        <v>572</v>
      </c>
      <c r="AP84" s="14"/>
      <c r="AQ84" s="14"/>
      <c r="AR84" s="22" t="s">
        <v>550</v>
      </c>
      <c r="AS84" s="22" t="s">
        <v>117</v>
      </c>
      <c r="AT84" s="22" t="s">
        <v>564</v>
      </c>
      <c r="AU84" s="25" t="str">
        <f>VLOOKUP(O84,[1]Lookup!A:B,2,FALSE)</f>
        <v>DMO</v>
      </c>
    </row>
    <row r="85" spans="1:47" ht="51.75" customHeight="1" x14ac:dyDescent="0.2">
      <c r="A85" s="27" t="s">
        <v>86</v>
      </c>
      <c r="B85" s="29" t="s">
        <v>573</v>
      </c>
      <c r="C85" s="27" t="s">
        <v>574</v>
      </c>
      <c r="D85" s="22" t="s">
        <v>117</v>
      </c>
      <c r="E85" s="22" t="s">
        <v>477</v>
      </c>
      <c r="F85" s="27"/>
      <c r="G85" s="27"/>
      <c r="H85" s="27"/>
      <c r="I85" s="27"/>
      <c r="J85" s="14" t="s">
        <v>91</v>
      </c>
      <c r="K85" s="14" t="s">
        <v>59</v>
      </c>
      <c r="L85" s="14" t="s">
        <v>124</v>
      </c>
      <c r="M85" s="14" t="s">
        <v>132</v>
      </c>
      <c r="N85" s="18" t="s">
        <v>30</v>
      </c>
      <c r="O85" s="14" t="s">
        <v>22</v>
      </c>
      <c r="P85" s="19">
        <v>42789.81527777778</v>
      </c>
      <c r="Q85" s="19">
        <v>42796.488194444442</v>
      </c>
      <c r="R85" s="19">
        <v>42794.446527777778</v>
      </c>
      <c r="S85" s="14" t="s">
        <v>528</v>
      </c>
      <c r="T85" s="14" t="s">
        <v>451</v>
      </c>
      <c r="U85" s="14" t="s">
        <v>96</v>
      </c>
      <c r="V85" s="14"/>
      <c r="W85" s="14">
        <v>0</v>
      </c>
      <c r="X85" s="14">
        <v>0</v>
      </c>
      <c r="Y85" s="14"/>
      <c r="Z85" s="14"/>
      <c r="AA85" s="14"/>
      <c r="AB85" s="14"/>
      <c r="AC85" s="14"/>
      <c r="AD85" s="14"/>
      <c r="AE85" s="14"/>
      <c r="AF85" s="14"/>
      <c r="AG85" s="14" t="s">
        <v>575</v>
      </c>
      <c r="AH85" s="14"/>
      <c r="AI85" s="14"/>
      <c r="AJ85" s="14"/>
      <c r="AK85" s="14"/>
      <c r="AL85" s="14"/>
      <c r="AM85" s="14"/>
      <c r="AN85" s="14" t="s">
        <v>576</v>
      </c>
      <c r="AO85" s="14" t="s">
        <v>577</v>
      </c>
      <c r="AP85" s="14"/>
      <c r="AQ85" s="14"/>
      <c r="AR85" s="22" t="s">
        <v>477</v>
      </c>
      <c r="AS85" s="22" t="s">
        <v>117</v>
      </c>
      <c r="AT85" s="22" t="s">
        <v>477</v>
      </c>
      <c r="AU85" s="25" t="str">
        <f>VLOOKUP(O85,[1]Lookup!A:B,2,FALSE)</f>
        <v>Test-SIT</v>
      </c>
    </row>
    <row r="86" spans="1:47" ht="51.75" customHeight="1" x14ac:dyDescent="0.2">
      <c r="A86" s="27" t="s">
        <v>86</v>
      </c>
      <c r="B86" s="29" t="s">
        <v>578</v>
      </c>
      <c r="C86" s="27" t="s">
        <v>579</v>
      </c>
      <c r="D86" s="22" t="s">
        <v>89</v>
      </c>
      <c r="E86" s="22" t="s">
        <v>507</v>
      </c>
      <c r="F86" s="27"/>
      <c r="G86" s="27"/>
      <c r="H86" s="27"/>
      <c r="I86" s="27"/>
      <c r="J86" s="14" t="s">
        <v>91</v>
      </c>
      <c r="K86" s="14" t="s">
        <v>59</v>
      </c>
      <c r="L86" s="14" t="s">
        <v>103</v>
      </c>
      <c r="M86" s="14" t="s">
        <v>132</v>
      </c>
      <c r="N86" s="18" t="s">
        <v>202</v>
      </c>
      <c r="O86" s="14" t="s">
        <v>561</v>
      </c>
      <c r="P86" s="19">
        <v>42789.763888888891</v>
      </c>
      <c r="Q86" s="19">
        <v>42793.692361111112</v>
      </c>
      <c r="R86" s="19">
        <v>42793.427777777775</v>
      </c>
      <c r="S86" s="14" t="s">
        <v>344</v>
      </c>
      <c r="T86" s="14" t="s">
        <v>204</v>
      </c>
      <c r="U86" s="14" t="s">
        <v>117</v>
      </c>
      <c r="V86" s="14"/>
      <c r="W86" s="14">
        <v>0</v>
      </c>
      <c r="X86" s="14">
        <v>0</v>
      </c>
      <c r="Y86" s="14"/>
      <c r="Z86" s="14"/>
      <c r="AA86" s="14"/>
      <c r="AB86" s="14"/>
      <c r="AC86" s="14"/>
      <c r="AD86" s="14"/>
      <c r="AE86" s="14"/>
      <c r="AF86" s="14" t="s">
        <v>126</v>
      </c>
      <c r="AG86" s="14" t="s">
        <v>580</v>
      </c>
      <c r="AH86" s="14"/>
      <c r="AI86" s="14"/>
      <c r="AJ86" s="14"/>
      <c r="AK86" s="14"/>
      <c r="AL86" s="14"/>
      <c r="AM86" s="14"/>
      <c r="AN86" s="14" t="s">
        <v>229</v>
      </c>
      <c r="AO86" s="14" t="s">
        <v>581</v>
      </c>
      <c r="AP86" s="14"/>
      <c r="AQ86" s="14"/>
      <c r="AR86" s="22" t="s">
        <v>557</v>
      </c>
      <c r="AS86" s="22" t="s">
        <v>89</v>
      </c>
      <c r="AT86" s="22" t="s">
        <v>507</v>
      </c>
      <c r="AU86" s="25" t="e">
        <f>VLOOKUP(O86,[1]Lookup!A:B,2,FALSE)</f>
        <v>#N/A</v>
      </c>
    </row>
    <row r="87" spans="1:47" ht="51.75" customHeight="1" x14ac:dyDescent="0.2">
      <c r="A87" s="27" t="s">
        <v>86</v>
      </c>
      <c r="B87" s="29" t="s">
        <v>582</v>
      </c>
      <c r="C87" s="27" t="s">
        <v>583</v>
      </c>
      <c r="D87" s="22" t="s">
        <v>89</v>
      </c>
      <c r="E87" s="22" t="s">
        <v>229</v>
      </c>
      <c r="F87" s="27"/>
      <c r="G87" s="27" t="s">
        <v>204</v>
      </c>
      <c r="H87" s="27"/>
      <c r="I87" s="27"/>
      <c r="J87" s="14" t="s">
        <v>91</v>
      </c>
      <c r="K87" s="14" t="s">
        <v>59</v>
      </c>
      <c r="L87" s="14" t="s">
        <v>103</v>
      </c>
      <c r="M87" s="14" t="s">
        <v>132</v>
      </c>
      <c r="N87" s="18" t="s">
        <v>202</v>
      </c>
      <c r="O87" s="14" t="s">
        <v>561</v>
      </c>
      <c r="P87" s="19">
        <v>42789.760416666664</v>
      </c>
      <c r="Q87" s="19">
        <v>42793.692361111112</v>
      </c>
      <c r="R87" s="19">
        <v>42793.427777777775</v>
      </c>
      <c r="S87" s="14" t="s">
        <v>344</v>
      </c>
      <c r="T87" s="14" t="s">
        <v>204</v>
      </c>
      <c r="U87" s="14" t="s">
        <v>117</v>
      </c>
      <c r="V87" s="14"/>
      <c r="W87" s="14">
        <v>0</v>
      </c>
      <c r="X87" s="14">
        <v>0</v>
      </c>
      <c r="Y87" s="14"/>
      <c r="Z87" s="14"/>
      <c r="AA87" s="14"/>
      <c r="AB87" s="14"/>
      <c r="AC87" s="14"/>
      <c r="AD87" s="14"/>
      <c r="AE87" s="14"/>
      <c r="AF87" s="14" t="s">
        <v>126</v>
      </c>
      <c r="AG87" s="14" t="s">
        <v>584</v>
      </c>
      <c r="AH87" s="14"/>
      <c r="AI87" s="14"/>
      <c r="AJ87" s="14"/>
      <c r="AK87" s="14"/>
      <c r="AL87" s="14"/>
      <c r="AM87" s="14"/>
      <c r="AN87" s="14" t="s">
        <v>229</v>
      </c>
      <c r="AO87" s="14" t="s">
        <v>585</v>
      </c>
      <c r="AP87" s="14"/>
      <c r="AQ87" s="14"/>
      <c r="AR87" s="22" t="s">
        <v>586</v>
      </c>
      <c r="AS87" s="22" t="s">
        <v>89</v>
      </c>
      <c r="AT87" s="22" t="s">
        <v>229</v>
      </c>
      <c r="AU87" s="25" t="e">
        <f>VLOOKUP(O87,[1]Lookup!A:B,2,FALSE)</f>
        <v>#N/A</v>
      </c>
    </row>
    <row r="88" spans="1:47" ht="51.75" customHeight="1" x14ac:dyDescent="0.2">
      <c r="A88" s="27" t="s">
        <v>86</v>
      </c>
      <c r="B88" s="29" t="s">
        <v>587</v>
      </c>
      <c r="C88" s="27" t="s">
        <v>588</v>
      </c>
      <c r="D88" s="22" t="s">
        <v>117</v>
      </c>
      <c r="E88" s="22" t="s">
        <v>229</v>
      </c>
      <c r="F88" s="27"/>
      <c r="G88" s="27" t="s">
        <v>204</v>
      </c>
      <c r="H88" s="27"/>
      <c r="I88" s="27"/>
      <c r="J88" s="14" t="s">
        <v>91</v>
      </c>
      <c r="K88" s="14" t="s">
        <v>59</v>
      </c>
      <c r="L88" s="14" t="s">
        <v>167</v>
      </c>
      <c r="M88" s="14" t="s">
        <v>132</v>
      </c>
      <c r="N88" s="18" t="s">
        <v>202</v>
      </c>
      <c r="O88" s="14" t="s">
        <v>37</v>
      </c>
      <c r="P88" s="19">
        <v>42789.65347222222</v>
      </c>
      <c r="Q88" s="19">
        <v>42811.409722222219</v>
      </c>
      <c r="R88" s="19">
        <v>42801.672222222223</v>
      </c>
      <c r="S88" s="14" t="s">
        <v>203</v>
      </c>
      <c r="T88" s="14" t="s">
        <v>203</v>
      </c>
      <c r="U88" s="14" t="s">
        <v>117</v>
      </c>
      <c r="V88" s="14"/>
      <c r="W88" s="14">
        <v>0</v>
      </c>
      <c r="X88" s="14">
        <v>0</v>
      </c>
      <c r="Y88" s="14"/>
      <c r="Z88" s="14"/>
      <c r="AA88" s="14"/>
      <c r="AB88" s="14"/>
      <c r="AC88" s="14"/>
      <c r="AD88" s="14"/>
      <c r="AE88" s="14"/>
      <c r="AF88" s="14" t="s">
        <v>126</v>
      </c>
      <c r="AG88" s="14" t="s">
        <v>589</v>
      </c>
      <c r="AH88" s="14"/>
      <c r="AI88" s="14"/>
      <c r="AJ88" s="14"/>
      <c r="AK88" s="14"/>
      <c r="AL88" s="14"/>
      <c r="AM88" s="14"/>
      <c r="AN88" s="14" t="s">
        <v>261</v>
      </c>
      <c r="AO88" s="14" t="s">
        <v>590</v>
      </c>
      <c r="AP88" s="14"/>
      <c r="AQ88" s="14"/>
      <c r="AR88" s="22" t="s">
        <v>557</v>
      </c>
      <c r="AS88" s="22" t="s">
        <v>117</v>
      </c>
      <c r="AT88" s="22" t="s">
        <v>229</v>
      </c>
      <c r="AU88" s="25" t="str">
        <f>VLOOKUP(O88,[1]Lookup!A:B,2,FALSE)</f>
        <v>DMO</v>
      </c>
    </row>
    <row r="89" spans="1:47" ht="51.75" customHeight="1" x14ac:dyDescent="0.2">
      <c r="A89" s="27" t="s">
        <v>86</v>
      </c>
      <c r="B89" s="29" t="s">
        <v>591</v>
      </c>
      <c r="C89" s="27" t="s">
        <v>592</v>
      </c>
      <c r="D89" s="22" t="s">
        <v>117</v>
      </c>
      <c r="E89" s="22" t="s">
        <v>550</v>
      </c>
      <c r="F89" s="27" t="s">
        <v>465</v>
      </c>
      <c r="G89" s="14" t="s">
        <v>174</v>
      </c>
      <c r="H89" s="27"/>
      <c r="I89" s="27"/>
      <c r="J89" s="14" t="s">
        <v>91</v>
      </c>
      <c r="K89" s="14" t="s">
        <v>323</v>
      </c>
      <c r="L89" s="14" t="s">
        <v>124</v>
      </c>
      <c r="M89" s="17" t="s">
        <v>94</v>
      </c>
      <c r="N89" s="18" t="s">
        <v>24</v>
      </c>
      <c r="O89" s="14" t="s">
        <v>38</v>
      </c>
      <c r="P89" s="19">
        <v>42789.511111111111</v>
      </c>
      <c r="Q89" s="19">
        <v>42811.792361111111</v>
      </c>
      <c r="R89" s="14"/>
      <c r="S89" s="14" t="s">
        <v>203</v>
      </c>
      <c r="T89" s="14" t="s">
        <v>203</v>
      </c>
      <c r="U89" s="14" t="s">
        <v>117</v>
      </c>
      <c r="V89" s="28">
        <v>42793</v>
      </c>
      <c r="W89" s="14">
        <v>0</v>
      </c>
      <c r="X89" s="14">
        <v>0</v>
      </c>
      <c r="Y89" s="14"/>
      <c r="Z89" s="14"/>
      <c r="AA89" s="14"/>
      <c r="AB89" s="14"/>
      <c r="AC89" s="14"/>
      <c r="AD89" s="14"/>
      <c r="AE89" s="14" t="s">
        <v>136</v>
      </c>
      <c r="AF89" s="14"/>
      <c r="AG89" s="14" t="s">
        <v>593</v>
      </c>
      <c r="AH89" s="14"/>
      <c r="AI89" s="14"/>
      <c r="AJ89" s="14"/>
      <c r="AK89" s="14"/>
      <c r="AL89" s="14"/>
      <c r="AM89" s="14"/>
      <c r="AN89" s="14" t="s">
        <v>594</v>
      </c>
      <c r="AO89" s="14" t="s">
        <v>595</v>
      </c>
      <c r="AP89" s="14"/>
      <c r="AQ89" s="14"/>
      <c r="AR89" s="22" t="s">
        <v>596</v>
      </c>
      <c r="AS89" s="22" t="s">
        <v>117</v>
      </c>
      <c r="AT89" s="22" t="s">
        <v>564</v>
      </c>
      <c r="AU89" s="25" t="str">
        <f>VLOOKUP(O89,[1]Lookup!A:B,2,FALSE)</f>
        <v>DMO</v>
      </c>
    </row>
    <row r="90" spans="1:47" s="35" customFormat="1" ht="51.75" customHeight="1" x14ac:dyDescent="0.2">
      <c r="A90" s="31" t="s">
        <v>86</v>
      </c>
      <c r="B90" s="29" t="s">
        <v>142</v>
      </c>
      <c r="C90" s="31" t="s">
        <v>597</v>
      </c>
      <c r="D90" s="32" t="s">
        <v>117</v>
      </c>
      <c r="E90" s="32" t="s">
        <v>550</v>
      </c>
      <c r="F90" s="31" t="s">
        <v>598</v>
      </c>
      <c r="G90" s="31" t="s">
        <v>545</v>
      </c>
      <c r="H90" s="31"/>
      <c r="I90" s="31"/>
      <c r="J90" s="14" t="s">
        <v>91</v>
      </c>
      <c r="K90" s="14" t="s">
        <v>59</v>
      </c>
      <c r="L90" s="14" t="s">
        <v>93</v>
      </c>
      <c r="M90" s="14" t="s">
        <v>132</v>
      </c>
      <c r="N90" s="18" t="s">
        <v>36</v>
      </c>
      <c r="O90" s="14" t="s">
        <v>36</v>
      </c>
      <c r="P90" s="19">
        <v>42789.503472222219</v>
      </c>
      <c r="Q90" s="19">
        <v>42811.45</v>
      </c>
      <c r="R90" s="19">
        <v>42795.722916666666</v>
      </c>
      <c r="S90" s="14" t="s">
        <v>344</v>
      </c>
      <c r="T90" s="14" t="s">
        <v>204</v>
      </c>
      <c r="U90" s="14" t="s">
        <v>117</v>
      </c>
      <c r="V90" s="14"/>
      <c r="W90" s="14">
        <v>0</v>
      </c>
      <c r="X90" s="14">
        <v>0</v>
      </c>
      <c r="Y90" s="14" t="s">
        <v>599</v>
      </c>
      <c r="Z90" s="14"/>
      <c r="AA90" s="14"/>
      <c r="AB90" s="14"/>
      <c r="AC90" s="14"/>
      <c r="AD90" s="14"/>
      <c r="AE90" s="14"/>
      <c r="AF90" s="14" t="s">
        <v>126</v>
      </c>
      <c r="AG90" s="14" t="s">
        <v>600</v>
      </c>
      <c r="AH90" s="14"/>
      <c r="AI90" s="14"/>
      <c r="AJ90" s="14"/>
      <c r="AK90" s="14"/>
      <c r="AL90" s="14"/>
      <c r="AM90" s="14"/>
      <c r="AN90" s="14" t="s">
        <v>362</v>
      </c>
      <c r="AO90" s="14" t="s">
        <v>601</v>
      </c>
      <c r="AP90" s="14"/>
      <c r="AQ90" s="14"/>
      <c r="AR90" s="32"/>
      <c r="AS90" s="32" t="s">
        <v>117</v>
      </c>
      <c r="AT90" s="32" t="s">
        <v>564</v>
      </c>
      <c r="AU90" s="34" t="str">
        <f>VLOOKUP(O90,[1]Lookup!A:B,2,FALSE)</f>
        <v>DMO</v>
      </c>
    </row>
    <row r="91" spans="1:47" ht="51.75" customHeight="1" x14ac:dyDescent="0.2">
      <c r="A91" s="27" t="s">
        <v>86</v>
      </c>
      <c r="B91" s="29" t="s">
        <v>602</v>
      </c>
      <c r="C91" s="27" t="s">
        <v>603</v>
      </c>
      <c r="D91" s="22" t="s">
        <v>117</v>
      </c>
      <c r="E91" s="22" t="s">
        <v>435</v>
      </c>
      <c r="F91" s="27"/>
      <c r="G91" s="27"/>
      <c r="H91" s="27"/>
      <c r="I91" s="27"/>
      <c r="J91" s="14" t="s">
        <v>91</v>
      </c>
      <c r="K91" s="14" t="s">
        <v>59</v>
      </c>
      <c r="L91" s="14" t="s">
        <v>93</v>
      </c>
      <c r="M91" s="14" t="s">
        <v>132</v>
      </c>
      <c r="N91" s="18" t="s">
        <v>30</v>
      </c>
      <c r="O91" s="14" t="s">
        <v>21</v>
      </c>
      <c r="P91" s="19">
        <v>42789.406944444447</v>
      </c>
      <c r="Q91" s="19">
        <v>42794.543055555558</v>
      </c>
      <c r="R91" s="19">
        <v>42794.543055555558</v>
      </c>
      <c r="S91" s="14" t="s">
        <v>518</v>
      </c>
      <c r="T91" s="14" t="s">
        <v>155</v>
      </c>
      <c r="U91" s="14" t="s">
        <v>89</v>
      </c>
      <c r="V91" s="14"/>
      <c r="W91" s="14">
        <v>0</v>
      </c>
      <c r="X91" s="14">
        <v>0</v>
      </c>
      <c r="Y91" s="14"/>
      <c r="Z91" s="14"/>
      <c r="AA91" s="14"/>
      <c r="AB91" s="14"/>
      <c r="AC91" s="14"/>
      <c r="AD91" s="14"/>
      <c r="AE91" s="14"/>
      <c r="AF91" s="14"/>
      <c r="AG91" s="14" t="s">
        <v>604</v>
      </c>
      <c r="AH91" s="14"/>
      <c r="AI91" s="14"/>
      <c r="AJ91" s="14"/>
      <c r="AK91" s="14"/>
      <c r="AL91" s="14"/>
      <c r="AM91" s="14"/>
      <c r="AN91" s="14"/>
      <c r="AO91" s="14" t="s">
        <v>605</v>
      </c>
      <c r="AP91" s="14"/>
      <c r="AQ91" s="14"/>
      <c r="AR91" s="22"/>
      <c r="AS91" s="22" t="s">
        <v>117</v>
      </c>
      <c r="AT91" s="22" t="s">
        <v>435</v>
      </c>
      <c r="AU91" s="25" t="str">
        <f>VLOOKUP(O91,[1]Lookup!A:B,2,FALSE)</f>
        <v>Test-SIT</v>
      </c>
    </row>
    <row r="92" spans="1:47" ht="51.75" customHeight="1" x14ac:dyDescent="0.2">
      <c r="A92" s="27" t="s">
        <v>86</v>
      </c>
      <c r="B92" s="29" t="s">
        <v>606</v>
      </c>
      <c r="C92" s="27" t="s">
        <v>607</v>
      </c>
      <c r="D92" s="22" t="s">
        <v>89</v>
      </c>
      <c r="E92" s="22" t="s">
        <v>398</v>
      </c>
      <c r="F92" s="37" t="s">
        <v>608</v>
      </c>
      <c r="G92" s="37"/>
      <c r="H92" s="37"/>
      <c r="I92" s="37" t="s">
        <v>609</v>
      </c>
      <c r="J92" s="14" t="s">
        <v>91</v>
      </c>
      <c r="K92" s="14" t="s">
        <v>59</v>
      </c>
      <c r="L92" s="14" t="s">
        <v>93</v>
      </c>
      <c r="M92" s="14" t="s">
        <v>132</v>
      </c>
      <c r="N92" s="18" t="s">
        <v>30</v>
      </c>
      <c r="O92" s="14" t="s">
        <v>30</v>
      </c>
      <c r="P92" s="19">
        <v>42788.797222222223</v>
      </c>
      <c r="Q92" s="19">
        <v>42794.451388888891</v>
      </c>
      <c r="R92" s="19">
        <v>42794.451388888891</v>
      </c>
      <c r="S92" s="14" t="s">
        <v>510</v>
      </c>
      <c r="T92" s="14" t="s">
        <v>451</v>
      </c>
      <c r="U92" s="14" t="s">
        <v>96</v>
      </c>
      <c r="V92" s="14"/>
      <c r="W92" s="14">
        <v>0</v>
      </c>
      <c r="X92" s="14">
        <v>0</v>
      </c>
      <c r="Y92" s="14"/>
      <c r="Z92" s="14"/>
      <c r="AA92" s="14"/>
      <c r="AB92" s="14"/>
      <c r="AC92" s="14"/>
      <c r="AD92" s="14"/>
      <c r="AE92" s="14" t="s">
        <v>610</v>
      </c>
      <c r="AF92" s="14" t="s">
        <v>611</v>
      </c>
      <c r="AG92" s="14" t="s">
        <v>612</v>
      </c>
      <c r="AH92" s="14"/>
      <c r="AI92" s="14"/>
      <c r="AJ92" s="14"/>
      <c r="AK92" s="14"/>
      <c r="AL92" s="14"/>
      <c r="AM92" s="14"/>
      <c r="AN92" s="14"/>
      <c r="AO92" s="14" t="s">
        <v>577</v>
      </c>
      <c r="AP92" s="14"/>
      <c r="AQ92" s="14"/>
      <c r="AR92" s="22"/>
      <c r="AS92" s="22" t="s">
        <v>89</v>
      </c>
      <c r="AT92" s="22" t="s">
        <v>398</v>
      </c>
      <c r="AU92" s="25" t="str">
        <f>VLOOKUP(O92,[1]Lookup!A:B,2,FALSE)</f>
        <v>Test-SIT</v>
      </c>
    </row>
    <row r="93" spans="1:47" ht="51.75" customHeight="1" x14ac:dyDescent="0.2">
      <c r="A93" s="27" t="s">
        <v>86</v>
      </c>
      <c r="B93" s="29" t="s">
        <v>613</v>
      </c>
      <c r="C93" s="27" t="s">
        <v>614</v>
      </c>
      <c r="D93" s="22" t="s">
        <v>89</v>
      </c>
      <c r="E93" s="27" t="s">
        <v>611</v>
      </c>
      <c r="F93" s="27"/>
      <c r="G93" s="27" t="s">
        <v>451</v>
      </c>
      <c r="H93" s="27"/>
      <c r="I93" s="27"/>
      <c r="J93" s="14" t="s">
        <v>91</v>
      </c>
      <c r="K93" s="14" t="s">
        <v>174</v>
      </c>
      <c r="L93" s="14" t="s">
        <v>93</v>
      </c>
      <c r="M93" s="17" t="s">
        <v>94</v>
      </c>
      <c r="N93" s="18" t="s">
        <v>21</v>
      </c>
      <c r="O93" s="14" t="s">
        <v>21</v>
      </c>
      <c r="P93" s="19">
        <v>42788.772222222222</v>
      </c>
      <c r="Q93" s="19">
        <v>42807.868055555555</v>
      </c>
      <c r="R93" s="14"/>
      <c r="S93" s="14" t="s">
        <v>203</v>
      </c>
      <c r="T93" s="14" t="s">
        <v>615</v>
      </c>
      <c r="U93" s="14" t="s">
        <v>89</v>
      </c>
      <c r="V93" s="14"/>
      <c r="W93" s="14">
        <v>0</v>
      </c>
      <c r="X93" s="14">
        <v>0</v>
      </c>
      <c r="Y93" s="14"/>
      <c r="Z93" s="14"/>
      <c r="AA93" s="14"/>
      <c r="AB93" s="14"/>
      <c r="AC93" s="14"/>
      <c r="AD93" s="14"/>
      <c r="AE93" s="14"/>
      <c r="AF93" s="14"/>
      <c r="AG93" s="14" t="s">
        <v>616</v>
      </c>
      <c r="AH93" s="14"/>
      <c r="AI93" s="14"/>
      <c r="AJ93" s="14"/>
      <c r="AK93" s="14"/>
      <c r="AL93" s="14"/>
      <c r="AM93" s="14"/>
      <c r="AN93" s="14" t="s">
        <v>477</v>
      </c>
      <c r="AO93" s="14" t="s">
        <v>617</v>
      </c>
      <c r="AP93" s="14"/>
      <c r="AQ93" s="14"/>
      <c r="AR93" s="22"/>
      <c r="AS93" s="22" t="s">
        <v>89</v>
      </c>
      <c r="AT93" s="27" t="s">
        <v>611</v>
      </c>
      <c r="AU93" s="25" t="str">
        <f>VLOOKUP(O93,[1]Lookup!A:B,2,FALSE)</f>
        <v>Test-SIT</v>
      </c>
    </row>
    <row r="94" spans="1:47" ht="51.75" customHeight="1" x14ac:dyDescent="0.2">
      <c r="A94" s="27" t="s">
        <v>86</v>
      </c>
      <c r="B94" s="29" t="s">
        <v>618</v>
      </c>
      <c r="C94" s="27" t="s">
        <v>619</v>
      </c>
      <c r="D94" s="22" t="s">
        <v>89</v>
      </c>
      <c r="E94" s="22" t="s">
        <v>477</v>
      </c>
      <c r="F94" s="26" t="s">
        <v>620</v>
      </c>
      <c r="G94" s="26" t="s">
        <v>312</v>
      </c>
      <c r="H94" s="26" t="s">
        <v>621</v>
      </c>
      <c r="I94" s="26" t="s">
        <v>527</v>
      </c>
      <c r="J94" s="14" t="s">
        <v>91</v>
      </c>
      <c r="K94" s="14" t="s">
        <v>59</v>
      </c>
      <c r="L94" s="14" t="s">
        <v>103</v>
      </c>
      <c r="M94" s="14" t="s">
        <v>132</v>
      </c>
      <c r="N94" s="18" t="s">
        <v>21</v>
      </c>
      <c r="O94" s="14" t="s">
        <v>21</v>
      </c>
      <c r="P94" s="19">
        <v>42788.770833333336</v>
      </c>
      <c r="Q94" s="19">
        <v>42809.575694444444</v>
      </c>
      <c r="R94" s="19">
        <v>42809.575694444444</v>
      </c>
      <c r="S94" s="14" t="s">
        <v>203</v>
      </c>
      <c r="T94" s="14" t="s">
        <v>155</v>
      </c>
      <c r="U94" s="14" t="s">
        <v>89</v>
      </c>
      <c r="V94" s="14"/>
      <c r="W94" s="14">
        <v>0</v>
      </c>
      <c r="X94" s="14">
        <v>0</v>
      </c>
      <c r="Y94" s="14"/>
      <c r="Z94" s="14"/>
      <c r="AA94" s="14"/>
      <c r="AB94" s="14"/>
      <c r="AC94" s="14"/>
      <c r="AD94" s="14"/>
      <c r="AE94" s="14" t="s">
        <v>622</v>
      </c>
      <c r="AF94" s="14"/>
      <c r="AG94" s="14" t="s">
        <v>623</v>
      </c>
      <c r="AH94" s="14"/>
      <c r="AI94" s="14"/>
      <c r="AJ94" s="14"/>
      <c r="AK94" s="14"/>
      <c r="AL94" s="14"/>
      <c r="AM94" s="14"/>
      <c r="AN94" s="14" t="s">
        <v>468</v>
      </c>
      <c r="AO94" s="14" t="s">
        <v>624</v>
      </c>
      <c r="AP94" s="14"/>
      <c r="AQ94" s="14"/>
      <c r="AR94" s="22"/>
      <c r="AS94" s="22" t="s">
        <v>89</v>
      </c>
      <c r="AT94" s="22" t="s">
        <v>477</v>
      </c>
      <c r="AU94" s="25" t="str">
        <f>VLOOKUP(O94,[1]Lookup!A:B,2,FALSE)</f>
        <v>Test-SIT</v>
      </c>
    </row>
    <row r="95" spans="1:47" ht="51.75" customHeight="1" x14ac:dyDescent="0.2">
      <c r="A95" s="27" t="s">
        <v>86</v>
      </c>
      <c r="B95" s="29" t="s">
        <v>625</v>
      </c>
      <c r="C95" s="26" t="s">
        <v>626</v>
      </c>
      <c r="D95" s="22" t="s">
        <v>89</v>
      </c>
      <c r="E95" s="22" t="s">
        <v>468</v>
      </c>
      <c r="F95" s="26" t="s">
        <v>627</v>
      </c>
      <c r="G95" s="26" t="s">
        <v>628</v>
      </c>
      <c r="H95" s="26" t="s">
        <v>526</v>
      </c>
      <c r="I95" s="26" t="s">
        <v>527</v>
      </c>
      <c r="J95" s="14" t="s">
        <v>91</v>
      </c>
      <c r="K95" s="14" t="s">
        <v>174</v>
      </c>
      <c r="L95" s="14" t="s">
        <v>93</v>
      </c>
      <c r="M95" s="17" t="s">
        <v>94</v>
      </c>
      <c r="N95" s="18" t="s">
        <v>21</v>
      </c>
      <c r="O95" s="14" t="s">
        <v>21</v>
      </c>
      <c r="P95" s="19">
        <v>42788.770138888889</v>
      </c>
      <c r="Q95" s="19">
        <v>42809.461805555555</v>
      </c>
      <c r="R95" s="14"/>
      <c r="S95" s="14" t="s">
        <v>203</v>
      </c>
      <c r="T95" s="14" t="s">
        <v>373</v>
      </c>
      <c r="U95" s="14" t="s">
        <v>89</v>
      </c>
      <c r="V95" s="14"/>
      <c r="W95" s="14">
        <v>0</v>
      </c>
      <c r="X95" s="14">
        <v>0</v>
      </c>
      <c r="Y95" s="14"/>
      <c r="Z95" s="14"/>
      <c r="AA95" s="14"/>
      <c r="AB95" s="14"/>
      <c r="AC95" s="14"/>
      <c r="AD95" s="14"/>
      <c r="AE95" s="14"/>
      <c r="AF95" s="14"/>
      <c r="AG95" s="14" t="s">
        <v>629</v>
      </c>
      <c r="AH95" s="14"/>
      <c r="AI95" s="14"/>
      <c r="AJ95" s="14"/>
      <c r="AK95" s="14"/>
      <c r="AL95" s="14"/>
      <c r="AM95" s="14"/>
      <c r="AN95" s="14" t="s">
        <v>630</v>
      </c>
      <c r="AO95" s="14" t="s">
        <v>631</v>
      </c>
      <c r="AP95" s="14"/>
      <c r="AQ95" s="14"/>
      <c r="AR95" s="22"/>
      <c r="AS95" s="22" t="s">
        <v>89</v>
      </c>
      <c r="AT95" s="22" t="s">
        <v>468</v>
      </c>
      <c r="AU95" s="25" t="str">
        <f>VLOOKUP(O95,[1]Lookup!A:B,2,FALSE)</f>
        <v>Test-SIT</v>
      </c>
    </row>
    <row r="96" spans="1:47" ht="51.75" customHeight="1" x14ac:dyDescent="0.2">
      <c r="A96" s="27" t="s">
        <v>86</v>
      </c>
      <c r="B96" s="29" t="s">
        <v>632</v>
      </c>
      <c r="C96" s="27" t="s">
        <v>633</v>
      </c>
      <c r="D96" s="22" t="s">
        <v>89</v>
      </c>
      <c r="E96" s="22" t="s">
        <v>634</v>
      </c>
      <c r="F96" s="26" t="s">
        <v>635</v>
      </c>
      <c r="G96" s="26" t="s">
        <v>373</v>
      </c>
      <c r="H96" s="26" t="s">
        <v>526</v>
      </c>
      <c r="I96" s="26" t="s">
        <v>636</v>
      </c>
      <c r="J96" s="14" t="s">
        <v>91</v>
      </c>
      <c r="K96" s="14" t="s">
        <v>59</v>
      </c>
      <c r="L96" s="14" t="s">
        <v>93</v>
      </c>
      <c r="M96" s="14" t="s">
        <v>132</v>
      </c>
      <c r="N96" s="18" t="s">
        <v>30</v>
      </c>
      <c r="O96" s="14" t="s">
        <v>21</v>
      </c>
      <c r="P96" s="19">
        <v>42788.767361111109</v>
      </c>
      <c r="Q96" s="19">
        <v>42794.535416666666</v>
      </c>
      <c r="R96" s="19">
        <v>42794.535416666666</v>
      </c>
      <c r="S96" s="14" t="s">
        <v>510</v>
      </c>
      <c r="T96" s="14" t="s">
        <v>451</v>
      </c>
      <c r="U96" s="14" t="s">
        <v>89</v>
      </c>
      <c r="V96" s="14"/>
      <c r="W96" s="14">
        <v>0</v>
      </c>
      <c r="X96" s="14">
        <v>0</v>
      </c>
      <c r="Y96" s="14"/>
      <c r="Z96" s="14"/>
      <c r="AA96" s="14"/>
      <c r="AB96" s="14"/>
      <c r="AC96" s="14"/>
      <c r="AD96" s="14"/>
      <c r="AE96" s="14"/>
      <c r="AF96" s="14"/>
      <c r="AG96" s="14" t="s">
        <v>637</v>
      </c>
      <c r="AH96" s="14"/>
      <c r="AI96" s="14"/>
      <c r="AJ96" s="14"/>
      <c r="AK96" s="14"/>
      <c r="AL96" s="14"/>
      <c r="AM96" s="14"/>
      <c r="AN96" s="14" t="s">
        <v>630</v>
      </c>
      <c r="AO96" s="14" t="s">
        <v>638</v>
      </c>
      <c r="AP96" s="14"/>
      <c r="AQ96" s="14"/>
      <c r="AR96" s="22"/>
      <c r="AS96" s="22" t="s">
        <v>89</v>
      </c>
      <c r="AT96" s="22" t="s">
        <v>639</v>
      </c>
      <c r="AU96" s="25" t="str">
        <f>VLOOKUP(O96,[1]Lookup!A:B,2,FALSE)</f>
        <v>Test-SIT</v>
      </c>
    </row>
    <row r="97" spans="1:47" ht="51.75" customHeight="1" x14ac:dyDescent="0.2">
      <c r="A97" s="27" t="s">
        <v>86</v>
      </c>
      <c r="B97" s="29" t="s">
        <v>640</v>
      </c>
      <c r="C97" s="27" t="s">
        <v>641</v>
      </c>
      <c r="D97" s="22" t="s">
        <v>89</v>
      </c>
      <c r="E97" s="22" t="s">
        <v>214</v>
      </c>
      <c r="F97" s="37" t="s">
        <v>608</v>
      </c>
      <c r="G97" s="37" t="s">
        <v>451</v>
      </c>
      <c r="H97" s="37"/>
      <c r="I97" s="37" t="s">
        <v>609</v>
      </c>
      <c r="J97" s="14" t="s">
        <v>91</v>
      </c>
      <c r="K97" s="14" t="s">
        <v>59</v>
      </c>
      <c r="L97" s="14" t="s">
        <v>124</v>
      </c>
      <c r="M97" s="14" t="s">
        <v>132</v>
      </c>
      <c r="N97" s="18" t="s">
        <v>30</v>
      </c>
      <c r="O97" s="14" t="s">
        <v>22</v>
      </c>
      <c r="P97" s="19">
        <v>42788.743055555555</v>
      </c>
      <c r="Q97" s="19">
        <v>42795.839583333334</v>
      </c>
      <c r="R97" s="19">
        <v>42794.536111111112</v>
      </c>
      <c r="S97" s="14" t="s">
        <v>642</v>
      </c>
      <c r="T97" s="14"/>
      <c r="U97" s="14" t="s">
        <v>96</v>
      </c>
      <c r="V97" s="14"/>
      <c r="W97" s="14">
        <v>0</v>
      </c>
      <c r="X97" s="14">
        <v>0</v>
      </c>
      <c r="Y97" s="20" t="s">
        <v>643</v>
      </c>
      <c r="Z97" s="14"/>
      <c r="AA97" s="14"/>
      <c r="AB97" s="14"/>
      <c r="AC97" s="14"/>
      <c r="AD97" s="14"/>
      <c r="AE97" s="14"/>
      <c r="AF97" s="14" t="s">
        <v>644</v>
      </c>
      <c r="AG97" s="14" t="s">
        <v>645</v>
      </c>
      <c r="AH97" s="14"/>
      <c r="AI97" s="14"/>
      <c r="AJ97" s="14"/>
      <c r="AK97" s="14"/>
      <c r="AL97" s="14"/>
      <c r="AM97" s="14"/>
      <c r="AN97" s="14" t="s">
        <v>99</v>
      </c>
      <c r="AO97" s="14" t="s">
        <v>577</v>
      </c>
      <c r="AP97" s="14"/>
      <c r="AQ97" s="14"/>
      <c r="AR97" s="22"/>
      <c r="AS97" s="22" t="s">
        <v>89</v>
      </c>
      <c r="AT97" s="22" t="s">
        <v>214</v>
      </c>
      <c r="AU97" s="25" t="str">
        <f>VLOOKUP(O97,[1]Lookup!A:B,2,FALSE)</f>
        <v>Test-SIT</v>
      </c>
    </row>
    <row r="98" spans="1:47" ht="51.75" customHeight="1" x14ac:dyDescent="0.2">
      <c r="A98" s="27" t="s">
        <v>86</v>
      </c>
      <c r="B98" s="29" t="s">
        <v>646</v>
      </c>
      <c r="C98" s="27" t="s">
        <v>647</v>
      </c>
      <c r="D98" s="22" t="s">
        <v>89</v>
      </c>
      <c r="E98" s="22" t="s">
        <v>398</v>
      </c>
      <c r="F98" s="37" t="s">
        <v>608</v>
      </c>
      <c r="G98" s="37"/>
      <c r="H98" s="37"/>
      <c r="I98" s="37" t="s">
        <v>609</v>
      </c>
      <c r="J98" s="14" t="s">
        <v>91</v>
      </c>
      <c r="K98" s="14" t="s">
        <v>59</v>
      </c>
      <c r="L98" s="14" t="s">
        <v>93</v>
      </c>
      <c r="M98" s="14" t="s">
        <v>132</v>
      </c>
      <c r="N98" s="18" t="s">
        <v>30</v>
      </c>
      <c r="O98" s="14" t="s">
        <v>30</v>
      </c>
      <c r="P98" s="19">
        <v>42788.737500000003</v>
      </c>
      <c r="Q98" s="19">
        <v>42794.442361111112</v>
      </c>
      <c r="R98" s="19">
        <v>42794.442361111112</v>
      </c>
      <c r="S98" s="14" t="s">
        <v>510</v>
      </c>
      <c r="T98" s="14" t="s">
        <v>528</v>
      </c>
      <c r="U98" s="14" t="s">
        <v>96</v>
      </c>
      <c r="V98" s="14"/>
      <c r="W98" s="14">
        <v>0</v>
      </c>
      <c r="X98" s="14">
        <v>0</v>
      </c>
      <c r="Y98" s="14"/>
      <c r="Z98" s="14"/>
      <c r="AA98" s="14"/>
      <c r="AB98" s="14"/>
      <c r="AC98" s="14"/>
      <c r="AD98" s="14"/>
      <c r="AE98" s="14"/>
      <c r="AF98" s="14" t="s">
        <v>648</v>
      </c>
      <c r="AG98" s="14" t="s">
        <v>649</v>
      </c>
      <c r="AH98" s="14"/>
      <c r="AI98" s="14"/>
      <c r="AJ98" s="14"/>
      <c r="AK98" s="14"/>
      <c r="AL98" s="14"/>
      <c r="AM98" s="14"/>
      <c r="AN98" s="14" t="s">
        <v>650</v>
      </c>
      <c r="AO98" s="14" t="s">
        <v>651</v>
      </c>
      <c r="AP98" s="14"/>
      <c r="AQ98" s="14"/>
      <c r="AR98" s="22"/>
      <c r="AS98" s="22" t="s">
        <v>89</v>
      </c>
      <c r="AT98" s="22" t="s">
        <v>398</v>
      </c>
      <c r="AU98" s="25" t="str">
        <f>VLOOKUP(O98,[1]Lookup!A:B,2,FALSE)</f>
        <v>Test-SIT</v>
      </c>
    </row>
    <row r="99" spans="1:47" ht="51.75" customHeight="1" x14ac:dyDescent="0.2">
      <c r="A99" s="27" t="s">
        <v>86</v>
      </c>
      <c r="B99" s="29" t="s">
        <v>652</v>
      </c>
      <c r="C99" s="27" t="s">
        <v>653</v>
      </c>
      <c r="D99" s="22" t="s">
        <v>89</v>
      </c>
      <c r="E99" s="22" t="s">
        <v>214</v>
      </c>
      <c r="F99" s="27"/>
      <c r="G99" s="27" t="s">
        <v>528</v>
      </c>
      <c r="H99" s="27"/>
      <c r="I99" s="27"/>
      <c r="J99" s="14" t="s">
        <v>91</v>
      </c>
      <c r="K99" s="14" t="s">
        <v>59</v>
      </c>
      <c r="L99" s="14" t="s">
        <v>124</v>
      </c>
      <c r="M99" s="14" t="s">
        <v>132</v>
      </c>
      <c r="N99" s="18" t="s">
        <v>38</v>
      </c>
      <c r="O99" s="14" t="s">
        <v>38</v>
      </c>
      <c r="P99" s="19">
        <v>42788.645138888889</v>
      </c>
      <c r="Q99" s="19">
        <v>42803.768750000003</v>
      </c>
      <c r="R99" s="19">
        <v>42803.768750000003</v>
      </c>
      <c r="S99" s="14" t="s">
        <v>203</v>
      </c>
      <c r="T99" s="14" t="s">
        <v>155</v>
      </c>
      <c r="U99" s="14" t="s">
        <v>117</v>
      </c>
      <c r="V99" s="14"/>
      <c r="W99" s="14">
        <v>0</v>
      </c>
      <c r="X99" s="14">
        <v>0</v>
      </c>
      <c r="Y99" s="14"/>
      <c r="Z99" s="14"/>
      <c r="AA99" s="14"/>
      <c r="AB99" s="14"/>
      <c r="AC99" s="14"/>
      <c r="AD99" s="14"/>
      <c r="AE99" s="14"/>
      <c r="AF99" s="14"/>
      <c r="AG99" s="14" t="s">
        <v>654</v>
      </c>
      <c r="AH99" s="14"/>
      <c r="AI99" s="14"/>
      <c r="AJ99" s="14"/>
      <c r="AK99" s="14"/>
      <c r="AL99" s="14"/>
      <c r="AM99" s="14"/>
      <c r="AN99" s="14" t="s">
        <v>408</v>
      </c>
      <c r="AO99" s="14" t="s">
        <v>655</v>
      </c>
      <c r="AP99" s="14"/>
      <c r="AQ99" s="14"/>
      <c r="AR99" s="22"/>
      <c r="AS99" s="22" t="s">
        <v>89</v>
      </c>
      <c r="AT99" s="22" t="s">
        <v>214</v>
      </c>
      <c r="AU99" s="25" t="str">
        <f>VLOOKUP(O99,[1]Lookup!A:B,2,FALSE)</f>
        <v>DMO</v>
      </c>
    </row>
    <row r="100" spans="1:47" ht="51.75" customHeight="1" x14ac:dyDescent="0.2">
      <c r="A100" s="27" t="s">
        <v>86</v>
      </c>
      <c r="B100" s="29" t="s">
        <v>656</v>
      </c>
      <c r="C100" s="27" t="s">
        <v>657</v>
      </c>
      <c r="D100" s="22" t="s">
        <v>130</v>
      </c>
      <c r="E100" s="22" t="s">
        <v>658</v>
      </c>
      <c r="F100" s="27"/>
      <c r="G100" s="27" t="s">
        <v>659</v>
      </c>
      <c r="H100" s="27"/>
      <c r="I100" s="27"/>
      <c r="J100" s="14" t="s">
        <v>91</v>
      </c>
      <c r="K100" s="14" t="s">
        <v>59</v>
      </c>
      <c r="L100" s="14" t="s">
        <v>93</v>
      </c>
      <c r="M100" s="14" t="s">
        <v>132</v>
      </c>
      <c r="N100" s="18" t="s">
        <v>8</v>
      </c>
      <c r="O100" s="14" t="s">
        <v>8</v>
      </c>
      <c r="P100" s="19">
        <v>42788.5</v>
      </c>
      <c r="Q100" s="19">
        <v>42803.768750000003</v>
      </c>
      <c r="R100" s="19">
        <v>42803.768750000003</v>
      </c>
      <c r="S100" s="14" t="s">
        <v>660</v>
      </c>
      <c r="T100" s="14"/>
      <c r="U100" s="14" t="s">
        <v>242</v>
      </c>
      <c r="V100" s="14"/>
      <c r="W100" s="14">
        <v>0</v>
      </c>
      <c r="X100" s="14">
        <v>0</v>
      </c>
      <c r="Y100" s="14"/>
      <c r="Z100" s="14"/>
      <c r="AA100" s="14"/>
      <c r="AB100" s="14"/>
      <c r="AC100" s="14"/>
      <c r="AD100" s="14"/>
      <c r="AE100" s="14"/>
      <c r="AF100" s="14"/>
      <c r="AG100" s="14" t="s">
        <v>661</v>
      </c>
      <c r="AH100" s="14"/>
      <c r="AI100" s="14"/>
      <c r="AJ100" s="14"/>
      <c r="AK100" s="14"/>
      <c r="AL100" s="14"/>
      <c r="AM100" s="14"/>
      <c r="AN100" s="14" t="s">
        <v>662</v>
      </c>
      <c r="AO100" s="14" t="s">
        <v>663</v>
      </c>
      <c r="AP100" s="14" t="s">
        <v>146</v>
      </c>
      <c r="AQ100" s="14"/>
      <c r="AR100" s="22"/>
      <c r="AS100" s="22" t="s">
        <v>130</v>
      </c>
      <c r="AT100" s="22" t="s">
        <v>658</v>
      </c>
      <c r="AU100" s="25" t="str">
        <f>VLOOKUP(O100,[1]Lookup!A:B,2,FALSE)</f>
        <v>BTS-Dev</v>
      </c>
    </row>
    <row r="101" spans="1:47" ht="51.75" customHeight="1" x14ac:dyDescent="0.2">
      <c r="A101" s="27" t="s">
        <v>86</v>
      </c>
      <c r="B101" s="29" t="s">
        <v>664</v>
      </c>
      <c r="C101" s="26" t="s">
        <v>665</v>
      </c>
      <c r="D101" s="22" t="s">
        <v>89</v>
      </c>
      <c r="E101" s="22" t="s">
        <v>507</v>
      </c>
      <c r="F101" s="26" t="s">
        <v>666</v>
      </c>
      <c r="G101" s="26" t="s">
        <v>312</v>
      </c>
      <c r="H101" s="26" t="s">
        <v>526</v>
      </c>
      <c r="I101" s="26" t="s">
        <v>527</v>
      </c>
      <c r="J101" s="14" t="s">
        <v>91</v>
      </c>
      <c r="K101" s="14" t="s">
        <v>110</v>
      </c>
      <c r="L101" s="14" t="s">
        <v>124</v>
      </c>
      <c r="M101" s="17" t="s">
        <v>94</v>
      </c>
      <c r="N101" s="18" t="s">
        <v>9</v>
      </c>
      <c r="O101" s="14" t="s">
        <v>21</v>
      </c>
      <c r="P101" s="19">
        <v>42788.417361111111</v>
      </c>
      <c r="Q101" s="19">
        <v>42807.87777777778</v>
      </c>
      <c r="R101" s="14"/>
      <c r="S101" s="14" t="s">
        <v>203</v>
      </c>
      <c r="T101" s="14" t="s">
        <v>312</v>
      </c>
      <c r="U101" s="14" t="s">
        <v>89</v>
      </c>
      <c r="V101" s="14"/>
      <c r="W101" s="14">
        <v>0</v>
      </c>
      <c r="X101" s="14">
        <v>0</v>
      </c>
      <c r="Y101" s="14"/>
      <c r="Z101" s="14"/>
      <c r="AA101" s="14"/>
      <c r="AB101" s="14"/>
      <c r="AC101" s="14"/>
      <c r="AD101" s="14"/>
      <c r="AE101" s="14"/>
      <c r="AF101" s="14"/>
      <c r="AG101" s="14" t="s">
        <v>667</v>
      </c>
      <c r="AH101" s="14"/>
      <c r="AI101" s="14"/>
      <c r="AJ101" s="14"/>
      <c r="AK101" s="14"/>
      <c r="AL101" s="14"/>
      <c r="AM101" s="14"/>
      <c r="AN101" s="14" t="s">
        <v>668</v>
      </c>
      <c r="AO101" s="14"/>
      <c r="AP101" s="14"/>
      <c r="AQ101" s="14"/>
      <c r="AR101" s="22"/>
      <c r="AS101" s="22" t="s">
        <v>89</v>
      </c>
      <c r="AT101" s="22" t="s">
        <v>513</v>
      </c>
      <c r="AU101" s="25" t="str">
        <f>VLOOKUP(O101,[1]Lookup!A:B,2,FALSE)</f>
        <v>Test-SIT</v>
      </c>
    </row>
    <row r="102" spans="1:47" ht="51.75" customHeight="1" x14ac:dyDescent="0.2">
      <c r="A102" s="27" t="s">
        <v>86</v>
      </c>
      <c r="B102" s="29" t="s">
        <v>669</v>
      </c>
      <c r="C102" s="26" t="s">
        <v>670</v>
      </c>
      <c r="D102" s="22" t="s">
        <v>89</v>
      </c>
      <c r="E102" s="22" t="s">
        <v>671</v>
      </c>
      <c r="F102" s="26" t="s">
        <v>672</v>
      </c>
      <c r="G102" s="26" t="s">
        <v>659</v>
      </c>
      <c r="H102" s="26" t="s">
        <v>526</v>
      </c>
      <c r="I102" s="26" t="s">
        <v>527</v>
      </c>
      <c r="J102" s="14" t="s">
        <v>91</v>
      </c>
      <c r="K102" s="14" t="s">
        <v>59</v>
      </c>
      <c r="L102" s="14" t="s">
        <v>93</v>
      </c>
      <c r="M102" s="14" t="s">
        <v>132</v>
      </c>
      <c r="N102" s="18" t="s">
        <v>27</v>
      </c>
      <c r="O102" s="14" t="s">
        <v>27</v>
      </c>
      <c r="P102" s="19">
        <v>42787.757638888892</v>
      </c>
      <c r="Q102" s="19">
        <v>42811.476388888892</v>
      </c>
      <c r="R102" s="19">
        <v>42810.459722222222</v>
      </c>
      <c r="S102" s="14" t="s">
        <v>203</v>
      </c>
      <c r="T102" s="14" t="s">
        <v>104</v>
      </c>
      <c r="U102" s="14" t="s">
        <v>117</v>
      </c>
      <c r="V102" s="14"/>
      <c r="W102" s="14">
        <v>0</v>
      </c>
      <c r="X102" s="14">
        <v>0</v>
      </c>
      <c r="Y102" s="14"/>
      <c r="Z102" s="14"/>
      <c r="AA102" s="14"/>
      <c r="AB102" s="14"/>
      <c r="AC102" s="14"/>
      <c r="AD102" s="14"/>
      <c r="AE102" s="14"/>
      <c r="AF102" s="14"/>
      <c r="AG102" s="14" t="s">
        <v>673</v>
      </c>
      <c r="AH102" s="14"/>
      <c r="AI102" s="14"/>
      <c r="AJ102" s="14"/>
      <c r="AK102" s="14"/>
      <c r="AL102" s="14"/>
      <c r="AM102" s="14"/>
      <c r="AN102" s="14" t="s">
        <v>408</v>
      </c>
      <c r="AO102" s="14" t="s">
        <v>674</v>
      </c>
      <c r="AP102" s="14"/>
      <c r="AQ102" s="14"/>
      <c r="AR102" s="22"/>
      <c r="AS102" s="22" t="s">
        <v>89</v>
      </c>
      <c r="AT102" s="22" t="s">
        <v>671</v>
      </c>
      <c r="AU102" s="25" t="str">
        <f>VLOOKUP(O102,[1]Lookup!A:B,2,FALSE)</f>
        <v>BTS-Dev</v>
      </c>
    </row>
    <row r="103" spans="1:47" ht="51.75" customHeight="1" x14ac:dyDescent="0.2">
      <c r="A103" s="27" t="s">
        <v>86</v>
      </c>
      <c r="B103" s="29" t="s">
        <v>675</v>
      </c>
      <c r="C103" s="27" t="s">
        <v>676</v>
      </c>
      <c r="D103" s="22" t="s">
        <v>117</v>
      </c>
      <c r="E103" s="22" t="s">
        <v>677</v>
      </c>
      <c r="F103" s="27" t="s">
        <v>678</v>
      </c>
      <c r="G103" s="27" t="s">
        <v>261</v>
      </c>
      <c r="H103" s="27" t="s">
        <v>679</v>
      </c>
      <c r="I103" s="27"/>
      <c r="J103" s="14" t="s">
        <v>91</v>
      </c>
      <c r="K103" s="14" t="s">
        <v>59</v>
      </c>
      <c r="L103" s="14" t="s">
        <v>93</v>
      </c>
      <c r="M103" s="14" t="s">
        <v>132</v>
      </c>
      <c r="N103" s="18" t="s">
        <v>27</v>
      </c>
      <c r="O103" s="14" t="s">
        <v>27</v>
      </c>
      <c r="P103" s="19">
        <v>42787.754166666666</v>
      </c>
      <c r="Q103" s="19">
        <v>42811.475694444445</v>
      </c>
      <c r="R103" s="19">
        <v>42794.802777777775</v>
      </c>
      <c r="S103" s="14" t="s">
        <v>203</v>
      </c>
      <c r="T103" s="14" t="s">
        <v>155</v>
      </c>
      <c r="U103" s="14" t="s">
        <v>117</v>
      </c>
      <c r="V103" s="14"/>
      <c r="W103" s="14">
        <v>0</v>
      </c>
      <c r="X103" s="14">
        <v>0</v>
      </c>
      <c r="Y103" s="14"/>
      <c r="Z103" s="14"/>
      <c r="AA103" s="14"/>
      <c r="AB103" s="14"/>
      <c r="AC103" s="14"/>
      <c r="AD103" s="14"/>
      <c r="AE103" s="14"/>
      <c r="AF103" s="14"/>
      <c r="AG103" s="14" t="s">
        <v>680</v>
      </c>
      <c r="AH103" s="14"/>
      <c r="AI103" s="14"/>
      <c r="AJ103" s="14"/>
      <c r="AK103" s="14"/>
      <c r="AL103" s="14"/>
      <c r="AM103" s="14"/>
      <c r="AN103" s="14" t="s">
        <v>123</v>
      </c>
      <c r="AO103" s="14" t="s">
        <v>681</v>
      </c>
      <c r="AP103" s="14"/>
      <c r="AQ103" s="14"/>
      <c r="AR103" s="22"/>
      <c r="AS103" s="22" t="s">
        <v>117</v>
      </c>
      <c r="AT103" s="22" t="s">
        <v>677</v>
      </c>
      <c r="AU103" s="25" t="str">
        <f>VLOOKUP(O103,[1]Lookup!A:B,2,FALSE)</f>
        <v>BTS-Dev</v>
      </c>
    </row>
    <row r="104" spans="1:47" ht="51.75" customHeight="1" x14ac:dyDescent="0.2">
      <c r="A104" s="27" t="s">
        <v>86</v>
      </c>
      <c r="B104" s="29" t="s">
        <v>682</v>
      </c>
      <c r="C104" s="27" t="s">
        <v>683</v>
      </c>
      <c r="D104" s="22" t="s">
        <v>117</v>
      </c>
      <c r="E104" s="22" t="s">
        <v>477</v>
      </c>
      <c r="F104" s="27"/>
      <c r="G104" s="27"/>
      <c r="H104" s="27"/>
      <c r="I104" s="27"/>
      <c r="J104" s="14" t="s">
        <v>91</v>
      </c>
      <c r="K104" s="14" t="s">
        <v>59</v>
      </c>
      <c r="L104" s="14" t="s">
        <v>93</v>
      </c>
      <c r="M104" s="14" t="s">
        <v>132</v>
      </c>
      <c r="N104" s="18" t="s">
        <v>27</v>
      </c>
      <c r="O104" s="14" t="s">
        <v>27</v>
      </c>
      <c r="P104" s="19">
        <v>42787.75277777778</v>
      </c>
      <c r="Q104" s="19">
        <v>42811.486111111109</v>
      </c>
      <c r="R104" s="19">
        <v>42788.747916666667</v>
      </c>
      <c r="S104" s="14" t="s">
        <v>203</v>
      </c>
      <c r="T104" s="14" t="s">
        <v>203</v>
      </c>
      <c r="U104" s="14" t="s">
        <v>117</v>
      </c>
      <c r="V104" s="14"/>
      <c r="W104" s="14">
        <v>0</v>
      </c>
      <c r="X104" s="14">
        <v>0</v>
      </c>
      <c r="Y104" s="14"/>
      <c r="Z104" s="14"/>
      <c r="AA104" s="14"/>
      <c r="AB104" s="14"/>
      <c r="AC104" s="14"/>
      <c r="AD104" s="14"/>
      <c r="AE104" s="14"/>
      <c r="AF104" s="14"/>
      <c r="AG104" s="14" t="s">
        <v>684</v>
      </c>
      <c r="AH104" s="14"/>
      <c r="AI104" s="14"/>
      <c r="AJ104" s="14"/>
      <c r="AK104" s="14"/>
      <c r="AL104" s="14"/>
      <c r="AM104" s="14"/>
      <c r="AN104" s="14" t="s">
        <v>255</v>
      </c>
      <c r="AO104" s="14" t="s">
        <v>685</v>
      </c>
      <c r="AP104" s="14"/>
      <c r="AQ104" s="14"/>
      <c r="AR104" s="22"/>
      <c r="AS104" s="22" t="s">
        <v>117</v>
      </c>
      <c r="AT104" s="22" t="s">
        <v>477</v>
      </c>
      <c r="AU104" s="25" t="str">
        <f>VLOOKUP(O104,[1]Lookup!A:B,2,FALSE)</f>
        <v>BTS-Dev</v>
      </c>
    </row>
    <row r="105" spans="1:47" ht="51.75" customHeight="1" x14ac:dyDescent="0.2">
      <c r="A105" s="27" t="s">
        <v>86</v>
      </c>
      <c r="B105" s="29" t="s">
        <v>686</v>
      </c>
      <c r="C105" s="27" t="s">
        <v>687</v>
      </c>
      <c r="D105" s="22" t="s">
        <v>117</v>
      </c>
      <c r="E105" s="22" t="s">
        <v>477</v>
      </c>
      <c r="F105" s="27"/>
      <c r="G105" s="27" t="s">
        <v>203</v>
      </c>
      <c r="H105" s="27"/>
      <c r="I105" s="27"/>
      <c r="J105" s="14" t="s">
        <v>91</v>
      </c>
      <c r="K105" s="14" t="s">
        <v>59</v>
      </c>
      <c r="L105" s="14" t="s">
        <v>124</v>
      </c>
      <c r="M105" s="14" t="s">
        <v>132</v>
      </c>
      <c r="N105" s="18" t="s">
        <v>27</v>
      </c>
      <c r="O105" s="14" t="s">
        <v>27</v>
      </c>
      <c r="P105" s="19">
        <v>42787.750694444447</v>
      </c>
      <c r="Q105" s="19">
        <v>42811.448611111111</v>
      </c>
      <c r="R105" s="19">
        <v>42788.472916666666</v>
      </c>
      <c r="S105" s="14" t="s">
        <v>203</v>
      </c>
      <c r="T105" s="14" t="s">
        <v>203</v>
      </c>
      <c r="U105" s="14" t="s">
        <v>117</v>
      </c>
      <c r="V105" s="14"/>
      <c r="W105" s="14">
        <v>0</v>
      </c>
      <c r="X105" s="14">
        <v>0</v>
      </c>
      <c r="Y105" s="14"/>
      <c r="Z105" s="14"/>
      <c r="AA105" s="14"/>
      <c r="AB105" s="14"/>
      <c r="AC105" s="14"/>
      <c r="AD105" s="14"/>
      <c r="AE105" s="14"/>
      <c r="AF105" s="14"/>
      <c r="AG105" s="14" t="s">
        <v>688</v>
      </c>
      <c r="AH105" s="14"/>
      <c r="AI105" s="14"/>
      <c r="AJ105" s="14"/>
      <c r="AK105" s="14"/>
      <c r="AL105" s="14"/>
      <c r="AM105" s="14"/>
      <c r="AN105" s="14" t="s">
        <v>408</v>
      </c>
      <c r="AO105" s="14" t="s">
        <v>689</v>
      </c>
      <c r="AP105" s="14"/>
      <c r="AQ105" s="14"/>
      <c r="AR105" s="22"/>
      <c r="AS105" s="22" t="s">
        <v>117</v>
      </c>
      <c r="AT105" s="22" t="s">
        <v>477</v>
      </c>
      <c r="AU105" s="25" t="str">
        <f>VLOOKUP(O105,[1]Lookup!A:B,2,FALSE)</f>
        <v>BTS-Dev</v>
      </c>
    </row>
    <row r="106" spans="1:47" ht="51.75" customHeight="1" x14ac:dyDescent="0.2">
      <c r="A106" s="27" t="s">
        <v>86</v>
      </c>
      <c r="B106" s="29" t="s">
        <v>690</v>
      </c>
      <c r="C106" s="27" t="s">
        <v>691</v>
      </c>
      <c r="D106" s="22" t="s">
        <v>117</v>
      </c>
      <c r="E106" s="22" t="s">
        <v>692</v>
      </c>
      <c r="F106" s="27"/>
      <c r="G106" s="27"/>
      <c r="H106" s="27"/>
      <c r="I106" s="27"/>
      <c r="J106" s="14" t="s">
        <v>91</v>
      </c>
      <c r="K106" s="14" t="s">
        <v>59</v>
      </c>
      <c r="L106" s="14" t="s">
        <v>93</v>
      </c>
      <c r="M106" s="14" t="s">
        <v>132</v>
      </c>
      <c r="N106" s="18" t="s">
        <v>27</v>
      </c>
      <c r="O106" s="14" t="s">
        <v>27</v>
      </c>
      <c r="P106" s="19">
        <v>42787.749305555553</v>
      </c>
      <c r="Q106" s="19">
        <v>42811.475694444445</v>
      </c>
      <c r="R106" s="19">
        <v>42788.773611111108</v>
      </c>
      <c r="S106" s="14" t="s">
        <v>203</v>
      </c>
      <c r="T106" s="14" t="s">
        <v>203</v>
      </c>
      <c r="U106" s="14" t="s">
        <v>117</v>
      </c>
      <c r="V106" s="14"/>
      <c r="W106" s="14">
        <v>0</v>
      </c>
      <c r="X106" s="14">
        <v>0</v>
      </c>
      <c r="Y106" s="14"/>
      <c r="Z106" s="14"/>
      <c r="AA106" s="14"/>
      <c r="AB106" s="14"/>
      <c r="AC106" s="14"/>
      <c r="AD106" s="14"/>
      <c r="AE106" s="14"/>
      <c r="AF106" s="14"/>
      <c r="AG106" s="14" t="s">
        <v>693</v>
      </c>
      <c r="AH106" s="14"/>
      <c r="AI106" s="14"/>
      <c r="AJ106" s="14"/>
      <c r="AK106" s="14"/>
      <c r="AL106" s="14"/>
      <c r="AM106" s="14"/>
      <c r="AN106" s="14" t="s">
        <v>408</v>
      </c>
      <c r="AO106" s="14" t="s">
        <v>694</v>
      </c>
      <c r="AP106" s="14"/>
      <c r="AQ106" s="14"/>
      <c r="AR106" s="22"/>
      <c r="AS106" s="22" t="s">
        <v>117</v>
      </c>
      <c r="AT106" s="22" t="s">
        <v>408</v>
      </c>
      <c r="AU106" s="25" t="str">
        <f>VLOOKUP(O106,[1]Lookup!A:B,2,FALSE)</f>
        <v>BTS-Dev</v>
      </c>
    </row>
    <row r="107" spans="1:47" ht="51.75" customHeight="1" x14ac:dyDescent="0.2">
      <c r="A107" s="27" t="s">
        <v>86</v>
      </c>
      <c r="B107" s="29" t="s">
        <v>695</v>
      </c>
      <c r="C107" s="27" t="s">
        <v>696</v>
      </c>
      <c r="D107" s="22" t="s">
        <v>117</v>
      </c>
      <c r="E107" s="22" t="s">
        <v>477</v>
      </c>
      <c r="F107" s="27"/>
      <c r="G107" s="27" t="s">
        <v>203</v>
      </c>
      <c r="H107" s="27"/>
      <c r="I107" s="27"/>
      <c r="J107" s="14" t="s">
        <v>91</v>
      </c>
      <c r="K107" s="14" t="s">
        <v>59</v>
      </c>
      <c r="L107" s="14" t="s">
        <v>93</v>
      </c>
      <c r="M107" s="14" t="s">
        <v>132</v>
      </c>
      <c r="N107" s="18" t="s">
        <v>202</v>
      </c>
      <c r="O107" s="14" t="s">
        <v>36</v>
      </c>
      <c r="P107" s="19">
        <v>42787.661111111112</v>
      </c>
      <c r="Q107" s="19">
        <v>42788.75</v>
      </c>
      <c r="R107" s="19">
        <v>42788.75</v>
      </c>
      <c r="S107" s="14" t="s">
        <v>203</v>
      </c>
      <c r="T107" s="14" t="s">
        <v>204</v>
      </c>
      <c r="U107" s="14" t="s">
        <v>242</v>
      </c>
      <c r="V107" s="14"/>
      <c r="W107" s="14">
        <v>0</v>
      </c>
      <c r="X107" s="14">
        <v>0</v>
      </c>
      <c r="Y107" s="14" t="s">
        <v>697</v>
      </c>
      <c r="Z107" s="14"/>
      <c r="AA107" s="14"/>
      <c r="AB107" s="14"/>
      <c r="AC107" s="14"/>
      <c r="AD107" s="14"/>
      <c r="AE107" s="14"/>
      <c r="AF107" s="14" t="s">
        <v>126</v>
      </c>
      <c r="AG107" s="14" t="s">
        <v>698</v>
      </c>
      <c r="AH107" s="14"/>
      <c r="AI107" s="14"/>
      <c r="AJ107" s="14"/>
      <c r="AK107" s="14"/>
      <c r="AL107" s="14"/>
      <c r="AM107" s="14"/>
      <c r="AN107" s="14" t="s">
        <v>302</v>
      </c>
      <c r="AO107" s="14" t="s">
        <v>699</v>
      </c>
      <c r="AP107" s="14"/>
      <c r="AQ107" s="14"/>
      <c r="AR107" s="22"/>
      <c r="AS107" s="22" t="s">
        <v>117</v>
      </c>
      <c r="AT107" s="22" t="s">
        <v>477</v>
      </c>
      <c r="AU107" s="25" t="str">
        <f>VLOOKUP(O107,[1]Lookup!A:B,2,FALSE)</f>
        <v>DMO</v>
      </c>
    </row>
    <row r="108" spans="1:47" ht="51.75" customHeight="1" x14ac:dyDescent="0.2">
      <c r="A108" s="27" t="s">
        <v>86</v>
      </c>
      <c r="B108" s="29" t="s">
        <v>700</v>
      </c>
      <c r="C108" s="27" t="s">
        <v>701</v>
      </c>
      <c r="D108" s="22" t="s">
        <v>241</v>
      </c>
      <c r="E108" s="22" t="s">
        <v>302</v>
      </c>
      <c r="F108" s="27"/>
      <c r="G108" s="27" t="s">
        <v>204</v>
      </c>
      <c r="H108" s="27"/>
      <c r="I108" s="27"/>
      <c r="J108" s="14" t="s">
        <v>91</v>
      </c>
      <c r="K108" s="14" t="s">
        <v>59</v>
      </c>
      <c r="L108" s="14" t="s">
        <v>103</v>
      </c>
      <c r="M108" s="14" t="s">
        <v>132</v>
      </c>
      <c r="N108" s="18" t="s">
        <v>202</v>
      </c>
      <c r="O108" s="14" t="s">
        <v>37</v>
      </c>
      <c r="P108" s="19">
        <v>42787.659722222219</v>
      </c>
      <c r="Q108" s="19">
        <v>42790.464583333334</v>
      </c>
      <c r="R108" s="19">
        <v>42790.464583333334</v>
      </c>
      <c r="S108" s="14" t="s">
        <v>203</v>
      </c>
      <c r="T108" s="14" t="s">
        <v>203</v>
      </c>
      <c r="U108" s="14" t="s">
        <v>241</v>
      </c>
      <c r="V108" s="14"/>
      <c r="W108" s="14">
        <v>0</v>
      </c>
      <c r="X108" s="14">
        <v>0</v>
      </c>
      <c r="Y108" s="20" t="s">
        <v>702</v>
      </c>
      <c r="Z108" s="14"/>
      <c r="AA108" s="14"/>
      <c r="AB108" s="14"/>
      <c r="AC108" s="14"/>
      <c r="AD108" s="14"/>
      <c r="AE108" s="14"/>
      <c r="AF108" s="14" t="s">
        <v>126</v>
      </c>
      <c r="AG108" s="14" t="s">
        <v>703</v>
      </c>
      <c r="AH108" s="14"/>
      <c r="AI108" s="14"/>
      <c r="AJ108" s="14"/>
      <c r="AK108" s="14"/>
      <c r="AL108" s="14"/>
      <c r="AM108" s="14"/>
      <c r="AN108" s="14" t="s">
        <v>123</v>
      </c>
      <c r="AO108" s="14" t="s">
        <v>704</v>
      </c>
      <c r="AP108" s="14" t="s">
        <v>556</v>
      </c>
      <c r="AQ108" s="14"/>
      <c r="AR108" s="22"/>
      <c r="AS108" s="22" t="s">
        <v>241</v>
      </c>
      <c r="AT108" s="22" t="s">
        <v>302</v>
      </c>
      <c r="AU108" s="25" t="str">
        <f>VLOOKUP(O108,[1]Lookup!A:B,2,FALSE)</f>
        <v>DMO</v>
      </c>
    </row>
    <row r="109" spans="1:47" ht="51.75" customHeight="1" x14ac:dyDescent="0.2">
      <c r="A109" s="27" t="s">
        <v>86</v>
      </c>
      <c r="B109" s="29" t="s">
        <v>705</v>
      </c>
      <c r="C109" s="27" t="s">
        <v>706</v>
      </c>
      <c r="D109" s="22" t="s">
        <v>241</v>
      </c>
      <c r="E109" s="22" t="s">
        <v>166</v>
      </c>
      <c r="F109" s="27"/>
      <c r="G109" s="27" t="s">
        <v>203</v>
      </c>
      <c r="H109" s="27"/>
      <c r="I109" s="27"/>
      <c r="J109" s="14" t="s">
        <v>91</v>
      </c>
      <c r="K109" s="14" t="s">
        <v>59</v>
      </c>
      <c r="L109" s="14" t="s">
        <v>93</v>
      </c>
      <c r="M109" s="14" t="s">
        <v>132</v>
      </c>
      <c r="N109" s="18" t="s">
        <v>202</v>
      </c>
      <c r="O109" s="14" t="s">
        <v>36</v>
      </c>
      <c r="P109" s="19">
        <v>42787.659722222219</v>
      </c>
      <c r="Q109" s="19">
        <v>42788.75</v>
      </c>
      <c r="R109" s="19">
        <v>42788.75</v>
      </c>
      <c r="S109" s="14" t="s">
        <v>203</v>
      </c>
      <c r="T109" s="14" t="s">
        <v>204</v>
      </c>
      <c r="U109" s="14" t="s">
        <v>242</v>
      </c>
      <c r="V109" s="14"/>
      <c r="W109" s="14">
        <v>0</v>
      </c>
      <c r="X109" s="14">
        <v>0</v>
      </c>
      <c r="Y109" s="20" t="s">
        <v>707</v>
      </c>
      <c r="Z109" s="14"/>
      <c r="AA109" s="14"/>
      <c r="AB109" s="14"/>
      <c r="AC109" s="14"/>
      <c r="AD109" s="14"/>
      <c r="AE109" s="14"/>
      <c r="AF109" s="14" t="s">
        <v>126</v>
      </c>
      <c r="AG109" s="14" t="s">
        <v>708</v>
      </c>
      <c r="AH109" s="14"/>
      <c r="AI109" s="14"/>
      <c r="AJ109" s="14"/>
      <c r="AK109" s="14"/>
      <c r="AL109" s="14"/>
      <c r="AM109" s="14"/>
      <c r="AN109" s="14" t="s">
        <v>302</v>
      </c>
      <c r="AO109" s="14" t="s">
        <v>699</v>
      </c>
      <c r="AP109" s="14" t="s">
        <v>146</v>
      </c>
      <c r="AQ109" s="14"/>
      <c r="AR109" s="22"/>
      <c r="AS109" s="22" t="s">
        <v>241</v>
      </c>
      <c r="AT109" s="22" t="s">
        <v>166</v>
      </c>
      <c r="AU109" s="25" t="str">
        <f>VLOOKUP(O109,[1]Lookup!A:B,2,FALSE)</f>
        <v>DMO</v>
      </c>
    </row>
    <row r="110" spans="1:47" ht="51.75" customHeight="1" x14ac:dyDescent="0.2">
      <c r="A110" s="27" t="s">
        <v>86</v>
      </c>
      <c r="B110" s="29" t="s">
        <v>709</v>
      </c>
      <c r="C110" s="27" t="s">
        <v>710</v>
      </c>
      <c r="D110" s="22" t="s">
        <v>241</v>
      </c>
      <c r="E110" s="22" t="s">
        <v>166</v>
      </c>
      <c r="F110" s="27"/>
      <c r="G110" s="27" t="s">
        <v>204</v>
      </c>
      <c r="H110" s="27"/>
      <c r="I110" s="27"/>
      <c r="J110" s="14" t="s">
        <v>91</v>
      </c>
      <c r="K110" s="14" t="s">
        <v>59</v>
      </c>
      <c r="L110" s="14" t="s">
        <v>93</v>
      </c>
      <c r="M110" s="14" t="s">
        <v>132</v>
      </c>
      <c r="N110" s="18" t="s">
        <v>38</v>
      </c>
      <c r="O110" s="14" t="s">
        <v>36</v>
      </c>
      <c r="P110" s="19">
        <v>42787.657638888886</v>
      </c>
      <c r="Q110" s="19">
        <v>42788.75</v>
      </c>
      <c r="R110" s="19">
        <v>42788.75</v>
      </c>
      <c r="S110" s="14" t="s">
        <v>203</v>
      </c>
      <c r="T110" s="14" t="s">
        <v>204</v>
      </c>
      <c r="U110" s="14" t="s">
        <v>242</v>
      </c>
      <c r="V110" s="14"/>
      <c r="W110" s="14">
        <v>0</v>
      </c>
      <c r="X110" s="14">
        <v>0</v>
      </c>
      <c r="Y110" s="14" t="s">
        <v>711</v>
      </c>
      <c r="Z110" s="14"/>
      <c r="AA110" s="14"/>
      <c r="AB110" s="14"/>
      <c r="AC110" s="14"/>
      <c r="AD110" s="14"/>
      <c r="AE110" s="14"/>
      <c r="AF110" s="14" t="s">
        <v>126</v>
      </c>
      <c r="AG110" s="14" t="s">
        <v>712</v>
      </c>
      <c r="AH110" s="14"/>
      <c r="AI110" s="14"/>
      <c r="AJ110" s="14"/>
      <c r="AK110" s="14"/>
      <c r="AL110" s="14"/>
      <c r="AM110" s="14"/>
      <c r="AN110" s="14" t="s">
        <v>302</v>
      </c>
      <c r="AO110" s="14" t="s">
        <v>713</v>
      </c>
      <c r="AP110" s="14"/>
      <c r="AQ110" s="14"/>
      <c r="AR110" s="22"/>
      <c r="AS110" s="22" t="s">
        <v>241</v>
      </c>
      <c r="AT110" s="22" t="s">
        <v>166</v>
      </c>
      <c r="AU110" s="25" t="str">
        <f>VLOOKUP(O110,[1]Lookup!A:B,2,FALSE)</f>
        <v>DMO</v>
      </c>
    </row>
    <row r="111" spans="1:47" ht="51.75" customHeight="1" x14ac:dyDescent="0.2">
      <c r="A111" s="27" t="s">
        <v>86</v>
      </c>
      <c r="B111" s="29" t="s">
        <v>714</v>
      </c>
      <c r="C111" s="27" t="s">
        <v>715</v>
      </c>
      <c r="D111" s="22" t="s">
        <v>241</v>
      </c>
      <c r="E111" s="22" t="s">
        <v>302</v>
      </c>
      <c r="F111" s="27"/>
      <c r="G111" s="27" t="s">
        <v>204</v>
      </c>
      <c r="H111" s="27"/>
      <c r="I111" s="27"/>
      <c r="J111" s="14" t="s">
        <v>91</v>
      </c>
      <c r="K111" s="14" t="s">
        <v>59</v>
      </c>
      <c r="L111" s="14" t="s">
        <v>124</v>
      </c>
      <c r="M111" s="14" t="s">
        <v>132</v>
      </c>
      <c r="N111" s="18" t="s">
        <v>30</v>
      </c>
      <c r="O111" s="14" t="s">
        <v>19</v>
      </c>
      <c r="P111" s="19">
        <v>42787.638888888891</v>
      </c>
      <c r="Q111" s="19">
        <v>42788.705555555556</v>
      </c>
      <c r="R111" s="19">
        <v>42788.705555555556</v>
      </c>
      <c r="S111" s="14" t="s">
        <v>510</v>
      </c>
      <c r="T111" s="14" t="s">
        <v>510</v>
      </c>
      <c r="U111" s="14" t="s">
        <v>96</v>
      </c>
      <c r="V111" s="14"/>
      <c r="W111" s="14">
        <v>0</v>
      </c>
      <c r="X111" s="14">
        <v>0</v>
      </c>
      <c r="Y111" s="14"/>
      <c r="Z111" s="14"/>
      <c r="AA111" s="14"/>
      <c r="AB111" s="14"/>
      <c r="AC111" s="14"/>
      <c r="AD111" s="14"/>
      <c r="AE111" s="14"/>
      <c r="AF111" s="14" t="s">
        <v>477</v>
      </c>
      <c r="AG111" s="14" t="s">
        <v>716</v>
      </c>
      <c r="AH111" s="14"/>
      <c r="AI111" s="14"/>
      <c r="AJ111" s="14"/>
      <c r="AK111" s="14"/>
      <c r="AL111" s="14"/>
      <c r="AM111" s="14"/>
      <c r="AN111" s="14" t="s">
        <v>477</v>
      </c>
      <c r="AO111" s="14" t="s">
        <v>717</v>
      </c>
      <c r="AP111" s="14"/>
      <c r="AQ111" s="14"/>
      <c r="AR111" s="22"/>
      <c r="AS111" s="22" t="s">
        <v>241</v>
      </c>
      <c r="AT111" s="22" t="s">
        <v>302</v>
      </c>
      <c r="AU111" s="25" t="str">
        <f>VLOOKUP(O111,[1]Lookup!A:B,2,FALSE)</f>
        <v>Test-SIT</v>
      </c>
    </row>
    <row r="112" spans="1:47" ht="51.75" customHeight="1" x14ac:dyDescent="0.2">
      <c r="A112" s="27" t="s">
        <v>86</v>
      </c>
      <c r="B112" s="29" t="s">
        <v>718</v>
      </c>
      <c r="C112" s="27" t="s">
        <v>719</v>
      </c>
      <c r="D112" s="22" t="s">
        <v>130</v>
      </c>
      <c r="E112" s="22" t="s">
        <v>720</v>
      </c>
      <c r="F112" s="27"/>
      <c r="G112" s="27" t="s">
        <v>510</v>
      </c>
      <c r="H112" s="27"/>
      <c r="I112" s="27"/>
      <c r="J112" s="14" t="s">
        <v>91</v>
      </c>
      <c r="K112" s="14" t="s">
        <v>59</v>
      </c>
      <c r="L112" s="14" t="s">
        <v>103</v>
      </c>
      <c r="M112" s="14" t="s">
        <v>132</v>
      </c>
      <c r="N112" s="18" t="s">
        <v>202</v>
      </c>
      <c r="O112" s="14" t="s">
        <v>36</v>
      </c>
      <c r="P112" s="19">
        <v>42787.467361111114</v>
      </c>
      <c r="Q112" s="19">
        <v>42790.406944444447</v>
      </c>
      <c r="R112" s="19">
        <v>42790.406944444447</v>
      </c>
      <c r="S112" s="14" t="s">
        <v>203</v>
      </c>
      <c r="T112" s="14" t="s">
        <v>721</v>
      </c>
      <c r="U112" s="14" t="s">
        <v>96</v>
      </c>
      <c r="V112" s="14"/>
      <c r="W112" s="14">
        <v>0</v>
      </c>
      <c r="X112" s="14">
        <v>0</v>
      </c>
      <c r="Y112" s="14" t="s">
        <v>722</v>
      </c>
      <c r="Z112" s="14"/>
      <c r="AA112" s="14"/>
      <c r="AB112" s="14"/>
      <c r="AC112" s="14"/>
      <c r="AD112" s="14"/>
      <c r="AE112" s="14"/>
      <c r="AF112" s="14" t="s">
        <v>126</v>
      </c>
      <c r="AG112" s="14" t="s">
        <v>723</v>
      </c>
      <c r="AH112" s="14"/>
      <c r="AI112" s="14"/>
      <c r="AJ112" s="14"/>
      <c r="AK112" s="14"/>
      <c r="AL112" s="14"/>
      <c r="AM112" s="14"/>
      <c r="AN112" s="14"/>
      <c r="AO112" s="14" t="s">
        <v>724</v>
      </c>
      <c r="AP112" s="14"/>
      <c r="AQ112" s="14"/>
      <c r="AR112" s="22"/>
      <c r="AS112" s="22" t="s">
        <v>130</v>
      </c>
      <c r="AT112" s="22" t="s">
        <v>720</v>
      </c>
      <c r="AU112" s="25" t="str">
        <f>VLOOKUP(O112,[1]Lookup!A:B,2,FALSE)</f>
        <v>DMO</v>
      </c>
    </row>
    <row r="113" spans="1:47" ht="51.75" customHeight="1" x14ac:dyDescent="0.2">
      <c r="A113" s="27" t="s">
        <v>86</v>
      </c>
      <c r="B113" s="29" t="s">
        <v>725</v>
      </c>
      <c r="C113" s="27" t="s">
        <v>726</v>
      </c>
      <c r="D113" s="22" t="s">
        <v>96</v>
      </c>
      <c r="E113" s="22" t="s">
        <v>166</v>
      </c>
      <c r="F113" s="27"/>
      <c r="G113" s="27" t="s">
        <v>721</v>
      </c>
      <c r="H113" s="27"/>
      <c r="I113" s="27"/>
      <c r="J113" s="14" t="s">
        <v>91</v>
      </c>
      <c r="K113" s="14" t="s">
        <v>59</v>
      </c>
      <c r="L113" s="14" t="s">
        <v>93</v>
      </c>
      <c r="M113" s="14" t="s">
        <v>132</v>
      </c>
      <c r="N113" s="18" t="s">
        <v>30</v>
      </c>
      <c r="O113" s="14" t="s">
        <v>22</v>
      </c>
      <c r="P113" s="19">
        <v>42786.810416666667</v>
      </c>
      <c r="Q113" s="19">
        <v>42794.451388888891</v>
      </c>
      <c r="R113" s="19">
        <v>42794.451388888891</v>
      </c>
      <c r="S113" s="14" t="s">
        <v>510</v>
      </c>
      <c r="T113" s="14" t="s">
        <v>451</v>
      </c>
      <c r="U113" s="14" t="s">
        <v>412</v>
      </c>
      <c r="V113" s="14"/>
      <c r="W113" s="14">
        <v>0</v>
      </c>
      <c r="X113" s="14">
        <v>0</v>
      </c>
      <c r="Y113" s="14"/>
      <c r="Z113" s="14"/>
      <c r="AA113" s="14"/>
      <c r="AB113" s="14"/>
      <c r="AC113" s="14"/>
      <c r="AD113" s="14"/>
      <c r="AE113" s="14" t="s">
        <v>727</v>
      </c>
      <c r="AF113" s="14"/>
      <c r="AG113" s="14" t="s">
        <v>728</v>
      </c>
      <c r="AH113" s="14"/>
      <c r="AI113" s="14"/>
      <c r="AJ113" s="14"/>
      <c r="AK113" s="14"/>
      <c r="AL113" s="14"/>
      <c r="AM113" s="14"/>
      <c r="AN113" s="14" t="s">
        <v>729</v>
      </c>
      <c r="AO113" s="14" t="s">
        <v>577</v>
      </c>
      <c r="AP113" s="14"/>
      <c r="AQ113" s="14"/>
      <c r="AR113" s="22"/>
      <c r="AS113" s="22" t="s">
        <v>96</v>
      </c>
      <c r="AT113" s="22" t="s">
        <v>166</v>
      </c>
      <c r="AU113" s="25" t="str">
        <f>VLOOKUP(O113,[1]Lookup!A:B,2,FALSE)</f>
        <v>Test-SIT</v>
      </c>
    </row>
    <row r="114" spans="1:47" ht="51.75" customHeight="1" x14ac:dyDescent="0.2">
      <c r="A114" s="27" t="s">
        <v>86</v>
      </c>
      <c r="B114" s="29" t="s">
        <v>730</v>
      </c>
      <c r="C114" s="27" t="s">
        <v>731</v>
      </c>
      <c r="D114" s="22" t="s">
        <v>89</v>
      </c>
      <c r="E114" s="22" t="s">
        <v>214</v>
      </c>
      <c r="F114" s="27"/>
      <c r="G114" s="27" t="s">
        <v>451</v>
      </c>
      <c r="H114" s="27"/>
      <c r="I114" s="27"/>
      <c r="J114" s="14" t="s">
        <v>91</v>
      </c>
      <c r="K114" s="14" t="s">
        <v>59</v>
      </c>
      <c r="L114" s="14" t="s">
        <v>124</v>
      </c>
      <c r="M114" s="14" t="s">
        <v>132</v>
      </c>
      <c r="N114" s="18" t="s">
        <v>24</v>
      </c>
      <c r="O114" s="14" t="s">
        <v>24</v>
      </c>
      <c r="P114" s="19">
        <v>42786.776388888888</v>
      </c>
      <c r="Q114" s="19">
        <v>42811.447222222225</v>
      </c>
      <c r="R114" s="19">
        <v>42797.572222222225</v>
      </c>
      <c r="S114" s="14" t="s">
        <v>139</v>
      </c>
      <c r="T114" s="14" t="s">
        <v>344</v>
      </c>
      <c r="U114" s="14" t="s">
        <v>117</v>
      </c>
      <c r="V114" s="14"/>
      <c r="W114" s="14">
        <v>0</v>
      </c>
      <c r="X114" s="14">
        <v>0</v>
      </c>
      <c r="Y114" s="14"/>
      <c r="Z114" s="14"/>
      <c r="AA114" s="14"/>
      <c r="AB114" s="14"/>
      <c r="AC114" s="14"/>
      <c r="AD114" s="14"/>
      <c r="AE114" s="14"/>
      <c r="AF114" s="14" t="s">
        <v>732</v>
      </c>
      <c r="AG114" s="14" t="s">
        <v>733</v>
      </c>
      <c r="AH114" s="14"/>
      <c r="AI114" s="14"/>
      <c r="AJ114" s="14"/>
      <c r="AK114" s="14"/>
      <c r="AL114" s="14"/>
      <c r="AM114" s="14"/>
      <c r="AN114" s="14" t="s">
        <v>734</v>
      </c>
      <c r="AO114" s="14" t="s">
        <v>735</v>
      </c>
      <c r="AP114" s="14"/>
      <c r="AQ114" s="14"/>
      <c r="AR114" s="22"/>
      <c r="AS114" s="22" t="s">
        <v>89</v>
      </c>
      <c r="AT114" s="22" t="s">
        <v>214</v>
      </c>
      <c r="AU114" s="25" t="str">
        <f>VLOOKUP(O114,[1]Lookup!A:B,2,FALSE)</f>
        <v>Test-SIT</v>
      </c>
    </row>
    <row r="115" spans="1:47" ht="51.75" customHeight="1" x14ac:dyDescent="0.2">
      <c r="A115" s="27" t="s">
        <v>86</v>
      </c>
      <c r="B115" s="29" t="s">
        <v>736</v>
      </c>
      <c r="C115" s="27" t="s">
        <v>737</v>
      </c>
      <c r="D115" s="22" t="s">
        <v>117</v>
      </c>
      <c r="E115" s="22" t="s">
        <v>435</v>
      </c>
      <c r="F115" s="27"/>
      <c r="G115" s="30" t="s">
        <v>738</v>
      </c>
      <c r="H115" s="27"/>
      <c r="I115" s="27"/>
      <c r="J115" s="14" t="s">
        <v>91</v>
      </c>
      <c r="K115" s="14" t="s">
        <v>59</v>
      </c>
      <c r="L115" s="14" t="s">
        <v>124</v>
      </c>
      <c r="M115" s="14" t="s">
        <v>132</v>
      </c>
      <c r="N115" s="18" t="s">
        <v>24</v>
      </c>
      <c r="O115" s="14" t="s">
        <v>24</v>
      </c>
      <c r="P115" s="19">
        <v>42786.753472222219</v>
      </c>
      <c r="Q115" s="19">
        <v>42811.474999999999</v>
      </c>
      <c r="R115" s="19">
        <v>42794.699305555558</v>
      </c>
      <c r="S115" s="14" t="s">
        <v>139</v>
      </c>
      <c r="T115" s="14" t="s">
        <v>344</v>
      </c>
      <c r="U115" s="14" t="s">
        <v>117</v>
      </c>
      <c r="V115" s="14"/>
      <c r="W115" s="14">
        <v>0</v>
      </c>
      <c r="X115" s="14">
        <v>0</v>
      </c>
      <c r="Y115" s="14"/>
      <c r="Z115" s="14"/>
      <c r="AA115" s="14"/>
      <c r="AB115" s="14"/>
      <c r="AC115" s="14"/>
      <c r="AD115" s="14"/>
      <c r="AE115" s="14"/>
      <c r="AF115" s="14" t="s">
        <v>739</v>
      </c>
      <c r="AG115" s="14" t="s">
        <v>740</v>
      </c>
      <c r="AH115" s="14"/>
      <c r="AI115" s="14"/>
      <c r="AJ115" s="14"/>
      <c r="AK115" s="14"/>
      <c r="AL115" s="14"/>
      <c r="AM115" s="14"/>
      <c r="AN115" s="14" t="s">
        <v>431</v>
      </c>
      <c r="AO115" s="14" t="s">
        <v>741</v>
      </c>
      <c r="AP115" s="14"/>
      <c r="AQ115" s="14"/>
      <c r="AR115" s="22"/>
      <c r="AS115" s="22" t="s">
        <v>117</v>
      </c>
      <c r="AT115" s="22" t="s">
        <v>435</v>
      </c>
      <c r="AU115" s="25" t="str">
        <f>VLOOKUP(O115,[1]Lookup!A:B,2,FALSE)</f>
        <v>Test-SIT</v>
      </c>
    </row>
    <row r="116" spans="1:47" ht="51.75" customHeight="1" x14ac:dyDescent="0.2">
      <c r="A116" s="27" t="s">
        <v>86</v>
      </c>
      <c r="B116" s="29" t="s">
        <v>742</v>
      </c>
      <c r="C116" s="27" t="s">
        <v>743</v>
      </c>
      <c r="D116" s="22" t="s">
        <v>117</v>
      </c>
      <c r="E116" s="22" t="s">
        <v>435</v>
      </c>
      <c r="F116" s="27"/>
      <c r="G116" s="27" t="s">
        <v>344</v>
      </c>
      <c r="H116" s="27"/>
      <c r="I116" s="27"/>
      <c r="J116" s="14" t="s">
        <v>91</v>
      </c>
      <c r="K116" s="14" t="s">
        <v>59</v>
      </c>
      <c r="L116" s="14" t="s">
        <v>93</v>
      </c>
      <c r="M116" s="14" t="s">
        <v>132</v>
      </c>
      <c r="N116" s="18" t="s">
        <v>24</v>
      </c>
      <c r="O116" s="14" t="s">
        <v>24</v>
      </c>
      <c r="P116" s="19">
        <v>42786.705555555556</v>
      </c>
      <c r="Q116" s="19">
        <v>42811.443749999999</v>
      </c>
      <c r="R116" s="19">
        <v>42802.659722222219</v>
      </c>
      <c r="S116" s="14" t="s">
        <v>139</v>
      </c>
      <c r="T116" s="14" t="s">
        <v>344</v>
      </c>
      <c r="U116" s="14" t="s">
        <v>117</v>
      </c>
      <c r="V116" s="14"/>
      <c r="W116" s="14">
        <v>0</v>
      </c>
      <c r="X116" s="14">
        <v>0</v>
      </c>
      <c r="Y116" s="14"/>
      <c r="Z116" s="14"/>
      <c r="AA116" s="14"/>
      <c r="AB116" s="14"/>
      <c r="AC116" s="14"/>
      <c r="AD116" s="14"/>
      <c r="AE116" s="14"/>
      <c r="AF116" s="14" t="s">
        <v>336</v>
      </c>
      <c r="AG116" s="14" t="s">
        <v>744</v>
      </c>
      <c r="AH116" s="14"/>
      <c r="AI116" s="14"/>
      <c r="AJ116" s="14"/>
      <c r="AK116" s="14"/>
      <c r="AL116" s="14"/>
      <c r="AM116" s="14"/>
      <c r="AN116" s="14" t="s">
        <v>99</v>
      </c>
      <c r="AO116" s="14" t="s">
        <v>745</v>
      </c>
      <c r="AP116" s="14"/>
      <c r="AQ116" s="14"/>
      <c r="AR116" s="22"/>
      <c r="AS116" s="22" t="s">
        <v>117</v>
      </c>
      <c r="AT116" s="22" t="s">
        <v>435</v>
      </c>
      <c r="AU116" s="25" t="str">
        <f>VLOOKUP(O116,[1]Lookup!A:B,2,FALSE)</f>
        <v>Test-SIT</v>
      </c>
    </row>
    <row r="117" spans="1:47" ht="51.75" customHeight="1" x14ac:dyDescent="0.2">
      <c r="A117" s="27" t="s">
        <v>86</v>
      </c>
      <c r="B117" s="29" t="s">
        <v>746</v>
      </c>
      <c r="C117" s="27" t="s">
        <v>747</v>
      </c>
      <c r="D117" s="22" t="s">
        <v>117</v>
      </c>
      <c r="E117" s="22" t="s">
        <v>748</v>
      </c>
      <c r="F117" s="27"/>
      <c r="G117" s="30" t="s">
        <v>538</v>
      </c>
      <c r="H117" s="27" t="s">
        <v>749</v>
      </c>
      <c r="I117" s="27"/>
      <c r="J117" s="14" t="s">
        <v>91</v>
      </c>
      <c r="K117" s="14" t="s">
        <v>59</v>
      </c>
      <c r="L117" s="14" t="s">
        <v>103</v>
      </c>
      <c r="M117" s="14" t="s">
        <v>132</v>
      </c>
      <c r="N117" s="18" t="s">
        <v>202</v>
      </c>
      <c r="O117" s="14" t="s">
        <v>37</v>
      </c>
      <c r="P117" s="19">
        <v>42786.59097222222</v>
      </c>
      <c r="Q117" s="19">
        <v>42790.467361111114</v>
      </c>
      <c r="R117" s="19">
        <v>42790.467361111114</v>
      </c>
      <c r="S117" s="14" t="s">
        <v>203</v>
      </c>
      <c r="T117" s="14" t="s">
        <v>204</v>
      </c>
      <c r="U117" s="14" t="s">
        <v>242</v>
      </c>
      <c r="V117" s="14"/>
      <c r="W117" s="14">
        <v>0</v>
      </c>
      <c r="X117" s="14">
        <v>0</v>
      </c>
      <c r="Y117" s="14" t="s">
        <v>750</v>
      </c>
      <c r="Z117" s="14"/>
      <c r="AA117" s="14"/>
      <c r="AB117" s="14"/>
      <c r="AC117" s="14"/>
      <c r="AD117" s="14"/>
      <c r="AE117" s="14"/>
      <c r="AF117" s="14" t="s">
        <v>751</v>
      </c>
      <c r="AG117" s="14" t="s">
        <v>752</v>
      </c>
      <c r="AH117" s="14"/>
      <c r="AI117" s="14"/>
      <c r="AJ117" s="14"/>
      <c r="AK117" s="14"/>
      <c r="AL117" s="14"/>
      <c r="AM117" s="14"/>
      <c r="AN117" s="14" t="s">
        <v>302</v>
      </c>
      <c r="AO117" s="14" t="s">
        <v>753</v>
      </c>
      <c r="AP117" s="14" t="s">
        <v>146</v>
      </c>
      <c r="AQ117" s="14"/>
      <c r="AR117" s="22"/>
      <c r="AS117" s="22" t="s">
        <v>117</v>
      </c>
      <c r="AT117" s="22" t="s">
        <v>748</v>
      </c>
      <c r="AU117" s="25" t="str">
        <f>VLOOKUP(O117,[1]Lookup!A:B,2,FALSE)</f>
        <v>DMO</v>
      </c>
    </row>
    <row r="118" spans="1:47" ht="51.75" customHeight="1" x14ac:dyDescent="0.2">
      <c r="A118" s="27" t="s">
        <v>86</v>
      </c>
      <c r="B118" s="29" t="s">
        <v>754</v>
      </c>
      <c r="C118" s="27" t="s">
        <v>755</v>
      </c>
      <c r="D118" s="22" t="s">
        <v>241</v>
      </c>
      <c r="E118" s="22" t="s">
        <v>302</v>
      </c>
      <c r="F118" s="27"/>
      <c r="G118" s="27" t="s">
        <v>204</v>
      </c>
      <c r="H118" s="27"/>
      <c r="I118" s="27"/>
      <c r="J118" s="14" t="s">
        <v>91</v>
      </c>
      <c r="K118" s="14" t="s">
        <v>59</v>
      </c>
      <c r="L118" s="14" t="s">
        <v>93</v>
      </c>
      <c r="M118" s="14" t="s">
        <v>132</v>
      </c>
      <c r="N118" s="18" t="s">
        <v>24</v>
      </c>
      <c r="O118" s="14" t="s">
        <v>24</v>
      </c>
      <c r="P118" s="19">
        <v>42786.578472222223</v>
      </c>
      <c r="Q118" s="19">
        <v>42811.474999999999</v>
      </c>
      <c r="R118" s="19">
        <v>42802.65902777778</v>
      </c>
      <c r="S118" s="14" t="s">
        <v>139</v>
      </c>
      <c r="T118" s="14" t="s">
        <v>155</v>
      </c>
      <c r="U118" s="14" t="s">
        <v>117</v>
      </c>
      <c r="V118" s="14"/>
      <c r="W118" s="14">
        <v>0</v>
      </c>
      <c r="X118" s="14">
        <v>0</v>
      </c>
      <c r="Y118" s="14"/>
      <c r="Z118" s="14"/>
      <c r="AA118" s="14"/>
      <c r="AB118" s="14"/>
      <c r="AC118" s="14"/>
      <c r="AD118" s="14"/>
      <c r="AE118" s="14"/>
      <c r="AF118" s="14" t="s">
        <v>336</v>
      </c>
      <c r="AG118" s="14" t="s">
        <v>756</v>
      </c>
      <c r="AH118" s="14"/>
      <c r="AI118" s="14"/>
      <c r="AJ118" s="14"/>
      <c r="AK118" s="14"/>
      <c r="AL118" s="14"/>
      <c r="AM118" s="14"/>
      <c r="AN118" s="14" t="s">
        <v>99</v>
      </c>
      <c r="AO118" s="14" t="s">
        <v>757</v>
      </c>
      <c r="AP118" s="14"/>
      <c r="AQ118" s="14"/>
      <c r="AR118" s="22"/>
      <c r="AS118" s="22" t="s">
        <v>241</v>
      </c>
      <c r="AT118" s="22" t="s">
        <v>302</v>
      </c>
      <c r="AU118" s="25" t="str">
        <f>VLOOKUP(O118,[1]Lookup!A:B,2,FALSE)</f>
        <v>Test-SIT</v>
      </c>
    </row>
    <row r="119" spans="1:47" ht="51.75" customHeight="1" x14ac:dyDescent="0.2">
      <c r="A119" s="27" t="s">
        <v>86</v>
      </c>
      <c r="B119" s="29" t="s">
        <v>758</v>
      </c>
      <c r="C119" s="27" t="s">
        <v>759</v>
      </c>
      <c r="D119" s="22" t="s">
        <v>117</v>
      </c>
      <c r="E119" s="22" t="s">
        <v>90</v>
      </c>
      <c r="F119" s="27"/>
      <c r="G119" s="30" t="s">
        <v>538</v>
      </c>
      <c r="H119" s="27" t="s">
        <v>749</v>
      </c>
      <c r="I119" s="27"/>
      <c r="J119" s="14" t="s">
        <v>91</v>
      </c>
      <c r="K119" s="14" t="s">
        <v>59</v>
      </c>
      <c r="L119" s="14" t="s">
        <v>93</v>
      </c>
      <c r="M119" s="14" t="s">
        <v>132</v>
      </c>
      <c r="N119" s="18" t="s">
        <v>24</v>
      </c>
      <c r="O119" s="14" t="s">
        <v>24</v>
      </c>
      <c r="P119" s="19">
        <v>42786.559027777781</v>
      </c>
      <c r="Q119" s="19">
        <v>42811.477083333331</v>
      </c>
      <c r="R119" s="19">
        <v>42796.655555555553</v>
      </c>
      <c r="S119" s="14" t="s">
        <v>139</v>
      </c>
      <c r="T119" s="14" t="s">
        <v>155</v>
      </c>
      <c r="U119" s="14" t="s">
        <v>117</v>
      </c>
      <c r="V119" s="14"/>
      <c r="W119" s="14">
        <v>0</v>
      </c>
      <c r="X119" s="14">
        <v>0</v>
      </c>
      <c r="Y119" s="14"/>
      <c r="Z119" s="14"/>
      <c r="AA119" s="14"/>
      <c r="AB119" s="14"/>
      <c r="AC119" s="14"/>
      <c r="AD119" s="14"/>
      <c r="AE119" s="14"/>
      <c r="AF119" s="14" t="s">
        <v>156</v>
      </c>
      <c r="AG119" s="14" t="s">
        <v>760</v>
      </c>
      <c r="AH119" s="14"/>
      <c r="AI119" s="14"/>
      <c r="AJ119" s="14"/>
      <c r="AK119" s="14"/>
      <c r="AL119" s="14"/>
      <c r="AM119" s="14"/>
      <c r="AN119" s="14" t="s">
        <v>120</v>
      </c>
      <c r="AO119" s="14" t="s">
        <v>761</v>
      </c>
      <c r="AP119" s="14" t="s">
        <v>146</v>
      </c>
      <c r="AQ119" s="14"/>
      <c r="AR119" s="22"/>
      <c r="AS119" s="22" t="s">
        <v>117</v>
      </c>
      <c r="AT119" s="22" t="s">
        <v>99</v>
      </c>
      <c r="AU119" s="25" t="str">
        <f>VLOOKUP(O119,[1]Lookup!A:B,2,FALSE)</f>
        <v>Test-SIT</v>
      </c>
    </row>
    <row r="120" spans="1:47" ht="51.75" customHeight="1" x14ac:dyDescent="0.2">
      <c r="A120" s="27" t="s">
        <v>86</v>
      </c>
      <c r="B120" s="29" t="s">
        <v>762</v>
      </c>
      <c r="C120" s="27" t="s">
        <v>763</v>
      </c>
      <c r="D120" s="22" t="s">
        <v>117</v>
      </c>
      <c r="E120" s="22" t="s">
        <v>671</v>
      </c>
      <c r="F120" s="27"/>
      <c r="G120" s="27"/>
      <c r="H120" s="27"/>
      <c r="I120" s="27"/>
      <c r="J120" s="14" t="s">
        <v>91</v>
      </c>
      <c r="K120" s="14" t="s">
        <v>323</v>
      </c>
      <c r="L120" s="14" t="s">
        <v>124</v>
      </c>
      <c r="M120" s="17" t="s">
        <v>94</v>
      </c>
      <c r="N120" s="18" t="s">
        <v>18</v>
      </c>
      <c r="O120" s="14" t="s">
        <v>24</v>
      </c>
      <c r="P120" s="19">
        <v>42786.552777777775</v>
      </c>
      <c r="Q120" s="19">
        <v>42811.674305555556</v>
      </c>
      <c r="R120" s="14"/>
      <c r="S120" s="14" t="s">
        <v>139</v>
      </c>
      <c r="T120" s="14" t="s">
        <v>660</v>
      </c>
      <c r="U120" s="14" t="s">
        <v>117</v>
      </c>
      <c r="V120" s="14"/>
      <c r="W120" s="14">
        <v>0</v>
      </c>
      <c r="X120" s="14">
        <v>0</v>
      </c>
      <c r="Y120" s="14"/>
      <c r="Z120" s="14"/>
      <c r="AA120" s="14"/>
      <c r="AB120" s="14"/>
      <c r="AC120" s="14"/>
      <c r="AD120" s="14"/>
      <c r="AE120" s="14"/>
      <c r="AF120" s="14" t="s">
        <v>764</v>
      </c>
      <c r="AG120" s="14" t="s">
        <v>765</v>
      </c>
      <c r="AH120" s="14"/>
      <c r="AI120" s="14"/>
      <c r="AJ120" s="14"/>
      <c r="AK120" s="14"/>
      <c r="AL120" s="14"/>
      <c r="AM120" s="14"/>
      <c r="AN120" s="14" t="s">
        <v>766</v>
      </c>
      <c r="AO120" s="14" t="s">
        <v>767</v>
      </c>
      <c r="AP120" s="14"/>
      <c r="AQ120" s="14"/>
      <c r="AR120" s="22"/>
      <c r="AS120" s="22" t="s">
        <v>117</v>
      </c>
      <c r="AT120" s="22" t="s">
        <v>671</v>
      </c>
      <c r="AU120" s="25" t="str">
        <f>VLOOKUP(O120,[1]Lookup!A:B,2,FALSE)</f>
        <v>Test-SIT</v>
      </c>
    </row>
    <row r="121" spans="1:47" ht="51.75" customHeight="1" x14ac:dyDescent="0.2">
      <c r="A121" s="27" t="s">
        <v>86</v>
      </c>
      <c r="B121" s="29" t="s">
        <v>768</v>
      </c>
      <c r="C121" s="27" t="s">
        <v>769</v>
      </c>
      <c r="D121" s="22" t="s">
        <v>117</v>
      </c>
      <c r="E121" s="22" t="s">
        <v>770</v>
      </c>
      <c r="F121" s="27"/>
      <c r="G121" s="27" t="s">
        <v>660</v>
      </c>
      <c r="H121" s="27"/>
      <c r="I121" s="27"/>
      <c r="J121" s="14" t="s">
        <v>91</v>
      </c>
      <c r="K121" s="14" t="s">
        <v>59</v>
      </c>
      <c r="L121" s="14" t="s">
        <v>124</v>
      </c>
      <c r="M121" s="14" t="s">
        <v>132</v>
      </c>
      <c r="N121" s="18" t="s">
        <v>30</v>
      </c>
      <c r="O121" s="14" t="s">
        <v>19</v>
      </c>
      <c r="P121" s="19">
        <v>42786.505555555559</v>
      </c>
      <c r="Q121" s="19">
        <v>42788.518750000003</v>
      </c>
      <c r="R121" s="19">
        <v>42788.518750000003</v>
      </c>
      <c r="S121" s="14" t="s">
        <v>510</v>
      </c>
      <c r="T121" s="14" t="s">
        <v>204</v>
      </c>
      <c r="U121" s="14" t="s">
        <v>412</v>
      </c>
      <c r="V121" s="14"/>
      <c r="W121" s="14">
        <v>0</v>
      </c>
      <c r="X121" s="14">
        <v>0</v>
      </c>
      <c r="Y121" s="20" t="s">
        <v>771</v>
      </c>
      <c r="Z121" s="14"/>
      <c r="AA121" s="14"/>
      <c r="AB121" s="14"/>
      <c r="AC121" s="14"/>
      <c r="AD121" s="14"/>
      <c r="AE121" s="14"/>
      <c r="AF121" s="14" t="s">
        <v>193</v>
      </c>
      <c r="AG121" s="14" t="s">
        <v>772</v>
      </c>
      <c r="AH121" s="14"/>
      <c r="AI121" s="14"/>
      <c r="AJ121" s="14"/>
      <c r="AK121" s="14"/>
      <c r="AL121" s="14"/>
      <c r="AM121" s="14"/>
      <c r="AN121" s="14" t="s">
        <v>229</v>
      </c>
      <c r="AO121" s="14" t="s">
        <v>773</v>
      </c>
      <c r="AP121" s="14"/>
      <c r="AQ121" s="14"/>
      <c r="AR121" s="22"/>
      <c r="AS121" s="22" t="s">
        <v>117</v>
      </c>
      <c r="AT121" s="22" t="s">
        <v>770</v>
      </c>
      <c r="AU121" s="25" t="str">
        <f>VLOOKUP(O121,[1]Lookup!A:B,2,FALSE)</f>
        <v>Test-SIT</v>
      </c>
    </row>
    <row r="122" spans="1:47" ht="51.75" customHeight="1" x14ac:dyDescent="0.2">
      <c r="A122" s="27" t="s">
        <v>86</v>
      </c>
      <c r="B122" s="29" t="s">
        <v>774</v>
      </c>
      <c r="C122" s="27" t="s">
        <v>775</v>
      </c>
      <c r="D122" s="22" t="s">
        <v>89</v>
      </c>
      <c r="E122" s="22" t="s">
        <v>229</v>
      </c>
      <c r="F122" s="27"/>
      <c r="G122" s="27" t="s">
        <v>204</v>
      </c>
      <c r="H122" s="27"/>
      <c r="I122" s="27"/>
      <c r="J122" s="14" t="s">
        <v>91</v>
      </c>
      <c r="K122" s="14" t="s">
        <v>59</v>
      </c>
      <c r="L122" s="14" t="s">
        <v>103</v>
      </c>
      <c r="M122" s="14" t="s">
        <v>132</v>
      </c>
      <c r="N122" s="18" t="s">
        <v>202</v>
      </c>
      <c r="O122" s="14" t="s">
        <v>37</v>
      </c>
      <c r="P122" s="19">
        <v>42786.497916666667</v>
      </c>
      <c r="Q122" s="19">
        <v>42790.470138888886</v>
      </c>
      <c r="R122" s="19">
        <v>42790.470138888886</v>
      </c>
      <c r="S122" s="14" t="s">
        <v>203</v>
      </c>
      <c r="T122" s="14" t="s">
        <v>203</v>
      </c>
      <c r="U122" s="14" t="s">
        <v>242</v>
      </c>
      <c r="V122" s="14"/>
      <c r="W122" s="14">
        <v>0</v>
      </c>
      <c r="X122" s="14">
        <v>0</v>
      </c>
      <c r="Y122" s="14" t="s">
        <v>776</v>
      </c>
      <c r="Z122" s="14"/>
      <c r="AA122" s="14"/>
      <c r="AB122" s="14"/>
      <c r="AC122" s="14"/>
      <c r="AD122" s="14"/>
      <c r="AE122" s="14"/>
      <c r="AF122" s="14" t="s">
        <v>126</v>
      </c>
      <c r="AG122" s="14" t="s">
        <v>777</v>
      </c>
      <c r="AH122" s="14"/>
      <c r="AI122" s="14"/>
      <c r="AJ122" s="14"/>
      <c r="AK122" s="14"/>
      <c r="AL122" s="14"/>
      <c r="AM122" s="14"/>
      <c r="AN122" s="14" t="s">
        <v>302</v>
      </c>
      <c r="AO122" s="14" t="s">
        <v>778</v>
      </c>
      <c r="AP122" s="14" t="s">
        <v>779</v>
      </c>
      <c r="AQ122" s="14"/>
      <c r="AR122" s="22"/>
      <c r="AS122" s="22" t="s">
        <v>89</v>
      </c>
      <c r="AT122" s="22" t="s">
        <v>229</v>
      </c>
      <c r="AU122" s="25" t="str">
        <f>VLOOKUP(O122,[1]Lookup!A:B,2,FALSE)</f>
        <v>DMO</v>
      </c>
    </row>
    <row r="123" spans="1:47" ht="51.75" customHeight="1" x14ac:dyDescent="0.2">
      <c r="A123" s="27" t="s">
        <v>86</v>
      </c>
      <c r="B123" s="29" t="s">
        <v>780</v>
      </c>
      <c r="C123" s="27" t="s">
        <v>781</v>
      </c>
      <c r="D123" s="22" t="s">
        <v>89</v>
      </c>
      <c r="E123" s="22" t="s">
        <v>398</v>
      </c>
      <c r="F123" s="27"/>
      <c r="G123" s="27" t="s">
        <v>203</v>
      </c>
      <c r="H123" s="27"/>
      <c r="I123" s="27"/>
      <c r="J123" s="14" t="s">
        <v>91</v>
      </c>
      <c r="K123" s="14" t="s">
        <v>59</v>
      </c>
      <c r="L123" s="14" t="s">
        <v>93</v>
      </c>
      <c r="M123" s="14" t="s">
        <v>132</v>
      </c>
      <c r="N123" s="18" t="s">
        <v>19</v>
      </c>
      <c r="O123" s="14" t="s">
        <v>19</v>
      </c>
      <c r="P123" s="19">
        <v>42786.490277777775</v>
      </c>
      <c r="Q123" s="19">
        <v>42787.866666666669</v>
      </c>
      <c r="R123" s="19">
        <v>42787.866666666669</v>
      </c>
      <c r="S123" s="14" t="s">
        <v>510</v>
      </c>
      <c r="T123" s="14" t="s">
        <v>659</v>
      </c>
      <c r="U123" s="14" t="s">
        <v>96</v>
      </c>
      <c r="V123" s="14"/>
      <c r="W123" s="14">
        <v>0</v>
      </c>
      <c r="X123" s="14">
        <v>0</v>
      </c>
      <c r="Y123" s="14"/>
      <c r="Z123" s="14"/>
      <c r="AA123" s="14"/>
      <c r="AB123" s="14"/>
      <c r="AC123" s="14"/>
      <c r="AD123" s="14"/>
      <c r="AE123" s="14"/>
      <c r="AF123" s="14" t="s">
        <v>529</v>
      </c>
      <c r="AG123" s="14" t="s">
        <v>782</v>
      </c>
      <c r="AH123" s="14"/>
      <c r="AI123" s="14"/>
      <c r="AJ123" s="14"/>
      <c r="AK123" s="14"/>
      <c r="AL123" s="14"/>
      <c r="AM123" s="14"/>
      <c r="AN123" s="14" t="s">
        <v>99</v>
      </c>
      <c r="AO123" s="14" t="s">
        <v>783</v>
      </c>
      <c r="AP123" s="14"/>
      <c r="AQ123" s="14"/>
      <c r="AR123" s="22"/>
      <c r="AS123" s="22" t="s">
        <v>89</v>
      </c>
      <c r="AT123" s="22" t="s">
        <v>398</v>
      </c>
      <c r="AU123" s="25" t="str">
        <f>VLOOKUP(O123,[1]Lookup!A:B,2,FALSE)</f>
        <v>Test-SIT</v>
      </c>
    </row>
    <row r="124" spans="1:47" ht="51.75" customHeight="1" x14ac:dyDescent="0.2">
      <c r="A124" s="27" t="s">
        <v>86</v>
      </c>
      <c r="B124" s="29" t="s">
        <v>784</v>
      </c>
      <c r="C124" s="27" t="s">
        <v>785</v>
      </c>
      <c r="D124" s="22" t="s">
        <v>89</v>
      </c>
      <c r="E124" s="22" t="s">
        <v>398</v>
      </c>
      <c r="F124" s="27"/>
      <c r="G124" s="27" t="s">
        <v>659</v>
      </c>
      <c r="H124" s="27"/>
      <c r="I124" s="27"/>
      <c r="J124" s="14" t="s">
        <v>91</v>
      </c>
      <c r="K124" s="14" t="s">
        <v>59</v>
      </c>
      <c r="L124" s="14" t="s">
        <v>103</v>
      </c>
      <c r="M124" s="14" t="s">
        <v>132</v>
      </c>
      <c r="N124" s="18" t="s">
        <v>202</v>
      </c>
      <c r="O124" s="14" t="s">
        <v>37</v>
      </c>
      <c r="P124" s="19">
        <v>42786.456250000003</v>
      </c>
      <c r="Q124" s="19">
        <v>42790.675694444442</v>
      </c>
      <c r="R124" s="19">
        <v>42790.675694444442</v>
      </c>
      <c r="S124" s="14" t="s">
        <v>203</v>
      </c>
      <c r="T124" s="14" t="s">
        <v>203</v>
      </c>
      <c r="U124" s="14" t="s">
        <v>242</v>
      </c>
      <c r="V124" s="14"/>
      <c r="W124" s="14">
        <v>0</v>
      </c>
      <c r="X124" s="14">
        <v>0</v>
      </c>
      <c r="Y124" s="14" t="s">
        <v>786</v>
      </c>
      <c r="Z124" s="14"/>
      <c r="AA124" s="14"/>
      <c r="AB124" s="14"/>
      <c r="AC124" s="14"/>
      <c r="AD124" s="14"/>
      <c r="AE124" s="14"/>
      <c r="AF124" s="14" t="s">
        <v>126</v>
      </c>
      <c r="AG124" s="14" t="s">
        <v>787</v>
      </c>
      <c r="AH124" s="14"/>
      <c r="AI124" s="14"/>
      <c r="AJ124" s="14"/>
      <c r="AK124" s="14"/>
      <c r="AL124" s="14"/>
      <c r="AM124" s="14"/>
      <c r="AN124" s="14" t="s">
        <v>788</v>
      </c>
      <c r="AO124" s="14" t="s">
        <v>789</v>
      </c>
      <c r="AP124" s="14"/>
      <c r="AQ124" s="14"/>
      <c r="AR124" s="22"/>
      <c r="AS124" s="22" t="s">
        <v>89</v>
      </c>
      <c r="AT124" s="22" t="s">
        <v>398</v>
      </c>
      <c r="AU124" s="25" t="str">
        <f>VLOOKUP(O124,[1]Lookup!A:B,2,FALSE)</f>
        <v>DMO</v>
      </c>
    </row>
    <row r="125" spans="1:47" ht="51.75" customHeight="1" x14ac:dyDescent="0.2">
      <c r="A125" s="27" t="s">
        <v>86</v>
      </c>
      <c r="B125" s="29" t="s">
        <v>790</v>
      </c>
      <c r="C125" s="27" t="s">
        <v>791</v>
      </c>
      <c r="D125" s="22" t="s">
        <v>241</v>
      </c>
      <c r="E125" s="22" t="s">
        <v>792</v>
      </c>
      <c r="F125" s="27"/>
      <c r="G125" s="27" t="s">
        <v>203</v>
      </c>
      <c r="H125" s="27"/>
      <c r="I125" s="27"/>
      <c r="J125" s="14" t="s">
        <v>91</v>
      </c>
      <c r="K125" s="14" t="s">
        <v>59</v>
      </c>
      <c r="L125" s="14" t="s">
        <v>93</v>
      </c>
      <c r="M125" s="14" t="s">
        <v>132</v>
      </c>
      <c r="N125" s="18" t="s">
        <v>30</v>
      </c>
      <c r="O125" s="14" t="s">
        <v>19</v>
      </c>
      <c r="P125" s="19">
        <v>42786.414583333331</v>
      </c>
      <c r="Q125" s="19">
        <v>42794.543749999997</v>
      </c>
      <c r="R125" s="19">
        <v>42794.543749999997</v>
      </c>
      <c r="S125" s="14" t="s">
        <v>510</v>
      </c>
      <c r="T125" s="14" t="s">
        <v>510</v>
      </c>
      <c r="U125" s="14" t="s">
        <v>412</v>
      </c>
      <c r="V125" s="14"/>
      <c r="W125" s="14">
        <v>0</v>
      </c>
      <c r="X125" s="14">
        <v>0</v>
      </c>
      <c r="Y125" s="14"/>
      <c r="Z125" s="14"/>
      <c r="AA125" s="14"/>
      <c r="AB125" s="14"/>
      <c r="AC125" s="14"/>
      <c r="AD125" s="14"/>
      <c r="AE125" s="14"/>
      <c r="AF125" s="14" t="s">
        <v>529</v>
      </c>
      <c r="AG125" s="14" t="s">
        <v>793</v>
      </c>
      <c r="AH125" s="14"/>
      <c r="AI125" s="14"/>
      <c r="AJ125" s="14"/>
      <c r="AK125" s="14"/>
      <c r="AL125" s="14"/>
      <c r="AM125" s="14"/>
      <c r="AN125" s="14" t="s">
        <v>99</v>
      </c>
      <c r="AO125" s="14" t="s">
        <v>605</v>
      </c>
      <c r="AP125" s="14"/>
      <c r="AQ125" s="14"/>
      <c r="AR125" s="22"/>
      <c r="AS125" s="22" t="s">
        <v>241</v>
      </c>
      <c r="AT125" s="22" t="s">
        <v>792</v>
      </c>
      <c r="AU125" s="25" t="str">
        <f>VLOOKUP(O125,[1]Lookup!A:B,2,FALSE)</f>
        <v>Test-SIT</v>
      </c>
    </row>
    <row r="126" spans="1:47" ht="51.75" customHeight="1" x14ac:dyDescent="0.2">
      <c r="A126" s="27" t="s">
        <v>86</v>
      </c>
      <c r="B126" s="29" t="s">
        <v>794</v>
      </c>
      <c r="C126" s="27" t="s">
        <v>795</v>
      </c>
      <c r="D126" s="22" t="s">
        <v>89</v>
      </c>
      <c r="E126" s="22" t="s">
        <v>398</v>
      </c>
      <c r="F126" s="37" t="s">
        <v>608</v>
      </c>
      <c r="G126" s="38" t="s">
        <v>510</v>
      </c>
      <c r="H126" s="38"/>
      <c r="I126" s="37" t="s">
        <v>609</v>
      </c>
      <c r="J126" s="14" t="s">
        <v>91</v>
      </c>
      <c r="K126" s="14" t="s">
        <v>59</v>
      </c>
      <c r="L126" s="14" t="s">
        <v>167</v>
      </c>
      <c r="M126" s="14" t="s">
        <v>132</v>
      </c>
      <c r="N126" s="18" t="s">
        <v>23</v>
      </c>
      <c r="O126" s="14" t="s">
        <v>23</v>
      </c>
      <c r="P126" s="19">
        <v>42783.841666666667</v>
      </c>
      <c r="Q126" s="19">
        <v>42800.611111111109</v>
      </c>
      <c r="R126" s="19">
        <v>42791.625</v>
      </c>
      <c r="S126" s="14" t="s">
        <v>518</v>
      </c>
      <c r="T126" s="14" t="s">
        <v>204</v>
      </c>
      <c r="U126" s="14" t="s">
        <v>117</v>
      </c>
      <c r="V126" s="14"/>
      <c r="W126" s="14">
        <v>0</v>
      </c>
      <c r="X126" s="14">
        <v>0</v>
      </c>
      <c r="Y126" s="14"/>
      <c r="Z126" s="14"/>
      <c r="AA126" s="14"/>
      <c r="AB126" s="14"/>
      <c r="AC126" s="14"/>
      <c r="AD126" s="14"/>
      <c r="AE126" s="14"/>
      <c r="AF126" s="14"/>
      <c r="AG126" s="14" t="s">
        <v>796</v>
      </c>
      <c r="AH126" s="14"/>
      <c r="AI126" s="14"/>
      <c r="AJ126" s="14"/>
      <c r="AK126" s="14"/>
      <c r="AL126" s="14"/>
      <c r="AM126" s="14"/>
      <c r="AN126" s="14" t="s">
        <v>408</v>
      </c>
      <c r="AO126" s="14"/>
      <c r="AP126" s="14"/>
      <c r="AQ126" s="14"/>
      <c r="AR126" s="22"/>
      <c r="AS126" s="22" t="s">
        <v>89</v>
      </c>
      <c r="AT126" s="22" t="s">
        <v>398</v>
      </c>
      <c r="AU126" s="25" t="str">
        <f>VLOOKUP(O126,[1]Lookup!A:B,2,FALSE)</f>
        <v>Test-SIT</v>
      </c>
    </row>
    <row r="127" spans="1:47" ht="51.75" customHeight="1" x14ac:dyDescent="0.2">
      <c r="A127" s="27" t="s">
        <v>86</v>
      </c>
      <c r="B127" s="29" t="s">
        <v>797</v>
      </c>
      <c r="C127" s="27" t="s">
        <v>798</v>
      </c>
      <c r="D127" s="22" t="s">
        <v>117</v>
      </c>
      <c r="E127" s="22" t="s">
        <v>229</v>
      </c>
      <c r="F127" s="27"/>
      <c r="G127" s="27" t="s">
        <v>660</v>
      </c>
      <c r="H127" s="27"/>
      <c r="I127" s="27"/>
      <c r="J127" s="14" t="s">
        <v>91</v>
      </c>
      <c r="K127" s="14" t="s">
        <v>59</v>
      </c>
      <c r="L127" s="14" t="s">
        <v>103</v>
      </c>
      <c r="M127" s="14" t="s">
        <v>132</v>
      </c>
      <c r="N127" s="18" t="s">
        <v>202</v>
      </c>
      <c r="O127" s="14" t="s">
        <v>37</v>
      </c>
      <c r="P127" s="19">
        <v>42783.761111111111</v>
      </c>
      <c r="Q127" s="19">
        <v>42790.583333333336</v>
      </c>
      <c r="R127" s="19">
        <v>42790.583333333336</v>
      </c>
      <c r="S127" s="14" t="s">
        <v>203</v>
      </c>
      <c r="T127" s="14" t="s">
        <v>203</v>
      </c>
      <c r="U127" s="14" t="s">
        <v>242</v>
      </c>
      <c r="V127" s="14"/>
      <c r="W127" s="14">
        <v>0</v>
      </c>
      <c r="X127" s="14">
        <v>0</v>
      </c>
      <c r="Y127" s="14"/>
      <c r="Z127" s="14"/>
      <c r="AA127" s="14"/>
      <c r="AB127" s="14"/>
      <c r="AC127" s="14"/>
      <c r="AD127" s="14"/>
      <c r="AE127" s="14"/>
      <c r="AF127" s="14" t="s">
        <v>126</v>
      </c>
      <c r="AG127" s="14" t="s">
        <v>799</v>
      </c>
      <c r="AH127" s="14"/>
      <c r="AI127" s="14"/>
      <c r="AJ127" s="14"/>
      <c r="AK127" s="14"/>
      <c r="AL127" s="14"/>
      <c r="AM127" s="14"/>
      <c r="AN127" s="14" t="s">
        <v>302</v>
      </c>
      <c r="AO127" s="14" t="s">
        <v>800</v>
      </c>
      <c r="AP127" s="14" t="s">
        <v>163</v>
      </c>
      <c r="AQ127" s="14"/>
      <c r="AR127" s="22"/>
      <c r="AS127" s="22" t="s">
        <v>117</v>
      </c>
      <c r="AT127" s="22" t="s">
        <v>229</v>
      </c>
      <c r="AU127" s="25" t="str">
        <f>VLOOKUP(O127,[1]Lookup!A:B,2,FALSE)</f>
        <v>DMO</v>
      </c>
    </row>
    <row r="128" spans="1:47" ht="51.75" customHeight="1" x14ac:dyDescent="0.2">
      <c r="A128" s="27" t="s">
        <v>86</v>
      </c>
      <c r="B128" s="29" t="s">
        <v>801</v>
      </c>
      <c r="C128" s="27" t="s">
        <v>802</v>
      </c>
      <c r="D128" s="22" t="s">
        <v>241</v>
      </c>
      <c r="E128" s="22" t="s">
        <v>166</v>
      </c>
      <c r="F128" s="27"/>
      <c r="G128" s="27" t="s">
        <v>203</v>
      </c>
      <c r="H128" s="27"/>
      <c r="I128" s="27"/>
      <c r="J128" s="14" t="s">
        <v>91</v>
      </c>
      <c r="K128" s="14" t="s">
        <v>59</v>
      </c>
      <c r="L128" s="14" t="s">
        <v>93</v>
      </c>
      <c r="M128" s="14" t="s">
        <v>132</v>
      </c>
      <c r="N128" s="18" t="s">
        <v>19</v>
      </c>
      <c r="O128" s="14" t="s">
        <v>19</v>
      </c>
      <c r="P128" s="19">
        <v>42783.759722222225</v>
      </c>
      <c r="Q128" s="19">
        <v>42802.701388888891</v>
      </c>
      <c r="R128" s="19">
        <v>42802.701388888891</v>
      </c>
      <c r="S128" s="14" t="s">
        <v>642</v>
      </c>
      <c r="T128" s="14" t="s">
        <v>155</v>
      </c>
      <c r="U128" s="14" t="s">
        <v>412</v>
      </c>
      <c r="V128" s="14"/>
      <c r="W128" s="14">
        <v>0</v>
      </c>
      <c r="X128" s="14">
        <v>0</v>
      </c>
      <c r="Y128" s="14"/>
      <c r="Z128" s="14"/>
      <c r="AA128" s="14"/>
      <c r="AB128" s="14"/>
      <c r="AC128" s="14"/>
      <c r="AD128" s="14"/>
      <c r="AE128" s="14"/>
      <c r="AF128" s="14" t="s">
        <v>529</v>
      </c>
      <c r="AG128" s="14" t="s">
        <v>803</v>
      </c>
      <c r="AH128" s="14"/>
      <c r="AI128" s="14"/>
      <c r="AJ128" s="14"/>
      <c r="AK128" s="14"/>
      <c r="AL128" s="14"/>
      <c r="AM128" s="14"/>
      <c r="AN128" s="14" t="s">
        <v>99</v>
      </c>
      <c r="AO128" s="14" t="s">
        <v>804</v>
      </c>
      <c r="AP128" s="14"/>
      <c r="AQ128" s="14"/>
      <c r="AR128" s="22"/>
      <c r="AS128" s="22" t="s">
        <v>241</v>
      </c>
      <c r="AT128" s="22" t="s">
        <v>166</v>
      </c>
      <c r="AU128" s="25" t="str">
        <f>VLOOKUP(O128,[1]Lookup!A:B,2,FALSE)</f>
        <v>Test-SIT</v>
      </c>
    </row>
    <row r="129" spans="1:47" ht="69.75" customHeight="1" x14ac:dyDescent="0.2">
      <c r="A129" s="27" t="s">
        <v>86</v>
      </c>
      <c r="B129" s="29" t="s">
        <v>805</v>
      </c>
      <c r="C129" s="26" t="s">
        <v>806</v>
      </c>
      <c r="D129" s="22" t="s">
        <v>89</v>
      </c>
      <c r="E129" s="22" t="s">
        <v>807</v>
      </c>
      <c r="F129" s="26" t="s">
        <v>808</v>
      </c>
      <c r="G129" s="26" t="s">
        <v>373</v>
      </c>
      <c r="H129" s="26" t="s">
        <v>526</v>
      </c>
      <c r="I129" s="26" t="s">
        <v>527</v>
      </c>
      <c r="J129" s="14" t="s">
        <v>91</v>
      </c>
      <c r="K129" s="14" t="s">
        <v>59</v>
      </c>
      <c r="L129" s="14" t="s">
        <v>167</v>
      </c>
      <c r="M129" s="14" t="s">
        <v>132</v>
      </c>
      <c r="N129" s="18" t="s">
        <v>202</v>
      </c>
      <c r="O129" s="14" t="s">
        <v>37</v>
      </c>
      <c r="P129" s="19">
        <v>42783.745833333334</v>
      </c>
      <c r="Q129" s="19">
        <v>42790.5625</v>
      </c>
      <c r="R129" s="19">
        <v>42790.5625</v>
      </c>
      <c r="S129" s="14" t="s">
        <v>203</v>
      </c>
      <c r="T129" s="14" t="s">
        <v>203</v>
      </c>
      <c r="U129" s="14" t="s">
        <v>242</v>
      </c>
      <c r="V129" s="14"/>
      <c r="W129" s="14">
        <v>0</v>
      </c>
      <c r="X129" s="14">
        <v>0</v>
      </c>
      <c r="Y129" s="14" t="s">
        <v>809</v>
      </c>
      <c r="Z129" s="14"/>
      <c r="AA129" s="14"/>
      <c r="AB129" s="14"/>
      <c r="AC129" s="14"/>
      <c r="AD129" s="14"/>
      <c r="AE129" s="14"/>
      <c r="AF129" s="14" t="s">
        <v>126</v>
      </c>
      <c r="AG129" s="14" t="s">
        <v>810</v>
      </c>
      <c r="AH129" s="14"/>
      <c r="AI129" s="14"/>
      <c r="AJ129" s="14"/>
      <c r="AK129" s="14"/>
      <c r="AL129" s="14"/>
      <c r="AM129" s="14"/>
      <c r="AN129" s="14" t="s">
        <v>123</v>
      </c>
      <c r="AO129" s="14" t="s">
        <v>704</v>
      </c>
      <c r="AP129" s="14" t="s">
        <v>556</v>
      </c>
      <c r="AQ129" s="14"/>
      <c r="AR129" s="22"/>
      <c r="AS129" s="22" t="s">
        <v>89</v>
      </c>
      <c r="AT129" s="22" t="s">
        <v>99</v>
      </c>
      <c r="AU129" s="25" t="str">
        <f>VLOOKUP(O129,[1]Lookup!A:B,2,FALSE)</f>
        <v>DMO</v>
      </c>
    </row>
    <row r="130" spans="1:47" ht="51.75" customHeight="1" x14ac:dyDescent="0.2">
      <c r="A130" s="27" t="s">
        <v>86</v>
      </c>
      <c r="B130" s="29" t="s">
        <v>811</v>
      </c>
      <c r="C130" s="27" t="s">
        <v>812</v>
      </c>
      <c r="D130" s="22" t="s">
        <v>241</v>
      </c>
      <c r="E130" s="22" t="s">
        <v>123</v>
      </c>
      <c r="F130" s="27"/>
      <c r="G130" s="27" t="s">
        <v>203</v>
      </c>
      <c r="H130" s="27"/>
      <c r="I130" s="27"/>
      <c r="J130" s="14" t="s">
        <v>91</v>
      </c>
      <c r="K130" s="14" t="s">
        <v>59</v>
      </c>
      <c r="L130" s="14" t="s">
        <v>124</v>
      </c>
      <c r="M130" s="14" t="s">
        <v>132</v>
      </c>
      <c r="N130" s="18" t="s">
        <v>19</v>
      </c>
      <c r="O130" s="14" t="s">
        <v>19</v>
      </c>
      <c r="P130" s="19">
        <v>42783.738888888889</v>
      </c>
      <c r="Q130" s="19">
        <v>42787.865277777775</v>
      </c>
      <c r="R130" s="19">
        <v>42787.865277777775</v>
      </c>
      <c r="S130" s="14" t="s">
        <v>510</v>
      </c>
      <c r="T130" s="14"/>
      <c r="U130" s="14" t="s">
        <v>96</v>
      </c>
      <c r="V130" s="14"/>
      <c r="W130" s="14">
        <v>0</v>
      </c>
      <c r="X130" s="14">
        <v>0</v>
      </c>
      <c r="Y130" s="20" t="s">
        <v>813</v>
      </c>
      <c r="Z130" s="14"/>
      <c r="AA130" s="14"/>
      <c r="AB130" s="14"/>
      <c r="AC130" s="14"/>
      <c r="AD130" s="14"/>
      <c r="AE130" s="14"/>
      <c r="AF130" s="14" t="s">
        <v>529</v>
      </c>
      <c r="AG130" s="14" t="s">
        <v>814</v>
      </c>
      <c r="AH130" s="14"/>
      <c r="AI130" s="14"/>
      <c r="AJ130" s="14"/>
      <c r="AK130" s="14"/>
      <c r="AL130" s="14"/>
      <c r="AM130" s="14"/>
      <c r="AN130" s="14"/>
      <c r="AO130" s="14" t="s">
        <v>815</v>
      </c>
      <c r="AP130" s="14"/>
      <c r="AQ130" s="14"/>
      <c r="AR130" s="22"/>
      <c r="AS130" s="22" t="s">
        <v>241</v>
      </c>
      <c r="AT130" s="22" t="s">
        <v>123</v>
      </c>
      <c r="AU130" s="25" t="str">
        <f>VLOOKUP(O130,[1]Lookup!A:B,2,FALSE)</f>
        <v>Test-SIT</v>
      </c>
    </row>
    <row r="131" spans="1:47" ht="51.75" customHeight="1" x14ac:dyDescent="0.2">
      <c r="A131" s="27" t="s">
        <v>86</v>
      </c>
      <c r="B131" s="29" t="s">
        <v>816</v>
      </c>
      <c r="C131" s="27" t="s">
        <v>817</v>
      </c>
      <c r="D131" s="22" t="s">
        <v>96</v>
      </c>
      <c r="E131" s="22" t="s">
        <v>166</v>
      </c>
      <c r="F131" s="27"/>
      <c r="G131" s="27"/>
      <c r="H131" s="27"/>
      <c r="I131" s="27"/>
      <c r="J131" s="14" t="s">
        <v>91</v>
      </c>
      <c r="K131" s="14" t="s">
        <v>59</v>
      </c>
      <c r="L131" s="14" t="s">
        <v>103</v>
      </c>
      <c r="M131" s="14" t="s">
        <v>132</v>
      </c>
      <c r="N131" s="18" t="s">
        <v>202</v>
      </c>
      <c r="O131" s="14" t="s">
        <v>36</v>
      </c>
      <c r="P131" s="19">
        <v>42783.656944444447</v>
      </c>
      <c r="Q131" s="19">
        <v>42787.492361111108</v>
      </c>
      <c r="R131" s="19">
        <v>42787.492361111108</v>
      </c>
      <c r="S131" s="14" t="s">
        <v>203</v>
      </c>
      <c r="T131" s="14"/>
      <c r="U131" s="14" t="s">
        <v>96</v>
      </c>
      <c r="V131" s="14"/>
      <c r="W131" s="14">
        <v>0</v>
      </c>
      <c r="X131" s="14">
        <v>0</v>
      </c>
      <c r="Y131" s="20" t="s">
        <v>818</v>
      </c>
      <c r="Z131" s="14"/>
      <c r="AA131" s="14"/>
      <c r="AB131" s="14"/>
      <c r="AC131" s="14"/>
      <c r="AD131" s="14"/>
      <c r="AE131" s="14"/>
      <c r="AF131" s="14" t="s">
        <v>126</v>
      </c>
      <c r="AG131" s="14" t="s">
        <v>819</v>
      </c>
      <c r="AH131" s="14"/>
      <c r="AI131" s="14"/>
      <c r="AJ131" s="14"/>
      <c r="AK131" s="14"/>
      <c r="AL131" s="14"/>
      <c r="AM131" s="14"/>
      <c r="AN131" s="14"/>
      <c r="AO131" s="14" t="s">
        <v>820</v>
      </c>
      <c r="AP131" s="14"/>
      <c r="AQ131" s="14"/>
      <c r="AR131" s="22"/>
      <c r="AS131" s="22" t="s">
        <v>96</v>
      </c>
      <c r="AT131" s="22" t="s">
        <v>166</v>
      </c>
      <c r="AU131" s="25" t="str">
        <f>VLOOKUP(O131,[1]Lookup!A:B,2,FALSE)</f>
        <v>DMO</v>
      </c>
    </row>
    <row r="132" spans="1:47" ht="51.75" customHeight="1" x14ac:dyDescent="0.2">
      <c r="A132" s="27" t="s">
        <v>86</v>
      </c>
      <c r="B132" s="29" t="s">
        <v>821</v>
      </c>
      <c r="C132" s="27" t="s">
        <v>822</v>
      </c>
      <c r="D132" s="22" t="s">
        <v>96</v>
      </c>
      <c r="E132" s="22" t="s">
        <v>166</v>
      </c>
      <c r="F132" s="27"/>
      <c r="G132" s="27"/>
      <c r="H132" s="27"/>
      <c r="I132" s="27"/>
      <c r="J132" s="14" t="s">
        <v>91</v>
      </c>
      <c r="K132" s="14" t="s">
        <v>59</v>
      </c>
      <c r="L132" s="14" t="s">
        <v>167</v>
      </c>
      <c r="M132" s="14" t="s">
        <v>132</v>
      </c>
      <c r="N132" s="18" t="s">
        <v>21</v>
      </c>
      <c r="O132" s="14" t="s">
        <v>38</v>
      </c>
      <c r="P132" s="19">
        <v>42783.444444444445</v>
      </c>
      <c r="Q132" s="19">
        <v>42787.492361111108</v>
      </c>
      <c r="R132" s="19">
        <v>42787.492361111108</v>
      </c>
      <c r="S132" s="14" t="s">
        <v>203</v>
      </c>
      <c r="T132" s="14" t="s">
        <v>203</v>
      </c>
      <c r="U132" s="14" t="s">
        <v>96</v>
      </c>
      <c r="V132" s="14"/>
      <c r="W132" s="14">
        <v>0</v>
      </c>
      <c r="X132" s="14">
        <v>0</v>
      </c>
      <c r="Y132" s="14"/>
      <c r="Z132" s="14"/>
      <c r="AA132" s="14"/>
      <c r="AB132" s="14"/>
      <c r="AC132" s="14"/>
      <c r="AD132" s="14"/>
      <c r="AE132" s="14"/>
      <c r="AF132" s="14" t="s">
        <v>823</v>
      </c>
      <c r="AG132" s="14" t="s">
        <v>824</v>
      </c>
      <c r="AH132" s="14"/>
      <c r="AI132" s="14"/>
      <c r="AJ132" s="14"/>
      <c r="AK132" s="14"/>
      <c r="AL132" s="14"/>
      <c r="AM132" s="14"/>
      <c r="AN132" s="14"/>
      <c r="AO132" s="14" t="s">
        <v>381</v>
      </c>
      <c r="AP132" s="14"/>
      <c r="AQ132" s="14"/>
      <c r="AR132" s="22"/>
      <c r="AS132" s="22" t="s">
        <v>96</v>
      </c>
      <c r="AT132" s="22" t="s">
        <v>166</v>
      </c>
      <c r="AU132" s="25" t="str">
        <f>VLOOKUP(O132,[1]Lookup!A:B,2,FALSE)</f>
        <v>DMO</v>
      </c>
    </row>
    <row r="133" spans="1:47" ht="51.75" customHeight="1" x14ac:dyDescent="0.2">
      <c r="A133" s="27" t="s">
        <v>86</v>
      </c>
      <c r="B133" s="29" t="s">
        <v>825</v>
      </c>
      <c r="C133" s="27" t="s">
        <v>826</v>
      </c>
      <c r="D133" s="22" t="s">
        <v>229</v>
      </c>
      <c r="E133" s="22" t="s">
        <v>229</v>
      </c>
      <c r="F133" s="27"/>
      <c r="G133" s="27" t="s">
        <v>203</v>
      </c>
      <c r="H133" s="27"/>
      <c r="I133" s="27"/>
      <c r="J133" s="14" t="s">
        <v>91</v>
      </c>
      <c r="K133" s="14" t="s">
        <v>59</v>
      </c>
      <c r="L133" s="14" t="s">
        <v>103</v>
      </c>
      <c r="M133" s="14" t="s">
        <v>132</v>
      </c>
      <c r="N133" s="18" t="s">
        <v>8</v>
      </c>
      <c r="O133" s="14" t="s">
        <v>37</v>
      </c>
      <c r="P133" s="19">
        <v>42783.438888888886</v>
      </c>
      <c r="Q133" s="19">
        <v>42790.555555555555</v>
      </c>
      <c r="R133" s="19">
        <v>42790.555555555555</v>
      </c>
      <c r="S133" s="14" t="s">
        <v>203</v>
      </c>
      <c r="T133" s="14" t="s">
        <v>203</v>
      </c>
      <c r="U133" s="14" t="s">
        <v>242</v>
      </c>
      <c r="V133" s="14"/>
      <c r="W133" s="14">
        <v>0</v>
      </c>
      <c r="X133" s="14">
        <v>0</v>
      </c>
      <c r="Y133" s="14" t="s">
        <v>827</v>
      </c>
      <c r="Z133" s="14"/>
      <c r="AA133" s="14"/>
      <c r="AB133" s="14"/>
      <c r="AC133" s="14"/>
      <c r="AD133" s="14"/>
      <c r="AE133" s="14"/>
      <c r="AF133" s="14" t="s">
        <v>126</v>
      </c>
      <c r="AG133" s="14" t="s">
        <v>828</v>
      </c>
      <c r="AH133" s="14"/>
      <c r="AI133" s="14"/>
      <c r="AJ133" s="14"/>
      <c r="AK133" s="14"/>
      <c r="AL133" s="14"/>
      <c r="AM133" s="14"/>
      <c r="AN133" s="14" t="s">
        <v>123</v>
      </c>
      <c r="AO133" s="14" t="s">
        <v>704</v>
      </c>
      <c r="AP133" s="14" t="s">
        <v>556</v>
      </c>
      <c r="AQ133" s="14"/>
      <c r="AR133" s="22"/>
      <c r="AS133" s="22" t="s">
        <v>241</v>
      </c>
      <c r="AT133" s="22" t="s">
        <v>229</v>
      </c>
      <c r="AU133" s="25" t="str">
        <f>VLOOKUP(O133,[1]Lookup!A:B,2,FALSE)</f>
        <v>DMO</v>
      </c>
    </row>
    <row r="134" spans="1:47" ht="51.75" customHeight="1" x14ac:dyDescent="0.2">
      <c r="A134" s="27" t="s">
        <v>86</v>
      </c>
      <c r="B134" s="29" t="s">
        <v>829</v>
      </c>
      <c r="C134" s="27" t="s">
        <v>830</v>
      </c>
      <c r="D134" s="22" t="s">
        <v>89</v>
      </c>
      <c r="E134" s="22" t="s">
        <v>398</v>
      </c>
      <c r="F134" s="27"/>
      <c r="G134" s="27" t="s">
        <v>203</v>
      </c>
      <c r="H134" s="27"/>
      <c r="I134" s="27"/>
      <c r="J134" s="14" t="s">
        <v>91</v>
      </c>
      <c r="K134" s="14" t="s">
        <v>110</v>
      </c>
      <c r="L134" s="14" t="s">
        <v>103</v>
      </c>
      <c r="M134" s="17" t="s">
        <v>94</v>
      </c>
      <c r="N134" s="18" t="s">
        <v>111</v>
      </c>
      <c r="O134" s="14" t="s">
        <v>37</v>
      </c>
      <c r="P134" s="19">
        <v>42782.72152777778</v>
      </c>
      <c r="Q134" s="19">
        <v>42809.470833333333</v>
      </c>
      <c r="R134" s="14"/>
      <c r="S134" s="14" t="s">
        <v>203</v>
      </c>
      <c r="T134" s="14" t="s">
        <v>373</v>
      </c>
      <c r="U134" s="14" t="s">
        <v>241</v>
      </c>
      <c r="V134" s="14"/>
      <c r="W134" s="14">
        <v>0</v>
      </c>
      <c r="X134" s="14">
        <v>0</v>
      </c>
      <c r="Y134" s="14" t="s">
        <v>831</v>
      </c>
      <c r="Z134" s="14"/>
      <c r="AA134" s="14"/>
      <c r="AB134" s="14"/>
      <c r="AC134" s="14"/>
      <c r="AD134" s="14"/>
      <c r="AE134" s="14" t="s">
        <v>832</v>
      </c>
      <c r="AF134" s="14" t="s">
        <v>126</v>
      </c>
      <c r="AG134" s="14" t="s">
        <v>833</v>
      </c>
      <c r="AH134" s="14"/>
      <c r="AI134" s="14"/>
      <c r="AJ134" s="14"/>
      <c r="AK134" s="14"/>
      <c r="AL134" s="14"/>
      <c r="AM134" s="14"/>
      <c r="AN134" s="14" t="s">
        <v>834</v>
      </c>
      <c r="AO134" s="14"/>
      <c r="AP134" s="14"/>
      <c r="AQ134" s="14"/>
      <c r="AR134" s="22"/>
      <c r="AS134" s="22" t="s">
        <v>89</v>
      </c>
      <c r="AT134" s="22" t="s">
        <v>398</v>
      </c>
      <c r="AU134" s="25" t="str">
        <f>VLOOKUP(O134,[1]Lookup!A:B,2,FALSE)</f>
        <v>DMO</v>
      </c>
    </row>
    <row r="135" spans="1:47" ht="51.75" customHeight="1" x14ac:dyDescent="0.2">
      <c r="A135" s="27" t="s">
        <v>86</v>
      </c>
      <c r="B135" s="29" t="s">
        <v>374</v>
      </c>
      <c r="C135" s="27" t="s">
        <v>835</v>
      </c>
      <c r="D135" s="22" t="s">
        <v>89</v>
      </c>
      <c r="E135" s="22" t="s">
        <v>193</v>
      </c>
      <c r="F135" s="30" t="s">
        <v>516</v>
      </c>
      <c r="G135" s="26" t="s">
        <v>373</v>
      </c>
      <c r="H135" s="30" t="s">
        <v>104</v>
      </c>
      <c r="I135" s="30" t="s">
        <v>836</v>
      </c>
      <c r="J135" s="14" t="s">
        <v>91</v>
      </c>
      <c r="K135" s="14" t="s">
        <v>59</v>
      </c>
      <c r="L135" s="14" t="s">
        <v>103</v>
      </c>
      <c r="M135" s="14" t="s">
        <v>132</v>
      </c>
      <c r="N135" s="18" t="s">
        <v>202</v>
      </c>
      <c r="O135" s="14" t="s">
        <v>37</v>
      </c>
      <c r="P135" s="19">
        <v>42782.658333333333</v>
      </c>
      <c r="Q135" s="19">
        <v>42786.386111111111</v>
      </c>
      <c r="R135" s="19">
        <v>42786.386111111111</v>
      </c>
      <c r="S135" s="14" t="s">
        <v>203</v>
      </c>
      <c r="T135" s="14"/>
      <c r="U135" s="14" t="s">
        <v>96</v>
      </c>
      <c r="V135" s="14"/>
      <c r="W135" s="14">
        <v>0</v>
      </c>
      <c r="X135" s="14">
        <v>0</v>
      </c>
      <c r="Y135" s="14"/>
      <c r="Z135" s="14"/>
      <c r="AA135" s="14"/>
      <c r="AB135" s="14"/>
      <c r="AC135" s="14"/>
      <c r="AD135" s="14"/>
      <c r="AE135" s="14"/>
      <c r="AF135" s="14" t="s">
        <v>126</v>
      </c>
      <c r="AG135" s="14" t="s">
        <v>837</v>
      </c>
      <c r="AH135" s="14"/>
      <c r="AI135" s="14"/>
      <c r="AJ135" s="14"/>
      <c r="AK135" s="14"/>
      <c r="AL135" s="14"/>
      <c r="AM135" s="14"/>
      <c r="AN135" s="14"/>
      <c r="AO135" s="14" t="s">
        <v>624</v>
      </c>
      <c r="AP135" s="14" t="s">
        <v>779</v>
      </c>
      <c r="AQ135" s="14"/>
      <c r="AR135" s="22"/>
      <c r="AS135" s="22" t="s">
        <v>89</v>
      </c>
      <c r="AT135" s="22" t="s">
        <v>193</v>
      </c>
      <c r="AU135" s="25" t="str">
        <f>VLOOKUP(O135,[1]Lookup!A:B,2,FALSE)</f>
        <v>DMO</v>
      </c>
    </row>
    <row r="136" spans="1:47" ht="51.75" customHeight="1" x14ac:dyDescent="0.2">
      <c r="A136" s="27" t="s">
        <v>86</v>
      </c>
      <c r="B136" s="29" t="s">
        <v>838</v>
      </c>
      <c r="C136" s="27" t="s">
        <v>839</v>
      </c>
      <c r="D136" s="22" t="s">
        <v>241</v>
      </c>
      <c r="E136" s="22" t="s">
        <v>166</v>
      </c>
      <c r="F136" s="27"/>
      <c r="G136" s="27"/>
      <c r="H136" s="27"/>
      <c r="I136" s="27"/>
      <c r="J136" s="14" t="s">
        <v>91</v>
      </c>
      <c r="K136" s="14" t="s">
        <v>59</v>
      </c>
      <c r="L136" s="14" t="s">
        <v>103</v>
      </c>
      <c r="M136" s="14" t="s">
        <v>132</v>
      </c>
      <c r="N136" s="18" t="s">
        <v>202</v>
      </c>
      <c r="O136" s="14" t="s">
        <v>37</v>
      </c>
      <c r="P136" s="19">
        <v>42782.604861111111</v>
      </c>
      <c r="Q136" s="19">
        <v>42807.618055555555</v>
      </c>
      <c r="R136" s="19">
        <v>42807.618055555555</v>
      </c>
      <c r="S136" s="14" t="s">
        <v>203</v>
      </c>
      <c r="T136" s="14" t="s">
        <v>373</v>
      </c>
      <c r="U136" s="14" t="s">
        <v>840</v>
      </c>
      <c r="V136" s="14"/>
      <c r="W136" s="14">
        <v>0</v>
      </c>
      <c r="X136" s="14">
        <v>0</v>
      </c>
      <c r="Y136" s="20" t="s">
        <v>841</v>
      </c>
      <c r="Z136" s="14"/>
      <c r="AA136" s="14"/>
      <c r="AB136" s="14"/>
      <c r="AC136" s="14"/>
      <c r="AD136" s="14"/>
      <c r="AE136" s="14"/>
      <c r="AF136" s="14" t="s">
        <v>126</v>
      </c>
      <c r="AG136" s="14" t="s">
        <v>842</v>
      </c>
      <c r="AH136" s="14"/>
      <c r="AI136" s="14"/>
      <c r="AJ136" s="14"/>
      <c r="AK136" s="14"/>
      <c r="AL136" s="14"/>
      <c r="AM136" s="14"/>
      <c r="AN136" s="14" t="s">
        <v>834</v>
      </c>
      <c r="AO136" s="14" t="s">
        <v>843</v>
      </c>
      <c r="AP136" s="14"/>
      <c r="AQ136" s="14"/>
      <c r="AR136" s="22"/>
      <c r="AS136" s="22" t="s">
        <v>241</v>
      </c>
      <c r="AT136" s="22" t="s">
        <v>166</v>
      </c>
      <c r="AU136" s="25" t="str">
        <f>VLOOKUP(O136,[1]Lookup!A:B,2,FALSE)</f>
        <v>DMO</v>
      </c>
    </row>
    <row r="137" spans="1:47" ht="51.75" customHeight="1" x14ac:dyDescent="0.2">
      <c r="A137" s="27" t="s">
        <v>86</v>
      </c>
      <c r="B137" s="29" t="s">
        <v>844</v>
      </c>
      <c r="C137" s="27" t="s">
        <v>845</v>
      </c>
      <c r="D137" s="22" t="s">
        <v>89</v>
      </c>
      <c r="E137" s="39" t="s">
        <v>193</v>
      </c>
      <c r="F137" s="30" t="s">
        <v>516</v>
      </c>
      <c r="G137" s="26" t="s">
        <v>373</v>
      </c>
      <c r="H137" s="30" t="s">
        <v>104</v>
      </c>
      <c r="I137" s="30" t="s">
        <v>836</v>
      </c>
      <c r="J137" s="14" t="s">
        <v>91</v>
      </c>
      <c r="K137" s="14" t="s">
        <v>59</v>
      </c>
      <c r="L137" s="14" t="s">
        <v>103</v>
      </c>
      <c r="M137" s="14" t="s">
        <v>132</v>
      </c>
      <c r="N137" s="18" t="s">
        <v>202</v>
      </c>
      <c r="O137" s="14" t="s">
        <v>37</v>
      </c>
      <c r="P137" s="19">
        <v>42782.592361111114</v>
      </c>
      <c r="Q137" s="19">
        <v>42808.494444444441</v>
      </c>
      <c r="R137" s="19">
        <v>42808.494444444441</v>
      </c>
      <c r="S137" s="14" t="s">
        <v>203</v>
      </c>
      <c r="T137" s="14" t="s">
        <v>219</v>
      </c>
      <c r="U137" s="14" t="s">
        <v>846</v>
      </c>
      <c r="V137" s="14"/>
      <c r="W137" s="14">
        <v>0</v>
      </c>
      <c r="X137" s="14">
        <v>0</v>
      </c>
      <c r="Y137" s="14" t="s">
        <v>847</v>
      </c>
      <c r="Z137" s="14"/>
      <c r="AA137" s="14"/>
      <c r="AB137" s="14"/>
      <c r="AC137" s="14"/>
      <c r="AD137" s="14"/>
      <c r="AE137" s="14" t="s">
        <v>222</v>
      </c>
      <c r="AF137" s="14"/>
      <c r="AG137" s="14" t="s">
        <v>848</v>
      </c>
      <c r="AH137" s="14"/>
      <c r="AI137" s="14"/>
      <c r="AJ137" s="14"/>
      <c r="AK137" s="14"/>
      <c r="AL137" s="14"/>
      <c r="AM137" s="14"/>
      <c r="AN137" s="14" t="s">
        <v>594</v>
      </c>
      <c r="AO137" s="14" t="s">
        <v>638</v>
      </c>
      <c r="AP137" s="14" t="s">
        <v>163</v>
      </c>
      <c r="AQ137" s="14"/>
      <c r="AR137" s="22"/>
      <c r="AS137" s="22" t="s">
        <v>89</v>
      </c>
      <c r="AT137" s="39" t="s">
        <v>193</v>
      </c>
      <c r="AU137" s="25" t="str">
        <f>VLOOKUP(O137,[1]Lookup!A:B,2,FALSE)</f>
        <v>DMO</v>
      </c>
    </row>
    <row r="138" spans="1:47" ht="51.75" customHeight="1" x14ac:dyDescent="0.2">
      <c r="A138" s="27" t="s">
        <v>86</v>
      </c>
      <c r="B138" s="29" t="s">
        <v>224</v>
      </c>
      <c r="C138" s="27" t="s">
        <v>849</v>
      </c>
      <c r="D138" s="22" t="s">
        <v>89</v>
      </c>
      <c r="E138" s="22" t="s">
        <v>507</v>
      </c>
      <c r="F138" s="30" t="s">
        <v>516</v>
      </c>
      <c r="G138" s="26" t="s">
        <v>373</v>
      </c>
      <c r="H138" s="30" t="s">
        <v>104</v>
      </c>
      <c r="I138" s="30" t="s">
        <v>509</v>
      </c>
      <c r="J138" s="14" t="s">
        <v>91</v>
      </c>
      <c r="K138" s="14" t="s">
        <v>59</v>
      </c>
      <c r="L138" s="14" t="s">
        <v>103</v>
      </c>
      <c r="M138" s="14" t="s">
        <v>132</v>
      </c>
      <c r="N138" s="18" t="s">
        <v>202</v>
      </c>
      <c r="O138" s="14" t="s">
        <v>39</v>
      </c>
      <c r="P138" s="19">
        <v>42782.570138888892</v>
      </c>
      <c r="Q138" s="19">
        <v>42790.586805555555</v>
      </c>
      <c r="R138" s="19">
        <v>42790.586805555555</v>
      </c>
      <c r="S138" s="14" t="s">
        <v>203</v>
      </c>
      <c r="T138" s="14" t="s">
        <v>204</v>
      </c>
      <c r="U138" s="14" t="s">
        <v>242</v>
      </c>
      <c r="V138" s="14"/>
      <c r="W138" s="14">
        <v>0</v>
      </c>
      <c r="X138" s="14">
        <v>0</v>
      </c>
      <c r="Y138" s="14" t="s">
        <v>850</v>
      </c>
      <c r="Z138" s="14"/>
      <c r="AA138" s="14"/>
      <c r="AB138" s="14"/>
      <c r="AC138" s="14"/>
      <c r="AD138" s="14"/>
      <c r="AE138" s="14"/>
      <c r="AF138" s="14" t="s">
        <v>851</v>
      </c>
      <c r="AG138" s="14" t="s">
        <v>852</v>
      </c>
      <c r="AH138" s="14"/>
      <c r="AI138" s="14"/>
      <c r="AJ138" s="14"/>
      <c r="AK138" s="14"/>
      <c r="AL138" s="14"/>
      <c r="AM138" s="14"/>
      <c r="AN138" s="14" t="s">
        <v>235</v>
      </c>
      <c r="AO138" s="14" t="s">
        <v>853</v>
      </c>
      <c r="AP138" s="14" t="s">
        <v>146</v>
      </c>
      <c r="AQ138" s="14"/>
      <c r="AR138" s="22"/>
      <c r="AS138" s="22" t="s">
        <v>89</v>
      </c>
      <c r="AT138" s="22" t="s">
        <v>513</v>
      </c>
      <c r="AU138" s="25" t="str">
        <f>VLOOKUP(O138,[1]Lookup!A:B,2,FALSE)</f>
        <v>DMO</v>
      </c>
    </row>
    <row r="139" spans="1:47" ht="51.75" customHeight="1" x14ac:dyDescent="0.2">
      <c r="A139" s="27" t="s">
        <v>86</v>
      </c>
      <c r="B139" s="29" t="s">
        <v>854</v>
      </c>
      <c r="C139" s="27" t="s">
        <v>855</v>
      </c>
      <c r="D139" s="22" t="s">
        <v>241</v>
      </c>
      <c r="E139" s="22" t="s">
        <v>166</v>
      </c>
      <c r="F139" s="27"/>
      <c r="G139" s="27" t="s">
        <v>204</v>
      </c>
      <c r="H139" s="27"/>
      <c r="I139" s="27"/>
      <c r="J139" s="14" t="s">
        <v>91</v>
      </c>
      <c r="K139" s="14" t="s">
        <v>59</v>
      </c>
      <c r="L139" s="14" t="s">
        <v>103</v>
      </c>
      <c r="M139" s="14" t="s">
        <v>132</v>
      </c>
      <c r="N139" s="18" t="s">
        <v>202</v>
      </c>
      <c r="O139" s="14" t="s">
        <v>37</v>
      </c>
      <c r="P139" s="19">
        <v>42782.504861111112</v>
      </c>
      <c r="Q139" s="19">
        <v>42786.386805555558</v>
      </c>
      <c r="R139" s="19">
        <v>42786.386805555558</v>
      </c>
      <c r="S139" s="14" t="s">
        <v>203</v>
      </c>
      <c r="T139" s="14" t="s">
        <v>203</v>
      </c>
      <c r="U139" s="14" t="s">
        <v>96</v>
      </c>
      <c r="V139" s="14"/>
      <c r="W139" s="14">
        <v>0</v>
      </c>
      <c r="X139" s="14">
        <v>0</v>
      </c>
      <c r="Y139" s="14" t="s">
        <v>856</v>
      </c>
      <c r="Z139" s="14"/>
      <c r="AA139" s="14"/>
      <c r="AB139" s="14"/>
      <c r="AC139" s="14"/>
      <c r="AD139" s="14"/>
      <c r="AE139" s="14"/>
      <c r="AF139" s="14" t="s">
        <v>126</v>
      </c>
      <c r="AG139" s="14" t="s">
        <v>857</v>
      </c>
      <c r="AH139" s="14"/>
      <c r="AI139" s="14"/>
      <c r="AJ139" s="14"/>
      <c r="AK139" s="14"/>
      <c r="AL139" s="14"/>
      <c r="AM139" s="14"/>
      <c r="AN139" s="14"/>
      <c r="AO139" s="14" t="s">
        <v>858</v>
      </c>
      <c r="AP139" s="14" t="s">
        <v>556</v>
      </c>
      <c r="AQ139" s="14"/>
      <c r="AR139" s="22"/>
      <c r="AS139" s="22" t="s">
        <v>241</v>
      </c>
      <c r="AT139" s="22" t="s">
        <v>166</v>
      </c>
      <c r="AU139" s="25" t="str">
        <f>VLOOKUP(O139,[1]Lookup!A:B,2,FALSE)</f>
        <v>DMO</v>
      </c>
    </row>
    <row r="140" spans="1:47" ht="51.75" customHeight="1" x14ac:dyDescent="0.2">
      <c r="A140" s="27" t="s">
        <v>86</v>
      </c>
      <c r="B140" s="29" t="s">
        <v>859</v>
      </c>
      <c r="C140" s="27" t="s">
        <v>860</v>
      </c>
      <c r="D140" s="22" t="s">
        <v>241</v>
      </c>
      <c r="E140" s="22" t="s">
        <v>166</v>
      </c>
      <c r="F140" s="27"/>
      <c r="G140" s="27" t="s">
        <v>203</v>
      </c>
      <c r="H140" s="27"/>
      <c r="I140" s="27"/>
      <c r="J140" s="14" t="s">
        <v>91</v>
      </c>
      <c r="K140" s="14" t="s">
        <v>59</v>
      </c>
      <c r="L140" s="14" t="s">
        <v>93</v>
      </c>
      <c r="M140" s="14" t="s">
        <v>132</v>
      </c>
      <c r="N140" s="18" t="s">
        <v>202</v>
      </c>
      <c r="O140" s="14" t="s">
        <v>36</v>
      </c>
      <c r="P140" s="19">
        <v>42782.448611111111</v>
      </c>
      <c r="Q140" s="19">
        <v>42799.779861111114</v>
      </c>
      <c r="R140" s="19">
        <v>42790.418055555558</v>
      </c>
      <c r="S140" s="14" t="s">
        <v>203</v>
      </c>
      <c r="T140" s="14" t="s">
        <v>203</v>
      </c>
      <c r="U140" s="14" t="s">
        <v>96</v>
      </c>
      <c r="V140" s="14"/>
      <c r="W140" s="14">
        <v>0</v>
      </c>
      <c r="X140" s="14">
        <v>0</v>
      </c>
      <c r="Y140" s="20" t="s">
        <v>861</v>
      </c>
      <c r="Z140" s="14"/>
      <c r="AA140" s="14"/>
      <c r="AB140" s="14"/>
      <c r="AC140" s="14"/>
      <c r="AD140" s="14"/>
      <c r="AE140" s="14"/>
      <c r="AF140" s="14" t="s">
        <v>126</v>
      </c>
      <c r="AG140" s="14" t="s">
        <v>862</v>
      </c>
      <c r="AH140" s="14"/>
      <c r="AI140" s="14"/>
      <c r="AJ140" s="14"/>
      <c r="AK140" s="14"/>
      <c r="AL140" s="14"/>
      <c r="AM140" s="14"/>
      <c r="AN140" s="14" t="s">
        <v>863</v>
      </c>
      <c r="AO140" s="14" t="s">
        <v>864</v>
      </c>
      <c r="AP140" s="14" t="s">
        <v>865</v>
      </c>
      <c r="AQ140" s="14"/>
      <c r="AR140" s="22"/>
      <c r="AS140" s="22" t="s">
        <v>241</v>
      </c>
      <c r="AT140" s="22" t="s">
        <v>166</v>
      </c>
      <c r="AU140" s="25" t="str">
        <f>VLOOKUP(O140,[1]Lookup!A:B,2,FALSE)</f>
        <v>DMO</v>
      </c>
    </row>
    <row r="141" spans="1:47" ht="51.75" customHeight="1" x14ac:dyDescent="0.2">
      <c r="A141" s="27" t="s">
        <v>86</v>
      </c>
      <c r="B141" s="29" t="s">
        <v>866</v>
      </c>
      <c r="C141" s="27" t="s">
        <v>867</v>
      </c>
      <c r="D141" s="22" t="s">
        <v>96</v>
      </c>
      <c r="E141" s="22" t="s">
        <v>166</v>
      </c>
      <c r="F141" s="27"/>
      <c r="G141" s="27" t="s">
        <v>203</v>
      </c>
      <c r="H141" s="27"/>
      <c r="I141" s="27"/>
      <c r="J141" s="14" t="s">
        <v>91</v>
      </c>
      <c r="K141" s="14" t="s">
        <v>323</v>
      </c>
      <c r="L141" s="14" t="s">
        <v>103</v>
      </c>
      <c r="M141" s="17" t="s">
        <v>94</v>
      </c>
      <c r="N141" s="18" t="s">
        <v>22</v>
      </c>
      <c r="O141" s="14" t="s">
        <v>36</v>
      </c>
      <c r="P141" s="19">
        <v>42782.431250000001</v>
      </c>
      <c r="Q141" s="19">
        <v>42808.597222222219</v>
      </c>
      <c r="R141" s="14"/>
      <c r="S141" s="14" t="s">
        <v>203</v>
      </c>
      <c r="T141" s="14"/>
      <c r="U141" s="14" t="s">
        <v>241</v>
      </c>
      <c r="V141" s="14"/>
      <c r="W141" s="14">
        <v>0</v>
      </c>
      <c r="X141" s="14">
        <v>0</v>
      </c>
      <c r="Y141" s="14" t="s">
        <v>868</v>
      </c>
      <c r="Z141" s="14"/>
      <c r="AA141" s="14"/>
      <c r="AB141" s="14"/>
      <c r="AC141" s="14"/>
      <c r="AD141" s="14"/>
      <c r="AE141" s="14"/>
      <c r="AF141" s="14" t="s">
        <v>126</v>
      </c>
      <c r="AG141" s="14" t="s">
        <v>869</v>
      </c>
      <c r="AH141" s="14"/>
      <c r="AI141" s="14"/>
      <c r="AJ141" s="14"/>
      <c r="AK141" s="14"/>
      <c r="AL141" s="14"/>
      <c r="AM141" s="14"/>
      <c r="AN141" s="14" t="s">
        <v>662</v>
      </c>
      <c r="AO141" s="14" t="s">
        <v>870</v>
      </c>
      <c r="AP141" s="14"/>
      <c r="AQ141" s="14"/>
      <c r="AR141" s="22"/>
      <c r="AS141" s="22" t="s">
        <v>96</v>
      </c>
      <c r="AT141" s="22" t="s">
        <v>261</v>
      </c>
      <c r="AU141" s="25" t="str">
        <f>VLOOKUP(O141,[1]Lookup!A:B,2,FALSE)</f>
        <v>DMO</v>
      </c>
    </row>
    <row r="142" spans="1:47" ht="51.75" customHeight="1" x14ac:dyDescent="0.2">
      <c r="A142" s="27" t="s">
        <v>86</v>
      </c>
      <c r="B142" s="29" t="s">
        <v>871</v>
      </c>
      <c r="C142" s="26" t="s">
        <v>872</v>
      </c>
      <c r="D142" s="22" t="s">
        <v>89</v>
      </c>
      <c r="E142" s="22" t="s">
        <v>507</v>
      </c>
      <c r="F142" s="26" t="s">
        <v>873</v>
      </c>
      <c r="G142" s="26" t="s">
        <v>312</v>
      </c>
      <c r="H142" s="40" t="s">
        <v>526</v>
      </c>
      <c r="I142" s="40" t="s">
        <v>874</v>
      </c>
      <c r="J142" s="14" t="s">
        <v>91</v>
      </c>
      <c r="K142" s="14" t="s">
        <v>59</v>
      </c>
      <c r="L142" s="14" t="s">
        <v>103</v>
      </c>
      <c r="M142" s="14" t="s">
        <v>132</v>
      </c>
      <c r="N142" s="18" t="s">
        <v>38</v>
      </c>
      <c r="O142" s="14" t="s">
        <v>38</v>
      </c>
      <c r="P142" s="19">
        <v>42782.378472222219</v>
      </c>
      <c r="Q142" s="19">
        <v>42796.627083333333</v>
      </c>
      <c r="R142" s="19">
        <v>42790.450694444444</v>
      </c>
      <c r="S142" s="14" t="s">
        <v>203</v>
      </c>
      <c r="T142" s="14" t="s">
        <v>204</v>
      </c>
      <c r="U142" s="14" t="s">
        <v>241</v>
      </c>
      <c r="V142" s="14"/>
      <c r="W142" s="14">
        <v>0</v>
      </c>
      <c r="X142" s="14">
        <v>0</v>
      </c>
      <c r="Y142" s="14"/>
      <c r="Z142" s="14"/>
      <c r="AA142" s="14"/>
      <c r="AB142" s="14"/>
      <c r="AC142" s="14"/>
      <c r="AD142" s="14"/>
      <c r="AE142" s="14"/>
      <c r="AF142" s="14" t="s">
        <v>823</v>
      </c>
      <c r="AG142" s="14" t="s">
        <v>875</v>
      </c>
      <c r="AH142" s="14"/>
      <c r="AI142" s="14"/>
      <c r="AJ142" s="14"/>
      <c r="AK142" s="14"/>
      <c r="AL142" s="14"/>
      <c r="AM142" s="14"/>
      <c r="AN142" s="14" t="s">
        <v>229</v>
      </c>
      <c r="AO142" s="14" t="s">
        <v>876</v>
      </c>
      <c r="AP142" s="14"/>
      <c r="AQ142" s="14"/>
      <c r="AR142" s="22"/>
      <c r="AS142" s="22" t="s">
        <v>89</v>
      </c>
      <c r="AT142" s="22" t="s">
        <v>513</v>
      </c>
      <c r="AU142" s="25" t="str">
        <f>VLOOKUP(O142,[1]Lookup!A:B,2,FALSE)</f>
        <v>DMO</v>
      </c>
    </row>
    <row r="143" spans="1:47" ht="51.75" customHeight="1" x14ac:dyDescent="0.2">
      <c r="A143" s="27" t="s">
        <v>86</v>
      </c>
      <c r="B143" s="29" t="s">
        <v>877</v>
      </c>
      <c r="C143" s="27" t="s">
        <v>878</v>
      </c>
      <c r="D143" s="22" t="s">
        <v>229</v>
      </c>
      <c r="E143" s="22" t="s">
        <v>229</v>
      </c>
      <c r="F143" s="27"/>
      <c r="G143" s="27" t="s">
        <v>204</v>
      </c>
      <c r="H143" s="27"/>
      <c r="I143" s="27"/>
      <c r="J143" s="14" t="s">
        <v>91</v>
      </c>
      <c r="K143" s="14" t="s">
        <v>59</v>
      </c>
      <c r="L143" s="14" t="s">
        <v>103</v>
      </c>
      <c r="M143" s="14" t="s">
        <v>132</v>
      </c>
      <c r="N143" s="18" t="s">
        <v>202</v>
      </c>
      <c r="O143" s="14" t="s">
        <v>36</v>
      </c>
      <c r="P143" s="19">
        <v>42781.731249999997</v>
      </c>
      <c r="Q143" s="19">
        <v>42796.62777777778</v>
      </c>
      <c r="R143" s="19">
        <v>42790.444444444445</v>
      </c>
      <c r="S143" s="14" t="s">
        <v>203</v>
      </c>
      <c r="T143" s="14" t="s">
        <v>204</v>
      </c>
      <c r="U143" s="14" t="s">
        <v>241</v>
      </c>
      <c r="V143" s="14"/>
      <c r="W143" s="14">
        <v>0</v>
      </c>
      <c r="X143" s="14">
        <v>0</v>
      </c>
      <c r="Y143" s="14" t="s">
        <v>879</v>
      </c>
      <c r="Z143" s="14"/>
      <c r="AA143" s="14"/>
      <c r="AB143" s="14"/>
      <c r="AC143" s="14"/>
      <c r="AD143" s="14"/>
      <c r="AE143" s="14"/>
      <c r="AF143" s="14" t="s">
        <v>126</v>
      </c>
      <c r="AG143" s="14" t="s">
        <v>880</v>
      </c>
      <c r="AH143" s="14"/>
      <c r="AI143" s="14"/>
      <c r="AJ143" s="14"/>
      <c r="AK143" s="14"/>
      <c r="AL143" s="14"/>
      <c r="AM143" s="14"/>
      <c r="AN143" s="14" t="s">
        <v>229</v>
      </c>
      <c r="AO143" s="14" t="s">
        <v>881</v>
      </c>
      <c r="AP143" s="14" t="s">
        <v>146</v>
      </c>
      <c r="AQ143" s="14"/>
      <c r="AR143" s="22"/>
      <c r="AS143" s="22" t="s">
        <v>241</v>
      </c>
      <c r="AT143" s="22" t="s">
        <v>229</v>
      </c>
      <c r="AU143" s="25" t="str">
        <f>VLOOKUP(O143,[1]Lookup!A:B,2,FALSE)</f>
        <v>DMO</v>
      </c>
    </row>
    <row r="144" spans="1:47" ht="51.75" customHeight="1" x14ac:dyDescent="0.2">
      <c r="A144" s="27" t="s">
        <v>86</v>
      </c>
      <c r="B144" s="29" t="s">
        <v>882</v>
      </c>
      <c r="C144" s="27" t="s">
        <v>883</v>
      </c>
      <c r="D144" s="22" t="s">
        <v>229</v>
      </c>
      <c r="E144" s="22" t="s">
        <v>229</v>
      </c>
      <c r="F144" s="27"/>
      <c r="G144" s="27" t="s">
        <v>204</v>
      </c>
      <c r="H144" s="27"/>
      <c r="I144" s="27"/>
      <c r="J144" s="14" t="s">
        <v>91</v>
      </c>
      <c r="K144" s="14" t="s">
        <v>59</v>
      </c>
      <c r="L144" s="14" t="s">
        <v>167</v>
      </c>
      <c r="M144" s="14" t="s">
        <v>132</v>
      </c>
      <c r="N144" s="18" t="s">
        <v>202</v>
      </c>
      <c r="O144" s="14" t="s">
        <v>39</v>
      </c>
      <c r="P144" s="19">
        <v>42781.68472222222</v>
      </c>
      <c r="Q144" s="19">
        <v>42790.732638888891</v>
      </c>
      <c r="R144" s="19">
        <v>42790.732638888891</v>
      </c>
      <c r="S144" s="14" t="s">
        <v>203</v>
      </c>
      <c r="T144" s="14" t="s">
        <v>203</v>
      </c>
      <c r="U144" s="14" t="s">
        <v>96</v>
      </c>
      <c r="V144" s="14"/>
      <c r="W144" s="14">
        <v>0</v>
      </c>
      <c r="X144" s="14">
        <v>0</v>
      </c>
      <c r="Y144" s="14" t="s">
        <v>884</v>
      </c>
      <c r="Z144" s="14"/>
      <c r="AA144" s="14"/>
      <c r="AB144" s="14"/>
      <c r="AC144" s="14"/>
      <c r="AD144" s="14"/>
      <c r="AE144" s="14" t="s">
        <v>885</v>
      </c>
      <c r="AF144" s="14" t="s">
        <v>126</v>
      </c>
      <c r="AG144" s="14" t="s">
        <v>886</v>
      </c>
      <c r="AH144" s="14"/>
      <c r="AI144" s="14"/>
      <c r="AJ144" s="14"/>
      <c r="AK144" s="14"/>
      <c r="AL144" s="14"/>
      <c r="AM144" s="14"/>
      <c r="AN144" s="14" t="s">
        <v>123</v>
      </c>
      <c r="AO144" s="14" t="s">
        <v>887</v>
      </c>
      <c r="AP144" s="14" t="s">
        <v>146</v>
      </c>
      <c r="AQ144" s="14"/>
      <c r="AR144" s="22"/>
      <c r="AS144" s="22" t="s">
        <v>241</v>
      </c>
      <c r="AT144" s="22" t="s">
        <v>229</v>
      </c>
      <c r="AU144" s="25" t="str">
        <f>VLOOKUP(O144,[1]Lookup!A:B,2,FALSE)</f>
        <v>DMO</v>
      </c>
    </row>
    <row r="145" spans="1:47" ht="51.75" customHeight="1" x14ac:dyDescent="0.2">
      <c r="A145" s="27" t="s">
        <v>86</v>
      </c>
      <c r="B145" s="29" t="s">
        <v>888</v>
      </c>
      <c r="C145" s="27" t="s">
        <v>889</v>
      </c>
      <c r="D145" s="22" t="s">
        <v>241</v>
      </c>
      <c r="E145" s="22" t="s">
        <v>890</v>
      </c>
      <c r="F145" s="27"/>
      <c r="G145" s="27" t="s">
        <v>203</v>
      </c>
      <c r="H145" s="27"/>
      <c r="I145" s="27"/>
      <c r="J145" s="14" t="s">
        <v>91</v>
      </c>
      <c r="K145" s="14" t="s">
        <v>59</v>
      </c>
      <c r="L145" s="14" t="s">
        <v>167</v>
      </c>
      <c r="M145" s="14" t="s">
        <v>132</v>
      </c>
      <c r="N145" s="18" t="s">
        <v>202</v>
      </c>
      <c r="O145" s="14" t="s">
        <v>37</v>
      </c>
      <c r="P145" s="19">
        <v>42781.625</v>
      </c>
      <c r="Q145" s="19">
        <v>42783.482638888891</v>
      </c>
      <c r="R145" s="19">
        <v>42783.482638888891</v>
      </c>
      <c r="S145" s="14" t="s">
        <v>203</v>
      </c>
      <c r="T145" s="14" t="s">
        <v>204</v>
      </c>
      <c r="U145" s="14" t="s">
        <v>96</v>
      </c>
      <c r="V145" s="14"/>
      <c r="W145" s="14">
        <v>0</v>
      </c>
      <c r="X145" s="14">
        <v>0</v>
      </c>
      <c r="Y145" s="20" t="s">
        <v>891</v>
      </c>
      <c r="Z145" s="14"/>
      <c r="AA145" s="14"/>
      <c r="AB145" s="14"/>
      <c r="AC145" s="14"/>
      <c r="AD145" s="14"/>
      <c r="AE145" s="14"/>
      <c r="AF145" s="14" t="s">
        <v>126</v>
      </c>
      <c r="AG145" s="14" t="s">
        <v>892</v>
      </c>
      <c r="AH145" s="14"/>
      <c r="AI145" s="14"/>
      <c r="AJ145" s="14"/>
      <c r="AK145" s="14"/>
      <c r="AL145" s="14"/>
      <c r="AM145" s="14"/>
      <c r="AN145" s="14" t="s">
        <v>123</v>
      </c>
      <c r="AO145" s="14" t="s">
        <v>893</v>
      </c>
      <c r="AP145" s="14" t="s">
        <v>146</v>
      </c>
      <c r="AQ145" s="14"/>
      <c r="AR145" s="22"/>
      <c r="AS145" s="22" t="s">
        <v>241</v>
      </c>
      <c r="AT145" s="22" t="s">
        <v>894</v>
      </c>
      <c r="AU145" s="25" t="str">
        <f>VLOOKUP(O145,[1]Lookup!A:B,2,FALSE)</f>
        <v>DMO</v>
      </c>
    </row>
    <row r="146" spans="1:47" ht="51.75" customHeight="1" x14ac:dyDescent="0.2">
      <c r="A146" s="27" t="s">
        <v>86</v>
      </c>
      <c r="B146" s="29" t="s">
        <v>895</v>
      </c>
      <c r="C146" s="27" t="s">
        <v>896</v>
      </c>
      <c r="D146" s="22" t="s">
        <v>241</v>
      </c>
      <c r="E146" s="22" t="s">
        <v>302</v>
      </c>
      <c r="F146" s="27"/>
      <c r="G146" s="27" t="s">
        <v>204</v>
      </c>
      <c r="H146" s="27"/>
      <c r="I146" s="27"/>
      <c r="J146" s="14" t="s">
        <v>91</v>
      </c>
      <c r="K146" s="14" t="s">
        <v>59</v>
      </c>
      <c r="L146" s="14" t="s">
        <v>103</v>
      </c>
      <c r="M146" s="14" t="s">
        <v>132</v>
      </c>
      <c r="N146" s="18" t="s">
        <v>202</v>
      </c>
      <c r="O146" s="14" t="s">
        <v>36</v>
      </c>
      <c r="P146" s="19">
        <v>42781.619444444441</v>
      </c>
      <c r="Q146" s="19">
        <v>42796.62777777778</v>
      </c>
      <c r="R146" s="19">
        <v>42786.739583333336</v>
      </c>
      <c r="S146" s="14" t="s">
        <v>203</v>
      </c>
      <c r="T146" s="14" t="s">
        <v>204</v>
      </c>
      <c r="U146" s="14" t="s">
        <v>241</v>
      </c>
      <c r="V146" s="14"/>
      <c r="W146" s="14">
        <v>0</v>
      </c>
      <c r="X146" s="14">
        <v>0</v>
      </c>
      <c r="Y146" s="14" t="s">
        <v>897</v>
      </c>
      <c r="Z146" s="14"/>
      <c r="AA146" s="14"/>
      <c r="AB146" s="14"/>
      <c r="AC146" s="14"/>
      <c r="AD146" s="14"/>
      <c r="AE146" s="14"/>
      <c r="AF146" s="14" t="s">
        <v>126</v>
      </c>
      <c r="AG146" s="14" t="s">
        <v>898</v>
      </c>
      <c r="AH146" s="14"/>
      <c r="AI146" s="14"/>
      <c r="AJ146" s="14"/>
      <c r="AK146" s="14"/>
      <c r="AL146" s="14"/>
      <c r="AM146" s="14"/>
      <c r="AN146" s="14" t="s">
        <v>229</v>
      </c>
      <c r="AO146" s="14" t="s">
        <v>899</v>
      </c>
      <c r="AP146" s="14" t="s">
        <v>146</v>
      </c>
      <c r="AQ146" s="14"/>
      <c r="AR146" s="22"/>
      <c r="AS146" s="22" t="s">
        <v>241</v>
      </c>
      <c r="AT146" s="22" t="s">
        <v>302</v>
      </c>
      <c r="AU146" s="25" t="str">
        <f>VLOOKUP(O146,[1]Lookup!A:B,2,FALSE)</f>
        <v>DMO</v>
      </c>
    </row>
    <row r="147" spans="1:47" ht="51.75" customHeight="1" x14ac:dyDescent="0.2">
      <c r="A147" s="27" t="s">
        <v>86</v>
      </c>
      <c r="B147" s="29" t="s">
        <v>900</v>
      </c>
      <c r="C147" s="27" t="s">
        <v>901</v>
      </c>
      <c r="D147" s="22" t="s">
        <v>229</v>
      </c>
      <c r="E147" s="22" t="s">
        <v>229</v>
      </c>
      <c r="F147" s="27"/>
      <c r="G147" s="27" t="s">
        <v>204</v>
      </c>
      <c r="H147" s="27"/>
      <c r="I147" s="27"/>
      <c r="J147" s="14" t="s">
        <v>91</v>
      </c>
      <c r="K147" s="14" t="s">
        <v>59</v>
      </c>
      <c r="L147" s="14" t="s">
        <v>103</v>
      </c>
      <c r="M147" s="14" t="s">
        <v>132</v>
      </c>
      <c r="N147" s="18" t="s">
        <v>21</v>
      </c>
      <c r="O147" s="14" t="s">
        <v>37</v>
      </c>
      <c r="P147" s="19">
        <v>42781.581250000003</v>
      </c>
      <c r="Q147" s="19">
        <v>42799.779166666667</v>
      </c>
      <c r="R147" s="19">
        <v>42781.852083333331</v>
      </c>
      <c r="S147" s="14" t="s">
        <v>203</v>
      </c>
      <c r="T147" s="14" t="s">
        <v>203</v>
      </c>
      <c r="U147" s="14" t="s">
        <v>96</v>
      </c>
      <c r="V147" s="14"/>
      <c r="W147" s="14">
        <v>0</v>
      </c>
      <c r="X147" s="14">
        <v>0</v>
      </c>
      <c r="Y147" s="14" t="s">
        <v>902</v>
      </c>
      <c r="Z147" s="14"/>
      <c r="AA147" s="14"/>
      <c r="AB147" s="14"/>
      <c r="AC147" s="14"/>
      <c r="AD147" s="14"/>
      <c r="AE147" s="14"/>
      <c r="AF147" s="14" t="s">
        <v>126</v>
      </c>
      <c r="AG147" s="14" t="s">
        <v>903</v>
      </c>
      <c r="AH147" s="14"/>
      <c r="AI147" s="14"/>
      <c r="AJ147" s="14"/>
      <c r="AK147" s="14"/>
      <c r="AL147" s="14"/>
      <c r="AM147" s="14"/>
      <c r="AN147" s="14" t="s">
        <v>904</v>
      </c>
      <c r="AO147" s="14"/>
      <c r="AP147" s="14" t="s">
        <v>779</v>
      </c>
      <c r="AQ147" s="14"/>
      <c r="AR147" s="22"/>
      <c r="AS147" s="22" t="s">
        <v>241</v>
      </c>
      <c r="AT147" s="22" t="s">
        <v>229</v>
      </c>
      <c r="AU147" s="25" t="str">
        <f>VLOOKUP(O147,[1]Lookup!A:B,2,FALSE)</f>
        <v>DMO</v>
      </c>
    </row>
    <row r="148" spans="1:47" ht="51.75" customHeight="1" x14ac:dyDescent="0.2">
      <c r="A148" s="27" t="s">
        <v>86</v>
      </c>
      <c r="B148" s="29" t="s">
        <v>905</v>
      </c>
      <c r="C148" s="27" t="s">
        <v>906</v>
      </c>
      <c r="D148" s="22" t="s">
        <v>241</v>
      </c>
      <c r="E148" s="22" t="s">
        <v>166</v>
      </c>
      <c r="F148" s="27"/>
      <c r="G148" s="27" t="s">
        <v>203</v>
      </c>
      <c r="H148" s="27"/>
      <c r="I148" s="27"/>
      <c r="J148" s="14" t="s">
        <v>91</v>
      </c>
      <c r="K148" s="14" t="s">
        <v>59</v>
      </c>
      <c r="L148" s="14" t="s">
        <v>93</v>
      </c>
      <c r="M148" s="14" t="s">
        <v>132</v>
      </c>
      <c r="N148" s="18" t="s">
        <v>21</v>
      </c>
      <c r="O148" s="14" t="s">
        <v>30</v>
      </c>
      <c r="P148" s="19">
        <v>42781.57916666667</v>
      </c>
      <c r="Q148" s="19">
        <v>42793.458333333336</v>
      </c>
      <c r="R148" s="19">
        <v>42793.458333333336</v>
      </c>
      <c r="S148" s="14" t="s">
        <v>660</v>
      </c>
      <c r="T148" s="14" t="s">
        <v>510</v>
      </c>
      <c r="U148" s="14" t="s">
        <v>96</v>
      </c>
      <c r="V148" s="14"/>
      <c r="W148" s="14">
        <v>0</v>
      </c>
      <c r="X148" s="14">
        <v>0</v>
      </c>
      <c r="Y148" s="14"/>
      <c r="Z148" s="14"/>
      <c r="AA148" s="14"/>
      <c r="AB148" s="14"/>
      <c r="AC148" s="14"/>
      <c r="AD148" s="14"/>
      <c r="AE148" s="14"/>
      <c r="AF148" s="14" t="s">
        <v>907</v>
      </c>
      <c r="AG148" s="14" t="s">
        <v>908</v>
      </c>
      <c r="AH148" s="14"/>
      <c r="AI148" s="14"/>
      <c r="AJ148" s="14"/>
      <c r="AK148" s="14"/>
      <c r="AL148" s="14"/>
      <c r="AM148" s="14"/>
      <c r="AN148" s="14" t="s">
        <v>909</v>
      </c>
      <c r="AO148" s="14" t="s">
        <v>789</v>
      </c>
      <c r="AP148" s="14"/>
      <c r="AQ148" s="14"/>
      <c r="AR148" s="22"/>
      <c r="AS148" s="22" t="s">
        <v>241</v>
      </c>
      <c r="AT148" s="22" t="s">
        <v>261</v>
      </c>
      <c r="AU148" s="25" t="str">
        <f>VLOOKUP(O148,[1]Lookup!A:B,2,FALSE)</f>
        <v>Test-SIT</v>
      </c>
    </row>
    <row r="149" spans="1:47" ht="51.75" customHeight="1" x14ac:dyDescent="0.2">
      <c r="A149" s="27" t="s">
        <v>86</v>
      </c>
      <c r="B149" s="29" t="s">
        <v>910</v>
      </c>
      <c r="C149" s="27" t="s">
        <v>911</v>
      </c>
      <c r="D149" s="22" t="s">
        <v>241</v>
      </c>
      <c r="E149" s="22" t="s">
        <v>792</v>
      </c>
      <c r="F149" s="27"/>
      <c r="G149" s="27" t="s">
        <v>510</v>
      </c>
      <c r="H149" s="27"/>
      <c r="I149" s="27"/>
      <c r="J149" s="14" t="s">
        <v>91</v>
      </c>
      <c r="K149" s="14" t="s">
        <v>59</v>
      </c>
      <c r="L149" s="14" t="s">
        <v>93</v>
      </c>
      <c r="M149" s="14" t="s">
        <v>132</v>
      </c>
      <c r="N149" s="18" t="s">
        <v>21</v>
      </c>
      <c r="O149" s="14" t="s">
        <v>21</v>
      </c>
      <c r="P149" s="19">
        <v>42781.575694444444</v>
      </c>
      <c r="Q149" s="19">
        <v>42781.964583333334</v>
      </c>
      <c r="R149" s="19">
        <v>42781.767361111109</v>
      </c>
      <c r="S149" s="14" t="s">
        <v>203</v>
      </c>
      <c r="T149" s="14" t="s">
        <v>203</v>
      </c>
      <c r="U149" s="14" t="s">
        <v>89</v>
      </c>
      <c r="V149" s="28">
        <v>42781</v>
      </c>
      <c r="W149" s="14">
        <v>0</v>
      </c>
      <c r="X149" s="14">
        <v>0</v>
      </c>
      <c r="Y149" s="14"/>
      <c r="Z149" s="14"/>
      <c r="AA149" s="14"/>
      <c r="AB149" s="14"/>
      <c r="AC149" s="14"/>
      <c r="AD149" s="14"/>
      <c r="AE149" s="14"/>
      <c r="AF149" s="14"/>
      <c r="AG149" s="14" t="s">
        <v>912</v>
      </c>
      <c r="AH149" s="14"/>
      <c r="AI149" s="14"/>
      <c r="AJ149" s="14"/>
      <c r="AK149" s="14"/>
      <c r="AL149" s="14"/>
      <c r="AM149" s="14"/>
      <c r="AN149" s="14" t="s">
        <v>99</v>
      </c>
      <c r="AO149" s="14" t="s">
        <v>890</v>
      </c>
      <c r="AP149" s="14" t="s">
        <v>146</v>
      </c>
      <c r="AQ149" s="14"/>
      <c r="AR149" s="22"/>
      <c r="AS149" s="22" t="s">
        <v>241</v>
      </c>
      <c r="AT149" s="22" t="s">
        <v>792</v>
      </c>
      <c r="AU149" s="25" t="str">
        <f>VLOOKUP(O149,[1]Lookup!A:B,2,FALSE)</f>
        <v>Test-SIT</v>
      </c>
    </row>
    <row r="150" spans="1:47" ht="51.75" customHeight="1" x14ac:dyDescent="0.2">
      <c r="A150" s="27" t="s">
        <v>86</v>
      </c>
      <c r="B150" s="29" t="s">
        <v>913</v>
      </c>
      <c r="C150" s="27" t="s">
        <v>914</v>
      </c>
      <c r="D150" s="22" t="s">
        <v>241</v>
      </c>
      <c r="E150" s="22" t="s">
        <v>890</v>
      </c>
      <c r="F150" s="27"/>
      <c r="G150" s="27" t="s">
        <v>203</v>
      </c>
      <c r="H150" s="27"/>
      <c r="I150" s="27"/>
      <c r="J150" s="14" t="s">
        <v>91</v>
      </c>
      <c r="K150" s="14" t="s">
        <v>59</v>
      </c>
      <c r="L150" s="14" t="s">
        <v>93</v>
      </c>
      <c r="M150" s="14" t="s">
        <v>132</v>
      </c>
      <c r="N150" s="18" t="s">
        <v>21</v>
      </c>
      <c r="O150" s="14" t="s">
        <v>37</v>
      </c>
      <c r="P150" s="19">
        <v>42781.573611111111</v>
      </c>
      <c r="Q150" s="19">
        <v>42799.779861111114</v>
      </c>
      <c r="R150" s="19">
        <v>42781.854166666664</v>
      </c>
      <c r="S150" s="14" t="s">
        <v>203</v>
      </c>
      <c r="T150" s="14" t="s">
        <v>203</v>
      </c>
      <c r="U150" s="14" t="s">
        <v>96</v>
      </c>
      <c r="V150" s="14"/>
      <c r="W150" s="14">
        <v>0</v>
      </c>
      <c r="X150" s="14">
        <v>0</v>
      </c>
      <c r="Y150" s="14" t="s">
        <v>915</v>
      </c>
      <c r="Z150" s="14"/>
      <c r="AA150" s="14"/>
      <c r="AB150" s="14"/>
      <c r="AC150" s="14"/>
      <c r="AD150" s="14"/>
      <c r="AE150" s="14"/>
      <c r="AF150" s="14" t="s">
        <v>126</v>
      </c>
      <c r="AG150" s="14" t="s">
        <v>916</v>
      </c>
      <c r="AH150" s="14"/>
      <c r="AI150" s="14"/>
      <c r="AJ150" s="14"/>
      <c r="AK150" s="14"/>
      <c r="AL150" s="14"/>
      <c r="AM150" s="14"/>
      <c r="AN150" s="14" t="s">
        <v>904</v>
      </c>
      <c r="AO150" s="14"/>
      <c r="AP150" s="14" t="s">
        <v>250</v>
      </c>
      <c r="AQ150" s="14"/>
      <c r="AR150" s="22"/>
      <c r="AS150" s="22" t="s">
        <v>241</v>
      </c>
      <c r="AT150" s="22" t="s">
        <v>890</v>
      </c>
      <c r="AU150" s="25" t="str">
        <f>VLOOKUP(O150,[1]Lookup!A:B,2,FALSE)</f>
        <v>DMO</v>
      </c>
    </row>
    <row r="151" spans="1:47" ht="51.75" customHeight="1" x14ac:dyDescent="0.2">
      <c r="A151" s="27" t="s">
        <v>86</v>
      </c>
      <c r="B151" s="29" t="s">
        <v>917</v>
      </c>
      <c r="C151" s="27" t="s">
        <v>918</v>
      </c>
      <c r="D151" s="22" t="s">
        <v>241</v>
      </c>
      <c r="E151" s="22" t="s">
        <v>166</v>
      </c>
      <c r="F151" s="27"/>
      <c r="G151" s="27" t="s">
        <v>203</v>
      </c>
      <c r="H151" s="27"/>
      <c r="I151" s="27"/>
      <c r="J151" s="14" t="s">
        <v>91</v>
      </c>
      <c r="K151" s="14" t="s">
        <v>275</v>
      </c>
      <c r="L151" s="14" t="s">
        <v>103</v>
      </c>
      <c r="M151" s="14" t="s">
        <v>132</v>
      </c>
      <c r="N151" s="18" t="s">
        <v>202</v>
      </c>
      <c r="O151" s="14" t="s">
        <v>38</v>
      </c>
      <c r="P151" s="19">
        <v>42781.572222222225</v>
      </c>
      <c r="Q151" s="19">
        <v>42804.527777777781</v>
      </c>
      <c r="R151" s="19">
        <v>42790.477777777778</v>
      </c>
      <c r="S151" s="14" t="s">
        <v>203</v>
      </c>
      <c r="T151" s="14" t="s">
        <v>204</v>
      </c>
      <c r="U151" s="14" t="s">
        <v>241</v>
      </c>
      <c r="V151" s="14"/>
      <c r="W151" s="14">
        <v>0</v>
      </c>
      <c r="X151" s="14">
        <v>0</v>
      </c>
      <c r="Y151" s="14" t="s">
        <v>919</v>
      </c>
      <c r="Z151" s="14"/>
      <c r="AA151" s="14"/>
      <c r="AB151" s="14"/>
      <c r="AC151" s="14"/>
      <c r="AD151" s="14"/>
      <c r="AE151" s="14"/>
      <c r="AF151" s="14"/>
      <c r="AG151" s="14" t="s">
        <v>920</v>
      </c>
      <c r="AH151" s="14"/>
      <c r="AI151" s="14"/>
      <c r="AJ151" s="14"/>
      <c r="AK151" s="14"/>
      <c r="AL151" s="14"/>
      <c r="AM151" s="14"/>
      <c r="AN151" s="14" t="s">
        <v>261</v>
      </c>
      <c r="AO151" s="14" t="s">
        <v>921</v>
      </c>
      <c r="AP151" s="14"/>
      <c r="AQ151" s="14"/>
      <c r="AR151" s="22"/>
      <c r="AS151" s="22" t="s">
        <v>241</v>
      </c>
      <c r="AT151" s="22" t="s">
        <v>261</v>
      </c>
      <c r="AU151" s="25" t="str">
        <f>VLOOKUP(O151,[1]Lookup!A:B,2,FALSE)</f>
        <v>DMO</v>
      </c>
    </row>
    <row r="152" spans="1:47" ht="51.75" customHeight="1" x14ac:dyDescent="0.2">
      <c r="A152" s="27" t="s">
        <v>86</v>
      </c>
      <c r="B152" s="29" t="s">
        <v>922</v>
      </c>
      <c r="C152" s="27" t="s">
        <v>923</v>
      </c>
      <c r="D152" s="22" t="s">
        <v>241</v>
      </c>
      <c r="E152" s="22" t="s">
        <v>166</v>
      </c>
      <c r="F152" s="27"/>
      <c r="G152" s="27" t="s">
        <v>204</v>
      </c>
      <c r="H152" s="27"/>
      <c r="I152" s="27"/>
      <c r="J152" s="14" t="s">
        <v>91</v>
      </c>
      <c r="K152" s="14" t="s">
        <v>59</v>
      </c>
      <c r="L152" s="14" t="s">
        <v>93</v>
      </c>
      <c r="M152" s="14" t="s">
        <v>132</v>
      </c>
      <c r="N152" s="18" t="s">
        <v>202</v>
      </c>
      <c r="O152" s="14" t="s">
        <v>37</v>
      </c>
      <c r="P152" s="19">
        <v>42781.412499999999</v>
      </c>
      <c r="Q152" s="19">
        <v>42804.640277777777</v>
      </c>
      <c r="R152" s="19">
        <v>42804.640277777777</v>
      </c>
      <c r="S152" s="14" t="s">
        <v>203</v>
      </c>
      <c r="T152" s="14" t="s">
        <v>924</v>
      </c>
      <c r="U152" s="14" t="s">
        <v>96</v>
      </c>
      <c r="V152" s="14"/>
      <c r="W152" s="14">
        <v>0</v>
      </c>
      <c r="X152" s="14">
        <v>0</v>
      </c>
      <c r="Y152" s="20" t="s">
        <v>925</v>
      </c>
      <c r="Z152" s="14"/>
      <c r="AA152" s="14"/>
      <c r="AB152" s="14"/>
      <c r="AC152" s="14"/>
      <c r="AD152" s="14"/>
      <c r="AE152" s="14" t="s">
        <v>926</v>
      </c>
      <c r="AF152" s="14" t="s">
        <v>126</v>
      </c>
      <c r="AG152" s="14" t="s">
        <v>927</v>
      </c>
      <c r="AH152" s="14"/>
      <c r="AI152" s="14"/>
      <c r="AJ152" s="14"/>
      <c r="AK152" s="14"/>
      <c r="AL152" s="14"/>
      <c r="AM152" s="14"/>
      <c r="AN152" s="14" t="s">
        <v>216</v>
      </c>
      <c r="AO152" s="14" t="s">
        <v>928</v>
      </c>
      <c r="AP152" s="14"/>
      <c r="AQ152" s="14"/>
      <c r="AR152" s="22"/>
      <c r="AS152" s="22" t="s">
        <v>241</v>
      </c>
      <c r="AT152" s="22" t="s">
        <v>235</v>
      </c>
      <c r="AU152" s="25" t="str">
        <f>VLOOKUP(O152,[1]Lookup!A:B,2,FALSE)</f>
        <v>DMO</v>
      </c>
    </row>
    <row r="153" spans="1:47" ht="51.75" customHeight="1" x14ac:dyDescent="0.2">
      <c r="A153" s="27" t="s">
        <v>86</v>
      </c>
      <c r="B153" s="29" t="s">
        <v>929</v>
      </c>
      <c r="C153" s="27" t="s">
        <v>930</v>
      </c>
      <c r="D153" s="22" t="s">
        <v>89</v>
      </c>
      <c r="E153" s="22" t="s">
        <v>193</v>
      </c>
      <c r="F153" s="37" t="s">
        <v>104</v>
      </c>
      <c r="G153" s="37" t="s">
        <v>174</v>
      </c>
      <c r="H153" s="37" t="s">
        <v>104</v>
      </c>
      <c r="I153" s="37" t="s">
        <v>553</v>
      </c>
      <c r="J153" s="14" t="s">
        <v>91</v>
      </c>
      <c r="K153" s="14" t="s">
        <v>59</v>
      </c>
      <c r="L153" s="14" t="s">
        <v>103</v>
      </c>
      <c r="M153" s="14" t="s">
        <v>132</v>
      </c>
      <c r="N153" s="18" t="s">
        <v>21</v>
      </c>
      <c r="O153" s="14" t="s">
        <v>38</v>
      </c>
      <c r="P153" s="19">
        <v>42781.40347222222</v>
      </c>
      <c r="Q153" s="19">
        <v>42783.731944444444</v>
      </c>
      <c r="R153" s="19">
        <v>42783.731944444444</v>
      </c>
      <c r="S153" s="14" t="s">
        <v>203</v>
      </c>
      <c r="T153" s="14" t="s">
        <v>510</v>
      </c>
      <c r="U153" s="14" t="s">
        <v>96</v>
      </c>
      <c r="V153" s="14"/>
      <c r="W153" s="14">
        <v>0</v>
      </c>
      <c r="X153" s="14">
        <v>0</v>
      </c>
      <c r="Y153" s="14"/>
      <c r="Z153" s="14"/>
      <c r="AA153" s="14"/>
      <c r="AB153" s="14"/>
      <c r="AC153" s="14"/>
      <c r="AD153" s="14"/>
      <c r="AE153" s="14" t="s">
        <v>931</v>
      </c>
      <c r="AF153" s="14"/>
      <c r="AG153" s="14" t="s">
        <v>932</v>
      </c>
      <c r="AH153" s="14"/>
      <c r="AI153" s="14"/>
      <c r="AJ153" s="14"/>
      <c r="AK153" s="14"/>
      <c r="AL153" s="14"/>
      <c r="AM153" s="14"/>
      <c r="AN153" s="14" t="s">
        <v>229</v>
      </c>
      <c r="AO153" s="14" t="s">
        <v>933</v>
      </c>
      <c r="AP153" s="14"/>
      <c r="AQ153" s="14"/>
      <c r="AR153" s="22"/>
      <c r="AS153" s="22" t="s">
        <v>89</v>
      </c>
      <c r="AT153" s="22" t="s">
        <v>193</v>
      </c>
      <c r="AU153" s="25" t="str">
        <f>VLOOKUP(O153,[1]Lookup!A:B,2,FALSE)</f>
        <v>DMO</v>
      </c>
    </row>
    <row r="154" spans="1:47" ht="51.75" customHeight="1" x14ac:dyDescent="0.2">
      <c r="A154" s="27" t="s">
        <v>86</v>
      </c>
      <c r="B154" s="29" t="s">
        <v>934</v>
      </c>
      <c r="C154" s="27" t="s">
        <v>935</v>
      </c>
      <c r="D154" s="22" t="s">
        <v>229</v>
      </c>
      <c r="E154" s="22" t="s">
        <v>229</v>
      </c>
      <c r="F154" s="27"/>
      <c r="G154" s="27" t="s">
        <v>510</v>
      </c>
      <c r="H154" s="27"/>
      <c r="I154" s="27"/>
      <c r="J154" s="14" t="s">
        <v>91</v>
      </c>
      <c r="K154" s="14" t="s">
        <v>59</v>
      </c>
      <c r="L154" s="14" t="s">
        <v>103</v>
      </c>
      <c r="M154" s="14" t="s">
        <v>132</v>
      </c>
      <c r="N154" s="18" t="s">
        <v>202</v>
      </c>
      <c r="O154" s="14" t="s">
        <v>37</v>
      </c>
      <c r="P154" s="19">
        <v>42780.73541666667</v>
      </c>
      <c r="Q154" s="19">
        <v>42783.489583333336</v>
      </c>
      <c r="R154" s="19">
        <v>42783.489583333336</v>
      </c>
      <c r="S154" s="14" t="s">
        <v>203</v>
      </c>
      <c r="T154" s="14" t="s">
        <v>204</v>
      </c>
      <c r="U154" s="14" t="s">
        <v>242</v>
      </c>
      <c r="V154" s="14"/>
      <c r="W154" s="14">
        <v>0</v>
      </c>
      <c r="X154" s="14">
        <v>0</v>
      </c>
      <c r="Y154" s="14"/>
      <c r="Z154" s="14"/>
      <c r="AA154" s="14"/>
      <c r="AB154" s="14"/>
      <c r="AC154" s="14"/>
      <c r="AD154" s="14"/>
      <c r="AE154" s="14"/>
      <c r="AF154" s="14" t="s">
        <v>126</v>
      </c>
      <c r="AG154" s="14" t="s">
        <v>936</v>
      </c>
      <c r="AH154" s="14"/>
      <c r="AI154" s="14"/>
      <c r="AJ154" s="14"/>
      <c r="AK154" s="14"/>
      <c r="AL154" s="14"/>
      <c r="AM154" s="14"/>
      <c r="AN154" s="14" t="s">
        <v>937</v>
      </c>
      <c r="AO154" s="14"/>
      <c r="AP154" s="14"/>
      <c r="AQ154" s="14"/>
      <c r="AR154" s="22"/>
      <c r="AS154" s="22" t="s">
        <v>241</v>
      </c>
      <c r="AT154" s="22" t="s">
        <v>229</v>
      </c>
      <c r="AU154" s="25" t="str">
        <f>VLOOKUP(O154,[1]Lookup!A:B,2,FALSE)</f>
        <v>DMO</v>
      </c>
    </row>
    <row r="155" spans="1:47" ht="51.75" customHeight="1" x14ac:dyDescent="0.2">
      <c r="A155" s="27" t="s">
        <v>86</v>
      </c>
      <c r="B155" s="29" t="s">
        <v>938</v>
      </c>
      <c r="C155" s="27" t="s">
        <v>939</v>
      </c>
      <c r="D155" s="22" t="s">
        <v>241</v>
      </c>
      <c r="E155" s="22" t="s">
        <v>302</v>
      </c>
      <c r="F155" s="27"/>
      <c r="G155" s="27" t="s">
        <v>204</v>
      </c>
      <c r="H155" s="27"/>
      <c r="I155" s="27"/>
      <c r="J155" s="14" t="s">
        <v>91</v>
      </c>
      <c r="K155" s="14" t="s">
        <v>59</v>
      </c>
      <c r="L155" s="14" t="s">
        <v>103</v>
      </c>
      <c r="M155" s="14" t="s">
        <v>132</v>
      </c>
      <c r="N155" s="18" t="s">
        <v>202</v>
      </c>
      <c r="O155" s="14" t="s">
        <v>37</v>
      </c>
      <c r="P155" s="19">
        <v>42780.724999999999</v>
      </c>
      <c r="Q155" s="19">
        <v>42790.567361111112</v>
      </c>
      <c r="R155" s="19">
        <v>42790.567361111112</v>
      </c>
      <c r="S155" s="14" t="s">
        <v>203</v>
      </c>
      <c r="T155" s="14" t="s">
        <v>203</v>
      </c>
      <c r="U155" s="14" t="s">
        <v>242</v>
      </c>
      <c r="V155" s="14"/>
      <c r="W155" s="14">
        <v>0</v>
      </c>
      <c r="X155" s="14">
        <v>0</v>
      </c>
      <c r="Y155" s="14" t="s">
        <v>940</v>
      </c>
      <c r="Z155" s="14"/>
      <c r="AA155" s="14"/>
      <c r="AB155" s="14"/>
      <c r="AC155" s="14"/>
      <c r="AD155" s="14"/>
      <c r="AE155" s="14"/>
      <c r="AF155" s="14" t="s">
        <v>126</v>
      </c>
      <c r="AG155" s="14" t="s">
        <v>941</v>
      </c>
      <c r="AH155" s="14"/>
      <c r="AI155" s="14"/>
      <c r="AJ155" s="14"/>
      <c r="AK155" s="14"/>
      <c r="AL155" s="14"/>
      <c r="AM155" s="14"/>
      <c r="AN155" s="14" t="s">
        <v>909</v>
      </c>
      <c r="AO155" s="14" t="s">
        <v>942</v>
      </c>
      <c r="AP155" s="14" t="s">
        <v>779</v>
      </c>
      <c r="AQ155" s="14"/>
      <c r="AR155" s="22"/>
      <c r="AS155" s="22" t="s">
        <v>241</v>
      </c>
      <c r="AT155" s="22" t="s">
        <v>302</v>
      </c>
      <c r="AU155" s="25" t="str">
        <f>VLOOKUP(O155,[1]Lookup!A:B,2,FALSE)</f>
        <v>DMO</v>
      </c>
    </row>
    <row r="156" spans="1:47" ht="51.75" customHeight="1" x14ac:dyDescent="0.2">
      <c r="A156" s="27" t="s">
        <v>86</v>
      </c>
      <c r="B156" s="29" t="s">
        <v>943</v>
      </c>
      <c r="C156" s="27" t="s">
        <v>944</v>
      </c>
      <c r="D156" s="22" t="s">
        <v>241</v>
      </c>
      <c r="E156" s="22" t="s">
        <v>792</v>
      </c>
      <c r="F156" s="27"/>
      <c r="G156" s="27" t="s">
        <v>203</v>
      </c>
      <c r="H156" s="27"/>
      <c r="I156" s="27"/>
      <c r="J156" s="14" t="s">
        <v>91</v>
      </c>
      <c r="K156" s="14" t="s">
        <v>59</v>
      </c>
      <c r="L156" s="14" t="s">
        <v>167</v>
      </c>
      <c r="M156" s="14" t="s">
        <v>132</v>
      </c>
      <c r="N156" s="18" t="s">
        <v>202</v>
      </c>
      <c r="O156" s="14" t="s">
        <v>37</v>
      </c>
      <c r="P156" s="19">
        <v>42780.689583333333</v>
      </c>
      <c r="Q156" s="19">
        <v>42783.479166666664</v>
      </c>
      <c r="R156" s="19">
        <v>42783.479166666664</v>
      </c>
      <c r="S156" s="14" t="s">
        <v>203</v>
      </c>
      <c r="T156" s="14" t="s">
        <v>204</v>
      </c>
      <c r="U156" s="14" t="s">
        <v>96</v>
      </c>
      <c r="V156" s="14"/>
      <c r="W156" s="14">
        <v>0</v>
      </c>
      <c r="X156" s="14">
        <v>0</v>
      </c>
      <c r="Y156" s="20" t="s">
        <v>945</v>
      </c>
      <c r="Z156" s="14"/>
      <c r="AA156" s="14"/>
      <c r="AB156" s="14"/>
      <c r="AC156" s="14"/>
      <c r="AD156" s="14"/>
      <c r="AE156" s="14"/>
      <c r="AF156" s="14" t="s">
        <v>126</v>
      </c>
      <c r="AG156" s="14" t="s">
        <v>946</v>
      </c>
      <c r="AH156" s="14"/>
      <c r="AI156" s="14"/>
      <c r="AJ156" s="14"/>
      <c r="AK156" s="14"/>
      <c r="AL156" s="14"/>
      <c r="AM156" s="14"/>
      <c r="AN156" s="14" t="s">
        <v>235</v>
      </c>
      <c r="AO156" s="14" t="s">
        <v>229</v>
      </c>
      <c r="AP156" s="14"/>
      <c r="AQ156" s="14"/>
      <c r="AR156" s="22"/>
      <c r="AS156" s="22" t="s">
        <v>241</v>
      </c>
      <c r="AT156" s="22" t="s">
        <v>792</v>
      </c>
      <c r="AU156" s="25" t="str">
        <f>VLOOKUP(O156,[1]Lookup!A:B,2,FALSE)</f>
        <v>DMO</v>
      </c>
    </row>
    <row r="157" spans="1:47" ht="51.75" customHeight="1" x14ac:dyDescent="0.2">
      <c r="A157" s="27" t="s">
        <v>86</v>
      </c>
      <c r="B157" s="29" t="s">
        <v>947</v>
      </c>
      <c r="C157" s="27" t="s">
        <v>948</v>
      </c>
      <c r="D157" s="22" t="s">
        <v>229</v>
      </c>
      <c r="E157" s="22" t="s">
        <v>229</v>
      </c>
      <c r="F157" s="27"/>
      <c r="G157" s="27" t="s">
        <v>204</v>
      </c>
      <c r="H157" s="27"/>
      <c r="I157" s="27"/>
      <c r="J157" s="14" t="s">
        <v>91</v>
      </c>
      <c r="K157" s="14" t="s">
        <v>59</v>
      </c>
      <c r="L157" s="14" t="s">
        <v>103</v>
      </c>
      <c r="M157" s="14" t="s">
        <v>132</v>
      </c>
      <c r="N157" s="18" t="s">
        <v>202</v>
      </c>
      <c r="O157" s="14" t="s">
        <v>37</v>
      </c>
      <c r="P157" s="19">
        <v>42780.663888888892</v>
      </c>
      <c r="Q157" s="19">
        <v>42783.46875</v>
      </c>
      <c r="R157" s="19">
        <v>42783.46875</v>
      </c>
      <c r="S157" s="14" t="s">
        <v>203</v>
      </c>
      <c r="T157" s="14" t="s">
        <v>204</v>
      </c>
      <c r="U157" s="14" t="s">
        <v>242</v>
      </c>
      <c r="V157" s="14"/>
      <c r="W157" s="14">
        <v>0</v>
      </c>
      <c r="X157" s="14">
        <v>0</v>
      </c>
      <c r="Y157" s="14"/>
      <c r="Z157" s="14"/>
      <c r="AA157" s="14"/>
      <c r="AB157" s="14"/>
      <c r="AC157" s="14"/>
      <c r="AD157" s="14"/>
      <c r="AE157" s="14"/>
      <c r="AF157" s="14" t="s">
        <v>126</v>
      </c>
      <c r="AG157" s="14" t="s">
        <v>949</v>
      </c>
      <c r="AH157" s="14"/>
      <c r="AI157" s="14"/>
      <c r="AJ157" s="14"/>
      <c r="AK157" s="14"/>
      <c r="AL157" s="14"/>
      <c r="AM157" s="14"/>
      <c r="AN157" s="14"/>
      <c r="AO157" s="14"/>
      <c r="AP157" s="14" t="s">
        <v>950</v>
      </c>
      <c r="AQ157" s="14"/>
      <c r="AR157" s="22"/>
      <c r="AS157" s="22" t="s">
        <v>241</v>
      </c>
      <c r="AT157" s="22" t="s">
        <v>229</v>
      </c>
      <c r="AU157" s="25" t="str">
        <f>VLOOKUP(O157,[1]Lookup!A:B,2,FALSE)</f>
        <v>DMO</v>
      </c>
    </row>
    <row r="158" spans="1:47" ht="51.75" customHeight="1" x14ac:dyDescent="0.2">
      <c r="A158" s="27" t="s">
        <v>86</v>
      </c>
      <c r="B158" s="29" t="s">
        <v>951</v>
      </c>
      <c r="C158" s="27" t="s">
        <v>952</v>
      </c>
      <c r="D158" s="22" t="s">
        <v>229</v>
      </c>
      <c r="E158" s="22" t="s">
        <v>229</v>
      </c>
      <c r="F158" s="27"/>
      <c r="G158" s="27" t="s">
        <v>204</v>
      </c>
      <c r="H158" s="27"/>
      <c r="I158" s="27"/>
      <c r="J158" s="14" t="s">
        <v>91</v>
      </c>
      <c r="K158" s="14" t="s">
        <v>59</v>
      </c>
      <c r="L158" s="14" t="s">
        <v>167</v>
      </c>
      <c r="M158" s="14" t="s">
        <v>132</v>
      </c>
      <c r="N158" s="18" t="s">
        <v>202</v>
      </c>
      <c r="O158" s="14" t="s">
        <v>36</v>
      </c>
      <c r="P158" s="19">
        <v>42780.645833333336</v>
      </c>
      <c r="Q158" s="19">
        <v>42786.411111111112</v>
      </c>
      <c r="R158" s="19">
        <v>42786.411111111112</v>
      </c>
      <c r="S158" s="14" t="s">
        <v>203</v>
      </c>
      <c r="T158" s="14" t="s">
        <v>203</v>
      </c>
      <c r="U158" s="14" t="s">
        <v>96</v>
      </c>
      <c r="V158" s="14"/>
      <c r="W158" s="14">
        <v>0</v>
      </c>
      <c r="X158" s="14">
        <v>0</v>
      </c>
      <c r="Y158" s="20" t="s">
        <v>953</v>
      </c>
      <c r="Z158" s="14"/>
      <c r="AA158" s="14"/>
      <c r="AB158" s="14"/>
      <c r="AC158" s="14"/>
      <c r="AD158" s="14"/>
      <c r="AE158" s="14"/>
      <c r="AF158" s="14"/>
      <c r="AG158" s="14" t="s">
        <v>954</v>
      </c>
      <c r="AH158" s="14"/>
      <c r="AI158" s="14"/>
      <c r="AJ158" s="14"/>
      <c r="AK158" s="14"/>
      <c r="AL158" s="14"/>
      <c r="AM158" s="14"/>
      <c r="AN158" s="14"/>
      <c r="AO158" s="14" t="s">
        <v>261</v>
      </c>
      <c r="AP158" s="14"/>
      <c r="AQ158" s="14"/>
      <c r="AR158" s="22"/>
      <c r="AS158" s="22" t="s">
        <v>241</v>
      </c>
      <c r="AT158" s="22" t="s">
        <v>229</v>
      </c>
      <c r="AU158" s="25" t="str">
        <f>VLOOKUP(O158,[1]Lookup!A:B,2,FALSE)</f>
        <v>DMO</v>
      </c>
    </row>
    <row r="159" spans="1:47" ht="51.75" customHeight="1" x14ac:dyDescent="0.2">
      <c r="A159" s="27" t="s">
        <v>86</v>
      </c>
      <c r="B159" s="29" t="s">
        <v>955</v>
      </c>
      <c r="C159" s="27" t="s">
        <v>956</v>
      </c>
      <c r="D159" s="22" t="s">
        <v>96</v>
      </c>
      <c r="E159" s="22" t="s">
        <v>166</v>
      </c>
      <c r="F159" s="27"/>
      <c r="G159" s="27" t="s">
        <v>203</v>
      </c>
      <c r="H159" s="27"/>
      <c r="I159" s="27"/>
      <c r="J159" s="14" t="s">
        <v>91</v>
      </c>
      <c r="K159" s="14" t="s">
        <v>59</v>
      </c>
      <c r="L159" s="14" t="s">
        <v>103</v>
      </c>
      <c r="M159" s="14" t="s">
        <v>132</v>
      </c>
      <c r="N159" s="18" t="s">
        <v>202</v>
      </c>
      <c r="O159" s="14" t="s">
        <v>37</v>
      </c>
      <c r="P159" s="19">
        <v>42780.637499999997</v>
      </c>
      <c r="Q159" s="19">
        <v>42801.609027777777</v>
      </c>
      <c r="R159" s="19">
        <v>42801.609027777777</v>
      </c>
      <c r="S159" s="14" t="s">
        <v>203</v>
      </c>
      <c r="T159" s="14" t="s">
        <v>204</v>
      </c>
      <c r="U159" s="14" t="s">
        <v>96</v>
      </c>
      <c r="V159" s="14"/>
      <c r="W159" s="14">
        <v>0</v>
      </c>
      <c r="X159" s="14">
        <v>0</v>
      </c>
      <c r="Y159" s="20" t="s">
        <v>957</v>
      </c>
      <c r="Z159" s="14"/>
      <c r="AA159" s="14"/>
      <c r="AB159" s="14"/>
      <c r="AC159" s="14"/>
      <c r="AD159" s="14"/>
      <c r="AE159" s="14"/>
      <c r="AF159" s="14" t="s">
        <v>126</v>
      </c>
      <c r="AG159" s="14" t="s">
        <v>958</v>
      </c>
      <c r="AH159" s="14"/>
      <c r="AI159" s="14"/>
      <c r="AJ159" s="14"/>
      <c r="AK159" s="14"/>
      <c r="AL159" s="14"/>
      <c r="AM159" s="14"/>
      <c r="AN159" s="14" t="s">
        <v>229</v>
      </c>
      <c r="AO159" s="14" t="s">
        <v>229</v>
      </c>
      <c r="AP159" s="14"/>
      <c r="AQ159" s="14"/>
      <c r="AR159" s="22"/>
      <c r="AS159" s="22" t="s">
        <v>96</v>
      </c>
      <c r="AT159" s="22" t="s">
        <v>959</v>
      </c>
      <c r="AU159" s="25" t="str">
        <f>VLOOKUP(O159,[1]Lookup!A:B,2,FALSE)</f>
        <v>DMO</v>
      </c>
    </row>
    <row r="160" spans="1:47" ht="51.75" customHeight="1" x14ac:dyDescent="0.2">
      <c r="A160" s="27" t="s">
        <v>86</v>
      </c>
      <c r="B160" s="29" t="s">
        <v>960</v>
      </c>
      <c r="C160" s="27" t="s">
        <v>961</v>
      </c>
      <c r="D160" s="22" t="s">
        <v>229</v>
      </c>
      <c r="E160" s="22" t="s">
        <v>229</v>
      </c>
      <c r="F160" s="27"/>
      <c r="G160" s="27" t="s">
        <v>174</v>
      </c>
      <c r="H160" s="27"/>
      <c r="I160" s="27"/>
      <c r="J160" s="14" t="s">
        <v>91</v>
      </c>
      <c r="K160" s="14" t="s">
        <v>59</v>
      </c>
      <c r="L160" s="14" t="s">
        <v>124</v>
      </c>
      <c r="M160" s="14" t="s">
        <v>132</v>
      </c>
      <c r="N160" s="18" t="s">
        <v>37</v>
      </c>
      <c r="O160" s="14" t="s">
        <v>37</v>
      </c>
      <c r="P160" s="19">
        <v>42780.620138888888</v>
      </c>
      <c r="Q160" s="19">
        <v>42802.677083333336</v>
      </c>
      <c r="R160" s="19">
        <v>42802.674305555556</v>
      </c>
      <c r="S160" s="14" t="s">
        <v>203</v>
      </c>
      <c r="T160" s="14" t="s">
        <v>962</v>
      </c>
      <c r="U160" s="14" t="s">
        <v>412</v>
      </c>
      <c r="V160" s="14"/>
      <c r="W160" s="14">
        <v>0</v>
      </c>
      <c r="X160" s="14">
        <v>0</v>
      </c>
      <c r="Y160" s="14" t="s">
        <v>963</v>
      </c>
      <c r="Z160" s="14"/>
      <c r="AA160" s="14"/>
      <c r="AB160" s="14"/>
      <c r="AC160" s="14"/>
      <c r="AD160" s="14"/>
      <c r="AE160" s="14" t="s">
        <v>964</v>
      </c>
      <c r="AF160" s="14" t="s">
        <v>126</v>
      </c>
      <c r="AG160" s="14" t="s">
        <v>965</v>
      </c>
      <c r="AH160" s="14"/>
      <c r="AI160" s="14"/>
      <c r="AJ160" s="14"/>
      <c r="AK160" s="14"/>
      <c r="AL160" s="14"/>
      <c r="AM160" s="14"/>
      <c r="AN160" s="14" t="s">
        <v>966</v>
      </c>
      <c r="AO160" s="14" t="s">
        <v>967</v>
      </c>
      <c r="AP160" s="14"/>
      <c r="AQ160" s="14"/>
      <c r="AR160" s="22"/>
      <c r="AS160" s="22" t="s">
        <v>241</v>
      </c>
      <c r="AT160" s="22" t="s">
        <v>229</v>
      </c>
      <c r="AU160" s="25" t="str">
        <f>VLOOKUP(O160,[1]Lookup!A:B,2,FALSE)</f>
        <v>DMO</v>
      </c>
    </row>
    <row r="161" spans="1:47" ht="51.75" customHeight="1" x14ac:dyDescent="0.2">
      <c r="A161" s="27" t="s">
        <v>86</v>
      </c>
      <c r="B161" s="29" t="s">
        <v>968</v>
      </c>
      <c r="C161" s="27" t="s">
        <v>969</v>
      </c>
      <c r="D161" s="22" t="s">
        <v>89</v>
      </c>
      <c r="E161" s="22" t="s">
        <v>729</v>
      </c>
      <c r="F161" s="37" t="s">
        <v>104</v>
      </c>
      <c r="G161" s="27" t="s">
        <v>174</v>
      </c>
      <c r="H161" s="37" t="s">
        <v>104</v>
      </c>
      <c r="I161" s="37" t="s">
        <v>553</v>
      </c>
      <c r="J161" s="14" t="s">
        <v>91</v>
      </c>
      <c r="K161" s="14" t="s">
        <v>59</v>
      </c>
      <c r="L161" s="14" t="s">
        <v>167</v>
      </c>
      <c r="M161" s="14" t="s">
        <v>132</v>
      </c>
      <c r="N161" s="18" t="s">
        <v>21</v>
      </c>
      <c r="O161" s="14" t="s">
        <v>38</v>
      </c>
      <c r="P161" s="19">
        <v>42780.618055555555</v>
      </c>
      <c r="Q161" s="19">
        <v>42783.734722222223</v>
      </c>
      <c r="R161" s="19">
        <v>42783.734722222223</v>
      </c>
      <c r="S161" s="14" t="s">
        <v>203</v>
      </c>
      <c r="T161" s="14" t="s">
        <v>204</v>
      </c>
      <c r="U161" s="14" t="s">
        <v>242</v>
      </c>
      <c r="V161" s="14"/>
      <c r="W161" s="14">
        <v>0</v>
      </c>
      <c r="X161" s="14">
        <v>0</v>
      </c>
      <c r="Y161" s="14"/>
      <c r="Z161" s="14"/>
      <c r="AA161" s="14"/>
      <c r="AB161" s="14"/>
      <c r="AC161" s="14"/>
      <c r="AD161" s="14"/>
      <c r="AE161" s="14"/>
      <c r="AF161" s="14" t="s">
        <v>823</v>
      </c>
      <c r="AG161" s="14" t="s">
        <v>970</v>
      </c>
      <c r="AH161" s="14"/>
      <c r="AI161" s="14"/>
      <c r="AJ161" s="14"/>
      <c r="AK161" s="14"/>
      <c r="AL161" s="14"/>
      <c r="AM161" s="14"/>
      <c r="AN161" s="14"/>
      <c r="AO161" s="14" t="s">
        <v>229</v>
      </c>
      <c r="AP161" s="14"/>
      <c r="AQ161" s="14"/>
      <c r="AR161" s="22"/>
      <c r="AS161" s="22" t="s">
        <v>89</v>
      </c>
      <c r="AT161" s="22" t="s">
        <v>729</v>
      </c>
      <c r="AU161" s="25" t="str">
        <f>VLOOKUP(O161,[1]Lookup!A:B,2,FALSE)</f>
        <v>DMO</v>
      </c>
    </row>
    <row r="162" spans="1:47" ht="51.75" customHeight="1" x14ac:dyDescent="0.2">
      <c r="A162" s="27" t="s">
        <v>86</v>
      </c>
      <c r="B162" s="29" t="s">
        <v>971</v>
      </c>
      <c r="C162" s="27" t="s">
        <v>972</v>
      </c>
      <c r="D162" s="22" t="s">
        <v>229</v>
      </c>
      <c r="E162" s="22" t="s">
        <v>229</v>
      </c>
      <c r="F162" s="27"/>
      <c r="G162" s="27" t="s">
        <v>204</v>
      </c>
      <c r="H162" s="27"/>
      <c r="I162" s="27"/>
      <c r="J162" s="14" t="s">
        <v>91</v>
      </c>
      <c r="K162" s="14" t="s">
        <v>59</v>
      </c>
      <c r="L162" s="14" t="s">
        <v>103</v>
      </c>
      <c r="M162" s="14" t="s">
        <v>132</v>
      </c>
      <c r="N162" s="18" t="s">
        <v>21</v>
      </c>
      <c r="O162" s="14" t="s">
        <v>37</v>
      </c>
      <c r="P162" s="19">
        <v>42780.606249999997</v>
      </c>
      <c r="Q162" s="19">
        <v>42783.775000000001</v>
      </c>
      <c r="R162" s="19">
        <v>42783.775000000001</v>
      </c>
      <c r="S162" s="14" t="s">
        <v>203</v>
      </c>
      <c r="T162" s="14" t="s">
        <v>203</v>
      </c>
      <c r="U162" s="14" t="s">
        <v>96</v>
      </c>
      <c r="V162" s="14"/>
      <c r="W162" s="14">
        <v>0</v>
      </c>
      <c r="X162" s="14">
        <v>0</v>
      </c>
      <c r="Y162" s="14" t="s">
        <v>973</v>
      </c>
      <c r="Z162" s="14"/>
      <c r="AA162" s="14"/>
      <c r="AB162" s="14"/>
      <c r="AC162" s="14"/>
      <c r="AD162" s="14"/>
      <c r="AE162" s="14"/>
      <c r="AF162" s="14" t="s">
        <v>126</v>
      </c>
      <c r="AG162" s="14" t="s">
        <v>974</v>
      </c>
      <c r="AH162" s="14"/>
      <c r="AI162" s="14"/>
      <c r="AJ162" s="14"/>
      <c r="AK162" s="14"/>
      <c r="AL162" s="14"/>
      <c r="AM162" s="14"/>
      <c r="AN162" s="14"/>
      <c r="AO162" s="14" t="s">
        <v>261</v>
      </c>
      <c r="AP162" s="14"/>
      <c r="AQ162" s="14"/>
      <c r="AR162" s="22"/>
      <c r="AS162" s="22" t="s">
        <v>241</v>
      </c>
      <c r="AT162" s="22" t="s">
        <v>229</v>
      </c>
      <c r="AU162" s="25" t="str">
        <f>VLOOKUP(O162,[1]Lookup!A:B,2,FALSE)</f>
        <v>DMO</v>
      </c>
    </row>
    <row r="163" spans="1:47" ht="51.75" customHeight="1" x14ac:dyDescent="0.2">
      <c r="A163" s="27" t="s">
        <v>86</v>
      </c>
      <c r="B163" s="29" t="s">
        <v>975</v>
      </c>
      <c r="C163" s="27" t="s">
        <v>976</v>
      </c>
      <c r="D163" s="22" t="s">
        <v>96</v>
      </c>
      <c r="E163" s="22" t="s">
        <v>166</v>
      </c>
      <c r="F163" s="27"/>
      <c r="G163" s="27" t="s">
        <v>203</v>
      </c>
      <c r="H163" s="27"/>
      <c r="I163" s="27"/>
      <c r="J163" s="14" t="s">
        <v>91</v>
      </c>
      <c r="K163" s="14" t="s">
        <v>59</v>
      </c>
      <c r="L163" s="14" t="s">
        <v>93</v>
      </c>
      <c r="M163" s="14" t="s">
        <v>132</v>
      </c>
      <c r="N163" s="18" t="s">
        <v>21</v>
      </c>
      <c r="O163" s="14" t="s">
        <v>38</v>
      </c>
      <c r="P163" s="19">
        <v>42780.595138888886</v>
      </c>
      <c r="Q163" s="19">
        <v>42793.581944444442</v>
      </c>
      <c r="R163" s="19">
        <v>42793.581944444442</v>
      </c>
      <c r="S163" s="14" t="s">
        <v>203</v>
      </c>
      <c r="T163" s="14" t="s">
        <v>203</v>
      </c>
      <c r="U163" s="14" t="s">
        <v>96</v>
      </c>
      <c r="V163" s="14"/>
      <c r="W163" s="14">
        <v>0</v>
      </c>
      <c r="X163" s="14">
        <v>0</v>
      </c>
      <c r="Y163" s="14" t="s">
        <v>977</v>
      </c>
      <c r="Z163" s="14"/>
      <c r="AA163" s="14"/>
      <c r="AB163" s="14"/>
      <c r="AC163" s="14"/>
      <c r="AD163" s="14"/>
      <c r="AE163" s="14" t="s">
        <v>888</v>
      </c>
      <c r="AF163" s="14"/>
      <c r="AG163" s="14" t="s">
        <v>978</v>
      </c>
      <c r="AH163" s="14"/>
      <c r="AI163" s="14"/>
      <c r="AJ163" s="14"/>
      <c r="AK163" s="14"/>
      <c r="AL163" s="14"/>
      <c r="AM163" s="14"/>
      <c r="AN163" s="14"/>
      <c r="AO163" s="14" t="s">
        <v>979</v>
      </c>
      <c r="AP163" s="14"/>
      <c r="AQ163" s="14"/>
      <c r="AR163" s="22"/>
      <c r="AS163" s="22" t="s">
        <v>96</v>
      </c>
      <c r="AT163" s="22" t="s">
        <v>166</v>
      </c>
      <c r="AU163" s="25" t="str">
        <f>VLOOKUP(O163,[1]Lookup!A:B,2,FALSE)</f>
        <v>DMO</v>
      </c>
    </row>
    <row r="164" spans="1:47" ht="51.75" customHeight="1" x14ac:dyDescent="0.2">
      <c r="A164" s="27" t="s">
        <v>86</v>
      </c>
      <c r="B164" s="29" t="s">
        <v>885</v>
      </c>
      <c r="C164" s="27" t="s">
        <v>980</v>
      </c>
      <c r="D164" s="22" t="s">
        <v>241</v>
      </c>
      <c r="E164" s="22" t="s">
        <v>792</v>
      </c>
      <c r="F164" s="27"/>
      <c r="G164" s="27" t="s">
        <v>203</v>
      </c>
      <c r="H164" s="27"/>
      <c r="I164" s="27"/>
      <c r="J164" s="14" t="s">
        <v>91</v>
      </c>
      <c r="K164" s="14" t="s">
        <v>59</v>
      </c>
      <c r="L164" s="14" t="s">
        <v>103</v>
      </c>
      <c r="M164" s="14" t="s">
        <v>132</v>
      </c>
      <c r="N164" s="18" t="s">
        <v>202</v>
      </c>
      <c r="O164" s="14" t="s">
        <v>37</v>
      </c>
      <c r="P164" s="19">
        <v>42780.586805555555</v>
      </c>
      <c r="Q164" s="19">
        <v>42782.429861111108</v>
      </c>
      <c r="R164" s="19">
        <v>42782.429861111108</v>
      </c>
      <c r="S164" s="14" t="s">
        <v>203</v>
      </c>
      <c r="T164" s="14" t="s">
        <v>203</v>
      </c>
      <c r="U164" s="14" t="s">
        <v>96</v>
      </c>
      <c r="V164" s="14"/>
      <c r="W164" s="14">
        <v>0</v>
      </c>
      <c r="X164" s="14">
        <v>0</v>
      </c>
      <c r="Y164" s="20" t="s">
        <v>981</v>
      </c>
      <c r="Z164" s="14"/>
      <c r="AA164" s="14"/>
      <c r="AB164" s="14"/>
      <c r="AC164" s="14"/>
      <c r="AD164" s="14"/>
      <c r="AE164" s="14"/>
      <c r="AF164" s="14" t="s">
        <v>126</v>
      </c>
      <c r="AG164" s="14" t="s">
        <v>982</v>
      </c>
      <c r="AH164" s="14"/>
      <c r="AI164" s="14"/>
      <c r="AJ164" s="14"/>
      <c r="AK164" s="14"/>
      <c r="AL164" s="14"/>
      <c r="AM164" s="14"/>
      <c r="AN164" s="14"/>
      <c r="AO164" s="14" t="s">
        <v>983</v>
      </c>
      <c r="AP164" s="14" t="s">
        <v>163</v>
      </c>
      <c r="AQ164" s="14"/>
      <c r="AR164" s="22"/>
      <c r="AS164" s="22" t="s">
        <v>241</v>
      </c>
      <c r="AT164" s="22" t="s">
        <v>792</v>
      </c>
      <c r="AU164" s="25" t="str">
        <f>VLOOKUP(O164,[1]Lookup!A:B,2,FALSE)</f>
        <v>DMO</v>
      </c>
    </row>
    <row r="165" spans="1:47" ht="51.75" customHeight="1" x14ac:dyDescent="0.2">
      <c r="A165" s="27" t="s">
        <v>86</v>
      </c>
      <c r="B165" s="29" t="s">
        <v>984</v>
      </c>
      <c r="C165" s="27" t="s">
        <v>985</v>
      </c>
      <c r="D165" s="22" t="s">
        <v>89</v>
      </c>
      <c r="E165" s="22" t="s">
        <v>90</v>
      </c>
      <c r="F165" s="27"/>
      <c r="G165" s="27" t="s">
        <v>203</v>
      </c>
      <c r="H165" s="27"/>
      <c r="I165" s="27"/>
      <c r="J165" s="14" t="s">
        <v>91</v>
      </c>
      <c r="K165" s="14" t="s">
        <v>59</v>
      </c>
      <c r="L165" s="14" t="s">
        <v>93</v>
      </c>
      <c r="M165" s="14" t="s">
        <v>132</v>
      </c>
      <c r="N165" s="18" t="s">
        <v>202</v>
      </c>
      <c r="O165" s="14" t="s">
        <v>37</v>
      </c>
      <c r="P165" s="19">
        <v>42780.580555555556</v>
      </c>
      <c r="Q165" s="19">
        <v>42786.38958333333</v>
      </c>
      <c r="R165" s="19">
        <v>42786.38958333333</v>
      </c>
      <c r="S165" s="14" t="s">
        <v>203</v>
      </c>
      <c r="T165" s="14" t="s">
        <v>203</v>
      </c>
      <c r="U165" s="14" t="s">
        <v>96</v>
      </c>
      <c r="V165" s="14"/>
      <c r="W165" s="14">
        <v>0</v>
      </c>
      <c r="X165" s="14">
        <v>0</v>
      </c>
      <c r="Y165" s="20" t="s">
        <v>986</v>
      </c>
      <c r="Z165" s="14"/>
      <c r="AA165" s="14"/>
      <c r="AB165" s="14"/>
      <c r="AC165" s="14"/>
      <c r="AD165" s="14"/>
      <c r="AE165" s="14"/>
      <c r="AF165" s="14"/>
      <c r="AG165" s="14" t="s">
        <v>987</v>
      </c>
      <c r="AH165" s="14"/>
      <c r="AI165" s="14"/>
      <c r="AJ165" s="14"/>
      <c r="AK165" s="14"/>
      <c r="AL165" s="14"/>
      <c r="AM165" s="14"/>
      <c r="AN165" s="14"/>
      <c r="AO165" s="14" t="s">
        <v>988</v>
      </c>
      <c r="AP165" s="14" t="s">
        <v>146</v>
      </c>
      <c r="AQ165" s="14"/>
      <c r="AR165" s="22"/>
      <c r="AS165" s="22" t="s">
        <v>89</v>
      </c>
      <c r="AT165" s="22" t="s">
        <v>90</v>
      </c>
      <c r="AU165" s="25" t="str">
        <f>VLOOKUP(O165,[1]Lookup!A:B,2,FALSE)</f>
        <v>DMO</v>
      </c>
    </row>
    <row r="166" spans="1:47" ht="51.75" customHeight="1" x14ac:dyDescent="0.2">
      <c r="A166" s="27" t="s">
        <v>86</v>
      </c>
      <c r="B166" s="29" t="s">
        <v>989</v>
      </c>
      <c r="C166" s="27" t="s">
        <v>990</v>
      </c>
      <c r="D166" s="22" t="s">
        <v>89</v>
      </c>
      <c r="E166" s="22" t="s">
        <v>90</v>
      </c>
      <c r="F166" s="27"/>
      <c r="G166" s="27" t="s">
        <v>203</v>
      </c>
      <c r="H166" s="27"/>
      <c r="I166" s="27"/>
      <c r="J166" s="14" t="s">
        <v>91</v>
      </c>
      <c r="K166" s="14" t="s">
        <v>59</v>
      </c>
      <c r="L166" s="14" t="s">
        <v>93</v>
      </c>
      <c r="M166" s="14" t="s">
        <v>132</v>
      </c>
      <c r="N166" s="18" t="s">
        <v>202</v>
      </c>
      <c r="O166" s="14" t="s">
        <v>36</v>
      </c>
      <c r="P166" s="19">
        <v>42780.576388888891</v>
      </c>
      <c r="Q166" s="19">
        <v>42790.468055555553</v>
      </c>
      <c r="R166" s="19">
        <v>42790.468055555553</v>
      </c>
      <c r="S166" s="14" t="s">
        <v>203</v>
      </c>
      <c r="T166" s="14" t="s">
        <v>204</v>
      </c>
      <c r="U166" s="14" t="s">
        <v>96</v>
      </c>
      <c r="V166" s="14"/>
      <c r="W166" s="14">
        <v>0</v>
      </c>
      <c r="X166" s="14">
        <v>0</v>
      </c>
      <c r="Y166" s="14" t="s">
        <v>991</v>
      </c>
      <c r="Z166" s="14"/>
      <c r="AA166" s="14"/>
      <c r="AB166" s="14"/>
      <c r="AC166" s="14"/>
      <c r="AD166" s="14"/>
      <c r="AE166" s="14"/>
      <c r="AF166" s="14" t="s">
        <v>126</v>
      </c>
      <c r="AG166" s="14" t="s">
        <v>992</v>
      </c>
      <c r="AH166" s="14"/>
      <c r="AI166" s="14"/>
      <c r="AJ166" s="14"/>
      <c r="AK166" s="14"/>
      <c r="AL166" s="14"/>
      <c r="AM166" s="14"/>
      <c r="AN166" s="14" t="s">
        <v>229</v>
      </c>
      <c r="AO166" s="14" t="s">
        <v>229</v>
      </c>
      <c r="AP166" s="14"/>
      <c r="AQ166" s="14"/>
      <c r="AR166" s="22"/>
      <c r="AS166" s="22" t="s">
        <v>89</v>
      </c>
      <c r="AT166" s="22" t="s">
        <v>90</v>
      </c>
      <c r="AU166" s="25" t="str">
        <f>VLOOKUP(O166,[1]Lookup!A:B,2,FALSE)</f>
        <v>DMO</v>
      </c>
    </row>
    <row r="167" spans="1:47" ht="51.75" customHeight="1" x14ac:dyDescent="0.2">
      <c r="A167" s="27" t="s">
        <v>86</v>
      </c>
      <c r="B167" s="29" t="s">
        <v>993</v>
      </c>
      <c r="C167" s="27" t="s">
        <v>994</v>
      </c>
      <c r="D167" s="22" t="s">
        <v>229</v>
      </c>
      <c r="E167" s="22" t="s">
        <v>229</v>
      </c>
      <c r="F167" s="27"/>
      <c r="G167" s="27" t="s">
        <v>204</v>
      </c>
      <c r="H167" s="27"/>
      <c r="I167" s="27"/>
      <c r="J167" s="14" t="s">
        <v>91</v>
      </c>
      <c r="K167" s="14" t="s">
        <v>59</v>
      </c>
      <c r="L167" s="14" t="s">
        <v>93</v>
      </c>
      <c r="M167" s="14" t="s">
        <v>132</v>
      </c>
      <c r="N167" s="18" t="s">
        <v>202</v>
      </c>
      <c r="O167" s="14" t="s">
        <v>36</v>
      </c>
      <c r="P167" s="19">
        <v>42780.559027777781</v>
      </c>
      <c r="Q167" s="19">
        <v>42790.457638888889</v>
      </c>
      <c r="R167" s="19">
        <v>42790.457638888889</v>
      </c>
      <c r="S167" s="14" t="s">
        <v>203</v>
      </c>
      <c r="T167" s="14" t="s">
        <v>203</v>
      </c>
      <c r="U167" s="14" t="s">
        <v>242</v>
      </c>
      <c r="V167" s="14"/>
      <c r="W167" s="14">
        <v>0</v>
      </c>
      <c r="X167" s="14">
        <v>0</v>
      </c>
      <c r="Y167" s="14" t="s">
        <v>995</v>
      </c>
      <c r="Z167" s="14"/>
      <c r="AA167" s="14"/>
      <c r="AB167" s="14"/>
      <c r="AC167" s="14"/>
      <c r="AD167" s="14"/>
      <c r="AE167" s="14"/>
      <c r="AF167" s="14" t="s">
        <v>126</v>
      </c>
      <c r="AG167" s="14" t="s">
        <v>996</v>
      </c>
      <c r="AH167" s="14"/>
      <c r="AI167" s="14"/>
      <c r="AJ167" s="14"/>
      <c r="AK167" s="14"/>
      <c r="AL167" s="14"/>
      <c r="AM167" s="14"/>
      <c r="AN167" s="14"/>
      <c r="AO167" s="14" t="s">
        <v>997</v>
      </c>
      <c r="AP167" s="14"/>
      <c r="AQ167" s="14"/>
      <c r="AR167" s="22"/>
      <c r="AS167" s="22" t="s">
        <v>89</v>
      </c>
      <c r="AT167" s="22" t="s">
        <v>229</v>
      </c>
      <c r="AU167" s="25" t="str">
        <f>VLOOKUP(O167,[1]Lookup!A:B,2,FALSE)</f>
        <v>DMO</v>
      </c>
    </row>
    <row r="168" spans="1:47" ht="51.75" customHeight="1" x14ac:dyDescent="0.2">
      <c r="A168" s="27" t="s">
        <v>86</v>
      </c>
      <c r="B168" s="29" t="s">
        <v>998</v>
      </c>
      <c r="C168" s="27" t="s">
        <v>999</v>
      </c>
      <c r="D168" s="22" t="s">
        <v>241</v>
      </c>
      <c r="E168" s="22" t="s">
        <v>792</v>
      </c>
      <c r="F168" s="27"/>
      <c r="G168" s="27" t="s">
        <v>203</v>
      </c>
      <c r="H168" s="27"/>
      <c r="I168" s="27"/>
      <c r="J168" s="14" t="s">
        <v>91</v>
      </c>
      <c r="K168" s="14" t="s">
        <v>59</v>
      </c>
      <c r="L168" s="14" t="s">
        <v>93</v>
      </c>
      <c r="M168" s="14" t="s">
        <v>132</v>
      </c>
      <c r="N168" s="18" t="s">
        <v>30</v>
      </c>
      <c r="O168" s="14" t="s">
        <v>30</v>
      </c>
      <c r="P168" s="19">
        <v>42780.502083333333</v>
      </c>
      <c r="Q168" s="19">
        <v>42788.790972222225</v>
      </c>
      <c r="R168" s="19">
        <v>42788.790972222225</v>
      </c>
      <c r="S168" s="14" t="s">
        <v>660</v>
      </c>
      <c r="T168" s="14" t="s">
        <v>660</v>
      </c>
      <c r="U168" s="14" t="s">
        <v>242</v>
      </c>
      <c r="V168" s="14"/>
      <c r="W168" s="14">
        <v>0</v>
      </c>
      <c r="X168" s="14">
        <v>0</v>
      </c>
      <c r="Y168" s="14"/>
      <c r="Z168" s="14"/>
      <c r="AA168" s="14"/>
      <c r="AB168" s="14"/>
      <c r="AC168" s="14"/>
      <c r="AD168" s="14"/>
      <c r="AE168" s="14"/>
      <c r="AF168" s="14" t="s">
        <v>1000</v>
      </c>
      <c r="AG168" s="14" t="s">
        <v>1001</v>
      </c>
      <c r="AH168" s="14"/>
      <c r="AI168" s="14"/>
      <c r="AJ168" s="14"/>
      <c r="AK168" s="14"/>
      <c r="AL168" s="14"/>
      <c r="AM168" s="14"/>
      <c r="AN168" s="14" t="s">
        <v>229</v>
      </c>
      <c r="AO168" s="14" t="s">
        <v>1002</v>
      </c>
      <c r="AP168" s="14"/>
      <c r="AQ168" s="14"/>
      <c r="AR168" s="22"/>
      <c r="AS168" s="22" t="s">
        <v>241</v>
      </c>
      <c r="AT168" s="22" t="s">
        <v>792</v>
      </c>
      <c r="AU168" s="25" t="str">
        <f>VLOOKUP(O168,[1]Lookup!A:B,2,FALSE)</f>
        <v>Test-SIT</v>
      </c>
    </row>
    <row r="169" spans="1:47" ht="51.75" customHeight="1" x14ac:dyDescent="0.2">
      <c r="A169" s="27" t="s">
        <v>86</v>
      </c>
      <c r="B169" s="29" t="s">
        <v>1003</v>
      </c>
      <c r="C169" s="27" t="s">
        <v>1004</v>
      </c>
      <c r="D169" s="22" t="s">
        <v>241</v>
      </c>
      <c r="E169" s="22" t="s">
        <v>792</v>
      </c>
      <c r="F169" s="27"/>
      <c r="G169" s="27" t="s">
        <v>660</v>
      </c>
      <c r="H169" s="27"/>
      <c r="I169" s="27"/>
      <c r="J169" s="14" t="s">
        <v>91</v>
      </c>
      <c r="K169" s="14" t="s">
        <v>59</v>
      </c>
      <c r="L169" s="14" t="s">
        <v>93</v>
      </c>
      <c r="M169" s="14" t="s">
        <v>132</v>
      </c>
      <c r="N169" s="18" t="s">
        <v>21</v>
      </c>
      <c r="O169" s="14" t="s">
        <v>30</v>
      </c>
      <c r="P169" s="19">
        <v>42780.500694444447</v>
      </c>
      <c r="Q169" s="19">
        <v>42793.439583333333</v>
      </c>
      <c r="R169" s="19">
        <v>42793.439583333333</v>
      </c>
      <c r="S169" s="14" t="s">
        <v>660</v>
      </c>
      <c r="T169" s="14" t="s">
        <v>660</v>
      </c>
      <c r="U169" s="14" t="s">
        <v>242</v>
      </c>
      <c r="V169" s="14"/>
      <c r="W169" s="14">
        <v>0</v>
      </c>
      <c r="X169" s="14">
        <v>0</v>
      </c>
      <c r="Y169" s="14"/>
      <c r="Z169" s="14"/>
      <c r="AA169" s="14"/>
      <c r="AB169" s="14"/>
      <c r="AC169" s="14"/>
      <c r="AD169" s="14"/>
      <c r="AE169" s="14"/>
      <c r="AF169" s="14" t="s">
        <v>1000</v>
      </c>
      <c r="AG169" s="14" t="s">
        <v>1005</v>
      </c>
      <c r="AH169" s="14"/>
      <c r="AI169" s="14"/>
      <c r="AJ169" s="14"/>
      <c r="AK169" s="14"/>
      <c r="AL169" s="14"/>
      <c r="AM169" s="14"/>
      <c r="AN169" s="14"/>
      <c r="AO169" s="14" t="s">
        <v>792</v>
      </c>
      <c r="AP169" s="14"/>
      <c r="AQ169" s="14"/>
      <c r="AR169" s="22"/>
      <c r="AS169" s="22" t="s">
        <v>241</v>
      </c>
      <c r="AT169" s="22" t="s">
        <v>792</v>
      </c>
      <c r="AU169" s="25" t="str">
        <f>VLOOKUP(O169,[1]Lookup!A:B,2,FALSE)</f>
        <v>Test-SIT</v>
      </c>
    </row>
    <row r="170" spans="1:47" ht="51.75" customHeight="1" x14ac:dyDescent="0.2">
      <c r="A170" s="27" t="s">
        <v>86</v>
      </c>
      <c r="B170" s="29" t="s">
        <v>1006</v>
      </c>
      <c r="C170" s="27" t="s">
        <v>1007</v>
      </c>
      <c r="D170" s="22" t="s">
        <v>241</v>
      </c>
      <c r="E170" s="22" t="s">
        <v>792</v>
      </c>
      <c r="F170" s="27"/>
      <c r="G170" s="27" t="s">
        <v>660</v>
      </c>
      <c r="H170" s="27"/>
      <c r="I170" s="27"/>
      <c r="J170" s="14" t="s">
        <v>91</v>
      </c>
      <c r="K170" s="14" t="s">
        <v>59</v>
      </c>
      <c r="L170" s="14" t="s">
        <v>93</v>
      </c>
      <c r="M170" s="14" t="s">
        <v>132</v>
      </c>
      <c r="N170" s="18" t="s">
        <v>202</v>
      </c>
      <c r="O170" s="14" t="s">
        <v>36</v>
      </c>
      <c r="P170" s="19">
        <v>42780.498611111114</v>
      </c>
      <c r="Q170" s="19">
        <v>42799.780555555553</v>
      </c>
      <c r="R170" s="19">
        <v>42783.751388888886</v>
      </c>
      <c r="S170" s="14" t="s">
        <v>203</v>
      </c>
      <c r="T170" s="14" t="s">
        <v>203</v>
      </c>
      <c r="U170" s="14" t="s">
        <v>96</v>
      </c>
      <c r="V170" s="14"/>
      <c r="W170" s="14">
        <v>0</v>
      </c>
      <c r="X170" s="14">
        <v>0</v>
      </c>
      <c r="Y170" s="14" t="s">
        <v>1008</v>
      </c>
      <c r="Z170" s="14"/>
      <c r="AA170" s="14"/>
      <c r="AB170" s="14"/>
      <c r="AC170" s="14"/>
      <c r="AD170" s="14"/>
      <c r="AE170" s="14" t="s">
        <v>1009</v>
      </c>
      <c r="AF170" s="14" t="s">
        <v>126</v>
      </c>
      <c r="AG170" s="14" t="s">
        <v>1010</v>
      </c>
      <c r="AH170" s="14"/>
      <c r="AI170" s="14"/>
      <c r="AJ170" s="14"/>
      <c r="AK170" s="14"/>
      <c r="AL170" s="14"/>
      <c r="AM170" s="14"/>
      <c r="AN170" s="14" t="s">
        <v>904</v>
      </c>
      <c r="AO170" s="14" t="s">
        <v>1011</v>
      </c>
      <c r="AP170" s="14" t="s">
        <v>250</v>
      </c>
      <c r="AQ170" s="14"/>
      <c r="AR170" s="22"/>
      <c r="AS170" s="22" t="s">
        <v>241</v>
      </c>
      <c r="AT170" s="22" t="s">
        <v>792</v>
      </c>
      <c r="AU170" s="25" t="str">
        <f>VLOOKUP(O170,[1]Lookup!A:B,2,FALSE)</f>
        <v>DMO</v>
      </c>
    </row>
    <row r="171" spans="1:47" ht="51.75" customHeight="1" x14ac:dyDescent="0.2">
      <c r="A171" s="27" t="s">
        <v>86</v>
      </c>
      <c r="B171" s="29" t="s">
        <v>1012</v>
      </c>
      <c r="C171" s="27" t="s">
        <v>1013</v>
      </c>
      <c r="D171" s="22" t="s">
        <v>96</v>
      </c>
      <c r="E171" s="22" t="s">
        <v>166</v>
      </c>
      <c r="F171" s="27"/>
      <c r="G171" s="27" t="s">
        <v>203</v>
      </c>
      <c r="H171" s="27"/>
      <c r="I171" s="27"/>
      <c r="J171" s="14" t="s">
        <v>91</v>
      </c>
      <c r="K171" s="14" t="s">
        <v>59</v>
      </c>
      <c r="L171" s="14" t="s">
        <v>93</v>
      </c>
      <c r="M171" s="14" t="s">
        <v>132</v>
      </c>
      <c r="N171" s="18" t="s">
        <v>202</v>
      </c>
      <c r="O171" s="14" t="s">
        <v>36</v>
      </c>
      <c r="P171" s="19">
        <v>42780.491666666669</v>
      </c>
      <c r="Q171" s="19">
        <v>42799.78125</v>
      </c>
      <c r="R171" s="19">
        <v>42783.750694444447</v>
      </c>
      <c r="S171" s="14" t="s">
        <v>203</v>
      </c>
      <c r="T171" s="14" t="s">
        <v>203</v>
      </c>
      <c r="U171" s="14" t="s">
        <v>96</v>
      </c>
      <c r="V171" s="14"/>
      <c r="W171" s="14">
        <v>0</v>
      </c>
      <c r="X171" s="14">
        <v>0</v>
      </c>
      <c r="Y171" s="14" t="s">
        <v>1014</v>
      </c>
      <c r="Z171" s="14"/>
      <c r="AA171" s="14"/>
      <c r="AB171" s="14"/>
      <c r="AC171" s="14"/>
      <c r="AD171" s="14"/>
      <c r="AE171" s="14" t="s">
        <v>1009</v>
      </c>
      <c r="AF171" s="14" t="s">
        <v>126</v>
      </c>
      <c r="AG171" s="14" t="s">
        <v>1015</v>
      </c>
      <c r="AH171" s="14"/>
      <c r="AI171" s="14"/>
      <c r="AJ171" s="14"/>
      <c r="AK171" s="14"/>
      <c r="AL171" s="14"/>
      <c r="AM171" s="14"/>
      <c r="AN171" s="14" t="s">
        <v>904</v>
      </c>
      <c r="AO171" s="14" t="s">
        <v>1016</v>
      </c>
      <c r="AP171" s="14" t="s">
        <v>163</v>
      </c>
      <c r="AQ171" s="14"/>
      <c r="AR171" s="22"/>
      <c r="AS171" s="22" t="s">
        <v>96</v>
      </c>
      <c r="AT171" s="22" t="s">
        <v>261</v>
      </c>
      <c r="AU171" s="25" t="str">
        <f>VLOOKUP(O171,[1]Lookup!A:B,2,FALSE)</f>
        <v>DMO</v>
      </c>
    </row>
    <row r="172" spans="1:47" ht="51.75" customHeight="1" x14ac:dyDescent="0.2">
      <c r="A172" s="27" t="s">
        <v>86</v>
      </c>
      <c r="B172" s="29" t="s">
        <v>1017</v>
      </c>
      <c r="C172" s="27" t="s">
        <v>1018</v>
      </c>
      <c r="D172" s="22" t="s">
        <v>96</v>
      </c>
      <c r="E172" s="22" t="s">
        <v>166</v>
      </c>
      <c r="F172" s="27"/>
      <c r="G172" s="27" t="s">
        <v>203</v>
      </c>
      <c r="H172" s="27"/>
      <c r="I172" s="27"/>
      <c r="J172" s="14" t="s">
        <v>91</v>
      </c>
      <c r="K172" s="14" t="s">
        <v>59</v>
      </c>
      <c r="L172" s="14" t="s">
        <v>93</v>
      </c>
      <c r="M172" s="14" t="s">
        <v>132</v>
      </c>
      <c r="N172" s="18" t="s">
        <v>202</v>
      </c>
      <c r="O172" s="14" t="s">
        <v>36</v>
      </c>
      <c r="P172" s="19">
        <v>42780.474305555559</v>
      </c>
      <c r="Q172" s="19">
        <v>42790.470138888886</v>
      </c>
      <c r="R172" s="19">
        <v>42790.470138888886</v>
      </c>
      <c r="S172" s="14" t="s">
        <v>203</v>
      </c>
      <c r="T172" s="14" t="s">
        <v>203</v>
      </c>
      <c r="U172" s="14" t="s">
        <v>96</v>
      </c>
      <c r="V172" s="14"/>
      <c r="W172" s="14">
        <v>0</v>
      </c>
      <c r="X172" s="14">
        <v>0</v>
      </c>
      <c r="Y172" s="14" t="s">
        <v>1019</v>
      </c>
      <c r="Z172" s="14"/>
      <c r="AA172" s="14"/>
      <c r="AB172" s="14"/>
      <c r="AC172" s="14"/>
      <c r="AD172" s="14"/>
      <c r="AE172" s="14"/>
      <c r="AF172" s="14" t="s">
        <v>126</v>
      </c>
      <c r="AG172" s="14" t="s">
        <v>1020</v>
      </c>
      <c r="AH172" s="14"/>
      <c r="AI172" s="14"/>
      <c r="AJ172" s="14"/>
      <c r="AK172" s="14"/>
      <c r="AL172" s="14"/>
      <c r="AM172" s="14"/>
      <c r="AN172" s="14" t="s">
        <v>261</v>
      </c>
      <c r="AO172" s="14" t="s">
        <v>1021</v>
      </c>
      <c r="AP172" s="14"/>
      <c r="AQ172" s="14"/>
      <c r="AR172" s="22"/>
      <c r="AS172" s="22" t="s">
        <v>96</v>
      </c>
      <c r="AT172" s="22" t="s">
        <v>261</v>
      </c>
      <c r="AU172" s="25" t="str">
        <f>VLOOKUP(O172,[1]Lookup!A:B,2,FALSE)</f>
        <v>DMO</v>
      </c>
    </row>
    <row r="173" spans="1:47" ht="51.75" customHeight="1" x14ac:dyDescent="0.2">
      <c r="A173" s="27" t="s">
        <v>86</v>
      </c>
      <c r="B173" s="29" t="s">
        <v>1022</v>
      </c>
      <c r="C173" s="27" t="s">
        <v>1023</v>
      </c>
      <c r="D173" s="22" t="s">
        <v>241</v>
      </c>
      <c r="E173" s="22" t="s">
        <v>792</v>
      </c>
      <c r="F173" s="27"/>
      <c r="G173" s="27" t="s">
        <v>203</v>
      </c>
      <c r="H173" s="27"/>
      <c r="I173" s="27"/>
      <c r="J173" s="14" t="s">
        <v>91</v>
      </c>
      <c r="K173" s="14" t="s">
        <v>59</v>
      </c>
      <c r="L173" s="14" t="s">
        <v>93</v>
      </c>
      <c r="M173" s="14" t="s">
        <v>132</v>
      </c>
      <c r="N173" s="18" t="s">
        <v>202</v>
      </c>
      <c r="O173" s="14" t="s">
        <v>36</v>
      </c>
      <c r="P173" s="19">
        <v>42780.463194444441</v>
      </c>
      <c r="Q173" s="19">
        <v>42783.750694444447</v>
      </c>
      <c r="R173" s="19">
        <v>42783.750694444447</v>
      </c>
      <c r="S173" s="14" t="s">
        <v>203</v>
      </c>
      <c r="T173" s="14" t="s">
        <v>203</v>
      </c>
      <c r="U173" s="14" t="s">
        <v>96</v>
      </c>
      <c r="V173" s="14"/>
      <c r="W173" s="14">
        <v>0</v>
      </c>
      <c r="X173" s="14">
        <v>0</v>
      </c>
      <c r="Y173" s="14" t="s">
        <v>1024</v>
      </c>
      <c r="Z173" s="14"/>
      <c r="AA173" s="14"/>
      <c r="AB173" s="14"/>
      <c r="AC173" s="14"/>
      <c r="AD173" s="14"/>
      <c r="AE173" s="14" t="s">
        <v>1025</v>
      </c>
      <c r="AF173" s="14" t="s">
        <v>1026</v>
      </c>
      <c r="AG173" s="14" t="s">
        <v>1027</v>
      </c>
      <c r="AH173" s="14"/>
      <c r="AI173" s="14"/>
      <c r="AJ173" s="14"/>
      <c r="AK173" s="14"/>
      <c r="AL173" s="14"/>
      <c r="AM173" s="14"/>
      <c r="AN173" s="14"/>
      <c r="AO173" s="14" t="s">
        <v>1028</v>
      </c>
      <c r="AP173" s="14" t="s">
        <v>950</v>
      </c>
      <c r="AQ173" s="14"/>
      <c r="AR173" s="22"/>
      <c r="AS173" s="22" t="s">
        <v>241</v>
      </c>
      <c r="AT173" s="22" t="s">
        <v>792</v>
      </c>
      <c r="AU173" s="25" t="str">
        <f>VLOOKUP(O173,[1]Lookup!A:B,2,FALSE)</f>
        <v>DMO</v>
      </c>
    </row>
    <row r="174" spans="1:47" ht="51.75" customHeight="1" x14ac:dyDescent="0.2">
      <c r="A174" s="27" t="s">
        <v>86</v>
      </c>
      <c r="B174" s="29" t="s">
        <v>1009</v>
      </c>
      <c r="C174" s="27" t="s">
        <v>1029</v>
      </c>
      <c r="D174" s="22" t="s">
        <v>229</v>
      </c>
      <c r="E174" s="22" t="s">
        <v>229</v>
      </c>
      <c r="F174" s="27"/>
      <c r="G174" s="27" t="s">
        <v>203</v>
      </c>
      <c r="H174" s="27"/>
      <c r="I174" s="27"/>
      <c r="J174" s="14" t="s">
        <v>91</v>
      </c>
      <c r="K174" s="14" t="s">
        <v>59</v>
      </c>
      <c r="L174" s="14" t="s">
        <v>167</v>
      </c>
      <c r="M174" s="14" t="s">
        <v>132</v>
      </c>
      <c r="N174" s="18" t="s">
        <v>37</v>
      </c>
      <c r="O174" s="14" t="s">
        <v>37</v>
      </c>
      <c r="P174" s="19">
        <v>42780.427777777775</v>
      </c>
      <c r="Q174" s="19">
        <v>42786.394444444442</v>
      </c>
      <c r="R174" s="19">
        <v>42786.394444444442</v>
      </c>
      <c r="S174" s="14" t="s">
        <v>203</v>
      </c>
      <c r="T174" s="14" t="s">
        <v>204</v>
      </c>
      <c r="U174" s="14" t="s">
        <v>242</v>
      </c>
      <c r="V174" s="14"/>
      <c r="W174" s="14">
        <v>0</v>
      </c>
      <c r="X174" s="14">
        <v>0</v>
      </c>
      <c r="Y174" s="20" t="s">
        <v>1030</v>
      </c>
      <c r="Z174" s="14"/>
      <c r="AA174" s="14"/>
      <c r="AB174" s="14"/>
      <c r="AC174" s="14"/>
      <c r="AD174" s="14"/>
      <c r="AE174" s="14"/>
      <c r="AF174" s="14" t="s">
        <v>126</v>
      </c>
      <c r="AG174" s="14" t="s">
        <v>1031</v>
      </c>
      <c r="AH174" s="14"/>
      <c r="AI174" s="14"/>
      <c r="AJ174" s="14"/>
      <c r="AK174" s="14"/>
      <c r="AL174" s="14"/>
      <c r="AM174" s="14"/>
      <c r="AN174" s="14" t="s">
        <v>261</v>
      </c>
      <c r="AO174" s="14" t="s">
        <v>1032</v>
      </c>
      <c r="AP174" s="14" t="s">
        <v>146</v>
      </c>
      <c r="AQ174" s="14"/>
      <c r="AR174" s="22"/>
      <c r="AS174" s="22" t="s">
        <v>96</v>
      </c>
      <c r="AT174" s="22" t="s">
        <v>229</v>
      </c>
      <c r="AU174" s="25" t="str">
        <f>VLOOKUP(O174,[1]Lookup!A:B,2,FALSE)</f>
        <v>DMO</v>
      </c>
    </row>
    <row r="175" spans="1:47" ht="51.75" customHeight="1" x14ac:dyDescent="0.2">
      <c r="A175" s="27" t="s">
        <v>86</v>
      </c>
      <c r="B175" s="29" t="s">
        <v>1033</v>
      </c>
      <c r="C175" s="27" t="s">
        <v>1034</v>
      </c>
      <c r="D175" s="22" t="s">
        <v>241</v>
      </c>
      <c r="E175" s="22" t="s">
        <v>166</v>
      </c>
      <c r="F175" s="27"/>
      <c r="G175" s="27" t="s">
        <v>204</v>
      </c>
      <c r="H175" s="27"/>
      <c r="I175" s="27"/>
      <c r="J175" s="14" t="s">
        <v>91</v>
      </c>
      <c r="K175" s="14" t="s">
        <v>59</v>
      </c>
      <c r="L175" s="14" t="s">
        <v>93</v>
      </c>
      <c r="M175" s="14" t="s">
        <v>132</v>
      </c>
      <c r="N175" s="18" t="s">
        <v>24</v>
      </c>
      <c r="O175" s="14" t="s">
        <v>24</v>
      </c>
      <c r="P175" s="19">
        <v>42780.406944444447</v>
      </c>
      <c r="Q175" s="19">
        <v>42811.444444444445</v>
      </c>
      <c r="R175" s="19">
        <v>42803.423611111109</v>
      </c>
      <c r="S175" s="14" t="s">
        <v>139</v>
      </c>
      <c r="T175" s="14" t="s">
        <v>197</v>
      </c>
      <c r="U175" s="14" t="s">
        <v>117</v>
      </c>
      <c r="V175" s="14"/>
      <c r="W175" s="14">
        <v>0</v>
      </c>
      <c r="X175" s="14">
        <v>0</v>
      </c>
      <c r="Y175" s="14"/>
      <c r="Z175" s="14"/>
      <c r="AA175" s="14"/>
      <c r="AB175" s="14"/>
      <c r="AC175" s="14"/>
      <c r="AD175" s="14"/>
      <c r="AE175" s="14"/>
      <c r="AF175" s="14" t="s">
        <v>1035</v>
      </c>
      <c r="AG175" s="14" t="s">
        <v>1036</v>
      </c>
      <c r="AH175" s="14"/>
      <c r="AI175" s="14"/>
      <c r="AJ175" s="14"/>
      <c r="AK175" s="14"/>
      <c r="AL175" s="14"/>
      <c r="AM175" s="14"/>
      <c r="AN175" s="14" t="s">
        <v>120</v>
      </c>
      <c r="AO175" s="14" t="s">
        <v>1037</v>
      </c>
      <c r="AP175" s="14" t="s">
        <v>146</v>
      </c>
      <c r="AQ175" s="14"/>
      <c r="AR175" s="22"/>
      <c r="AS175" s="22" t="s">
        <v>241</v>
      </c>
      <c r="AT175" s="22" t="s">
        <v>166</v>
      </c>
      <c r="AU175" s="25" t="str">
        <f>VLOOKUP(O175,[1]Lookup!A:B,2,FALSE)</f>
        <v>Test-SIT</v>
      </c>
    </row>
    <row r="176" spans="1:47" ht="51.75" customHeight="1" x14ac:dyDescent="0.2">
      <c r="A176" s="27" t="s">
        <v>86</v>
      </c>
      <c r="B176" s="29" t="s">
        <v>1038</v>
      </c>
      <c r="C176" s="27" t="s">
        <v>1039</v>
      </c>
      <c r="D176" s="22" t="s">
        <v>117</v>
      </c>
      <c r="E176" s="22" t="s">
        <v>748</v>
      </c>
      <c r="F176" s="27"/>
      <c r="G176" s="30" t="s">
        <v>538</v>
      </c>
      <c r="H176" s="27"/>
      <c r="I176" s="27"/>
      <c r="J176" s="14" t="s">
        <v>91</v>
      </c>
      <c r="K176" s="14" t="s">
        <v>59</v>
      </c>
      <c r="L176" s="14" t="s">
        <v>167</v>
      </c>
      <c r="M176" s="14" t="s">
        <v>132</v>
      </c>
      <c r="N176" s="18" t="s">
        <v>36</v>
      </c>
      <c r="O176" s="14" t="s">
        <v>36</v>
      </c>
      <c r="P176" s="19">
        <v>42779.915277777778</v>
      </c>
      <c r="Q176" s="19">
        <v>42786.407638888886</v>
      </c>
      <c r="R176" s="19">
        <v>42786.407638888886</v>
      </c>
      <c r="S176" s="14" t="s">
        <v>203</v>
      </c>
      <c r="T176" s="14" t="s">
        <v>203</v>
      </c>
      <c r="U176" s="14" t="s">
        <v>96</v>
      </c>
      <c r="V176" s="14"/>
      <c r="W176" s="14">
        <v>0</v>
      </c>
      <c r="X176" s="14">
        <v>0</v>
      </c>
      <c r="Y176" s="20" t="s">
        <v>1040</v>
      </c>
      <c r="Z176" s="14"/>
      <c r="AA176" s="14"/>
      <c r="AB176" s="14"/>
      <c r="AC176" s="14"/>
      <c r="AD176" s="14"/>
      <c r="AE176" s="14"/>
      <c r="AF176" s="14" t="s">
        <v>126</v>
      </c>
      <c r="AG176" s="14" t="s">
        <v>1041</v>
      </c>
      <c r="AH176" s="14"/>
      <c r="AI176" s="14"/>
      <c r="AJ176" s="14"/>
      <c r="AK176" s="14"/>
      <c r="AL176" s="14"/>
      <c r="AM176" s="14"/>
      <c r="AN176" s="14" t="s">
        <v>261</v>
      </c>
      <c r="AO176" s="14" t="s">
        <v>261</v>
      </c>
      <c r="AP176" s="14" t="s">
        <v>146</v>
      </c>
      <c r="AQ176" s="14"/>
      <c r="AR176" s="22"/>
      <c r="AS176" s="22" t="s">
        <v>117</v>
      </c>
      <c r="AT176" s="22" t="s">
        <v>748</v>
      </c>
      <c r="AU176" s="25" t="str">
        <f>VLOOKUP(O176,[1]Lookup!A:B,2,FALSE)</f>
        <v>DMO</v>
      </c>
    </row>
    <row r="177" spans="1:47" ht="51.75" customHeight="1" x14ac:dyDescent="0.2">
      <c r="A177" s="27" t="s">
        <v>86</v>
      </c>
      <c r="B177" s="29" t="s">
        <v>1042</v>
      </c>
      <c r="C177" s="27" t="s">
        <v>1043</v>
      </c>
      <c r="D177" s="22" t="s">
        <v>96</v>
      </c>
      <c r="E177" s="22" t="s">
        <v>166</v>
      </c>
      <c r="F177" s="27"/>
      <c r="G177" s="27" t="s">
        <v>203</v>
      </c>
      <c r="H177" s="27"/>
      <c r="I177" s="27"/>
      <c r="J177" s="14" t="s">
        <v>91</v>
      </c>
      <c r="K177" s="14" t="s">
        <v>59</v>
      </c>
      <c r="L177" s="14" t="s">
        <v>167</v>
      </c>
      <c r="M177" s="14" t="s">
        <v>132</v>
      </c>
      <c r="N177" s="18" t="s">
        <v>36</v>
      </c>
      <c r="O177" s="14" t="s">
        <v>36</v>
      </c>
      <c r="P177" s="19">
        <v>42779.84097222222</v>
      </c>
      <c r="Q177" s="19">
        <v>42808.636111111111</v>
      </c>
      <c r="R177" s="19">
        <v>42808.636111111111</v>
      </c>
      <c r="S177" s="14" t="s">
        <v>203</v>
      </c>
      <c r="T177" s="14" t="s">
        <v>438</v>
      </c>
      <c r="U177" s="14" t="s">
        <v>412</v>
      </c>
      <c r="V177" s="14"/>
      <c r="W177" s="14">
        <v>0</v>
      </c>
      <c r="X177" s="14">
        <v>0</v>
      </c>
      <c r="Y177" s="14" t="s">
        <v>1044</v>
      </c>
      <c r="Z177" s="14"/>
      <c r="AA177" s="14"/>
      <c r="AB177" s="14"/>
      <c r="AC177" s="14"/>
      <c r="AD177" s="14"/>
      <c r="AE177" s="14"/>
      <c r="AF177" s="14" t="s">
        <v>126</v>
      </c>
      <c r="AG177" s="14" t="s">
        <v>1045</v>
      </c>
      <c r="AH177" s="14"/>
      <c r="AI177" s="14"/>
      <c r="AJ177" s="14"/>
      <c r="AK177" s="14"/>
      <c r="AL177" s="14"/>
      <c r="AM177" s="14"/>
      <c r="AN177" s="14" t="s">
        <v>193</v>
      </c>
      <c r="AO177" s="14" t="s">
        <v>1046</v>
      </c>
      <c r="AP177" s="14" t="s">
        <v>146</v>
      </c>
      <c r="AQ177" s="14"/>
      <c r="AR177" s="22"/>
      <c r="AS177" s="22" t="s">
        <v>96</v>
      </c>
      <c r="AT177" s="22" t="s">
        <v>166</v>
      </c>
      <c r="AU177" s="25" t="str">
        <f>VLOOKUP(O177,[1]Lookup!A:B,2,FALSE)</f>
        <v>DMO</v>
      </c>
    </row>
    <row r="178" spans="1:47" ht="51.75" customHeight="1" x14ac:dyDescent="0.2">
      <c r="A178" s="27" t="s">
        <v>86</v>
      </c>
      <c r="B178" s="29" t="s">
        <v>1047</v>
      </c>
      <c r="C178" s="27" t="s">
        <v>1048</v>
      </c>
      <c r="D178" s="22" t="s">
        <v>89</v>
      </c>
      <c r="E178" s="22" t="s">
        <v>193</v>
      </c>
      <c r="F178" s="30" t="s">
        <v>516</v>
      </c>
      <c r="G178" s="26" t="s">
        <v>373</v>
      </c>
      <c r="H178" s="30" t="s">
        <v>104</v>
      </c>
      <c r="I178" s="30" t="s">
        <v>836</v>
      </c>
      <c r="J178" s="14" t="s">
        <v>91</v>
      </c>
      <c r="K178" s="14" t="s">
        <v>59</v>
      </c>
      <c r="L178" s="14" t="s">
        <v>93</v>
      </c>
      <c r="M178" s="14" t="s">
        <v>132</v>
      </c>
      <c r="N178" s="18" t="s">
        <v>202</v>
      </c>
      <c r="O178" s="14" t="s">
        <v>38</v>
      </c>
      <c r="P178" s="19">
        <v>42779.840277777781</v>
      </c>
      <c r="Q178" s="19">
        <v>42801.740972222222</v>
      </c>
      <c r="R178" s="19">
        <v>42801.740972222222</v>
      </c>
      <c r="S178" s="14" t="s">
        <v>203</v>
      </c>
      <c r="T178" s="14" t="s">
        <v>924</v>
      </c>
      <c r="U178" s="14" t="s">
        <v>412</v>
      </c>
      <c r="V178" s="14"/>
      <c r="W178" s="14">
        <v>0</v>
      </c>
      <c r="X178" s="14">
        <v>0</v>
      </c>
      <c r="Y178" s="14" t="s">
        <v>1049</v>
      </c>
      <c r="Z178" s="14"/>
      <c r="AA178" s="14"/>
      <c r="AB178" s="14"/>
      <c r="AC178" s="14"/>
      <c r="AD178" s="14"/>
      <c r="AE178" s="14"/>
      <c r="AF178" s="14" t="s">
        <v>823</v>
      </c>
      <c r="AG178" s="14" t="s">
        <v>1050</v>
      </c>
      <c r="AH178" s="14"/>
      <c r="AI178" s="14"/>
      <c r="AJ178" s="14"/>
      <c r="AK178" s="14"/>
      <c r="AL178" s="14"/>
      <c r="AM178" s="14"/>
      <c r="AN178" s="14" t="s">
        <v>1051</v>
      </c>
      <c r="AO178" s="14" t="s">
        <v>1052</v>
      </c>
      <c r="AP178" s="14" t="s">
        <v>146</v>
      </c>
      <c r="AQ178" s="14"/>
      <c r="AR178" s="22"/>
      <c r="AS178" s="22" t="s">
        <v>89</v>
      </c>
      <c r="AT178" s="22" t="s">
        <v>193</v>
      </c>
      <c r="AU178" s="25" t="str">
        <f>VLOOKUP(O178,[1]Lookup!A:B,2,FALSE)</f>
        <v>DMO</v>
      </c>
    </row>
    <row r="179" spans="1:47" ht="51.75" customHeight="1" x14ac:dyDescent="0.2">
      <c r="A179" s="27" t="s">
        <v>86</v>
      </c>
      <c r="B179" s="29" t="s">
        <v>1053</v>
      </c>
      <c r="C179" s="27" t="s">
        <v>1054</v>
      </c>
      <c r="D179" s="22" t="s">
        <v>89</v>
      </c>
      <c r="E179" s="22" t="s">
        <v>1055</v>
      </c>
      <c r="F179" s="37" t="s">
        <v>104</v>
      </c>
      <c r="G179" s="27" t="s">
        <v>174</v>
      </c>
      <c r="H179" s="37" t="s">
        <v>104</v>
      </c>
      <c r="I179" s="37" t="s">
        <v>553</v>
      </c>
      <c r="J179" s="14" t="s">
        <v>91</v>
      </c>
      <c r="K179" s="14" t="s">
        <v>59</v>
      </c>
      <c r="L179" s="14" t="s">
        <v>93</v>
      </c>
      <c r="M179" s="14" t="s">
        <v>132</v>
      </c>
      <c r="N179" s="18" t="s">
        <v>21</v>
      </c>
      <c r="O179" s="14" t="s">
        <v>38</v>
      </c>
      <c r="P179" s="19">
        <v>42779.82916666667</v>
      </c>
      <c r="Q179" s="19">
        <v>42783.740277777775</v>
      </c>
      <c r="R179" s="19">
        <v>42783.740277777775</v>
      </c>
      <c r="S179" s="14" t="s">
        <v>203</v>
      </c>
      <c r="T179" s="14" t="s">
        <v>203</v>
      </c>
      <c r="U179" s="14" t="s">
        <v>96</v>
      </c>
      <c r="V179" s="14"/>
      <c r="W179" s="14">
        <v>0</v>
      </c>
      <c r="X179" s="14">
        <v>0</v>
      </c>
      <c r="Y179" s="20" t="s">
        <v>1056</v>
      </c>
      <c r="Z179" s="14"/>
      <c r="AA179" s="14"/>
      <c r="AB179" s="14"/>
      <c r="AC179" s="14"/>
      <c r="AD179" s="14"/>
      <c r="AE179" s="14"/>
      <c r="AF179" s="14" t="s">
        <v>1057</v>
      </c>
      <c r="AG179" s="14" t="s">
        <v>1058</v>
      </c>
      <c r="AH179" s="14"/>
      <c r="AI179" s="14"/>
      <c r="AJ179" s="14"/>
      <c r="AK179" s="14"/>
      <c r="AL179" s="14"/>
      <c r="AM179" s="14"/>
      <c r="AN179" s="14"/>
      <c r="AO179" s="14" t="s">
        <v>1059</v>
      </c>
      <c r="AP179" s="14" t="s">
        <v>146</v>
      </c>
      <c r="AQ179" s="14"/>
      <c r="AR179" s="22"/>
      <c r="AS179" s="22" t="s">
        <v>89</v>
      </c>
      <c r="AT179" s="22" t="s">
        <v>1055</v>
      </c>
      <c r="AU179" s="25" t="str">
        <f>VLOOKUP(O179,[1]Lookup!A:B,2,FALSE)</f>
        <v>DMO</v>
      </c>
    </row>
    <row r="180" spans="1:47" ht="51.75" customHeight="1" x14ac:dyDescent="0.2">
      <c r="A180" s="27" t="s">
        <v>86</v>
      </c>
      <c r="B180" s="29" t="s">
        <v>1060</v>
      </c>
      <c r="C180" s="27" t="s">
        <v>1061</v>
      </c>
      <c r="D180" s="22" t="s">
        <v>96</v>
      </c>
      <c r="E180" s="22" t="s">
        <v>166</v>
      </c>
      <c r="F180" s="27"/>
      <c r="G180" s="27" t="s">
        <v>203</v>
      </c>
      <c r="H180" s="27"/>
      <c r="I180" s="27"/>
      <c r="J180" s="14" t="s">
        <v>91</v>
      </c>
      <c r="K180" s="14" t="s">
        <v>59</v>
      </c>
      <c r="L180" s="14" t="s">
        <v>167</v>
      </c>
      <c r="M180" s="14" t="s">
        <v>132</v>
      </c>
      <c r="N180" s="18" t="s">
        <v>202</v>
      </c>
      <c r="O180" s="14" t="s">
        <v>36</v>
      </c>
      <c r="P180" s="19">
        <v>42779.82708333333</v>
      </c>
      <c r="Q180" s="19">
        <v>42799.82916666667</v>
      </c>
      <c r="R180" s="19">
        <v>42783.75</v>
      </c>
      <c r="S180" s="14" t="s">
        <v>203</v>
      </c>
      <c r="T180" s="14" t="s">
        <v>203</v>
      </c>
      <c r="U180" s="14" t="s">
        <v>96</v>
      </c>
      <c r="V180" s="14"/>
      <c r="W180" s="14">
        <v>0</v>
      </c>
      <c r="X180" s="14">
        <v>0</v>
      </c>
      <c r="Y180" s="20" t="s">
        <v>1062</v>
      </c>
      <c r="Z180" s="14"/>
      <c r="AA180" s="14"/>
      <c r="AB180" s="14"/>
      <c r="AC180" s="14"/>
      <c r="AD180" s="14"/>
      <c r="AE180" s="14"/>
      <c r="AF180" s="14" t="s">
        <v>126</v>
      </c>
      <c r="AG180" s="14" t="s">
        <v>1063</v>
      </c>
      <c r="AH180" s="14"/>
      <c r="AI180" s="14"/>
      <c r="AJ180" s="14"/>
      <c r="AK180" s="14"/>
      <c r="AL180" s="14"/>
      <c r="AM180" s="14"/>
      <c r="AN180" s="14" t="s">
        <v>904</v>
      </c>
      <c r="AO180" s="14" t="s">
        <v>1064</v>
      </c>
      <c r="AP180" s="14" t="s">
        <v>146</v>
      </c>
      <c r="AQ180" s="14"/>
      <c r="AR180" s="22"/>
      <c r="AS180" s="22" t="s">
        <v>96</v>
      </c>
      <c r="AT180" s="22" t="s">
        <v>166</v>
      </c>
      <c r="AU180" s="25" t="str">
        <f>VLOOKUP(O180,[1]Lookup!A:B,2,FALSE)</f>
        <v>DMO</v>
      </c>
    </row>
    <row r="181" spans="1:47" ht="51.75" customHeight="1" x14ac:dyDescent="0.2">
      <c r="A181" s="27" t="s">
        <v>86</v>
      </c>
      <c r="B181" s="29" t="s">
        <v>1065</v>
      </c>
      <c r="C181" s="27" t="s">
        <v>1066</v>
      </c>
      <c r="D181" s="22" t="s">
        <v>96</v>
      </c>
      <c r="E181" s="22" t="s">
        <v>166</v>
      </c>
      <c r="F181" s="27"/>
      <c r="G181" s="27" t="s">
        <v>203</v>
      </c>
      <c r="H181" s="27"/>
      <c r="I181" s="27"/>
      <c r="J181" s="14" t="s">
        <v>91</v>
      </c>
      <c r="K181" s="14" t="s">
        <v>59</v>
      </c>
      <c r="L181" s="14" t="s">
        <v>93</v>
      </c>
      <c r="M181" s="14" t="s">
        <v>132</v>
      </c>
      <c r="N181" s="18" t="s">
        <v>202</v>
      </c>
      <c r="O181" s="14" t="s">
        <v>39</v>
      </c>
      <c r="P181" s="19">
        <v>42779.790277777778</v>
      </c>
      <c r="Q181" s="19">
        <v>42790.772222222222</v>
      </c>
      <c r="R181" s="19">
        <v>42790.493055555555</v>
      </c>
      <c r="S181" s="14" t="s">
        <v>203</v>
      </c>
      <c r="T181" s="14" t="s">
        <v>203</v>
      </c>
      <c r="U181" s="14" t="s">
        <v>96</v>
      </c>
      <c r="V181" s="14"/>
      <c r="W181" s="14">
        <v>0</v>
      </c>
      <c r="X181" s="14">
        <v>0</v>
      </c>
      <c r="Y181" s="14"/>
      <c r="Z181" s="14"/>
      <c r="AA181" s="14"/>
      <c r="AB181" s="14"/>
      <c r="AC181" s="14"/>
      <c r="AD181" s="14"/>
      <c r="AE181" s="14"/>
      <c r="AF181" s="14" t="s">
        <v>851</v>
      </c>
      <c r="AG181" s="14" t="s">
        <v>1067</v>
      </c>
      <c r="AH181" s="14"/>
      <c r="AI181" s="14"/>
      <c r="AJ181" s="14"/>
      <c r="AK181" s="14"/>
      <c r="AL181" s="14"/>
      <c r="AM181" s="14"/>
      <c r="AN181" s="14" t="s">
        <v>408</v>
      </c>
      <c r="AO181" s="14" t="s">
        <v>1068</v>
      </c>
      <c r="AP181" s="14" t="s">
        <v>146</v>
      </c>
      <c r="AQ181" s="14"/>
      <c r="AR181" s="22"/>
      <c r="AS181" s="22" t="s">
        <v>96</v>
      </c>
      <c r="AT181" s="22" t="s">
        <v>261</v>
      </c>
      <c r="AU181" s="25" t="str">
        <f>VLOOKUP(O181,[1]Lookup!A:B,2,FALSE)</f>
        <v>DMO</v>
      </c>
    </row>
    <row r="182" spans="1:47" ht="51.75" customHeight="1" x14ac:dyDescent="0.2">
      <c r="A182" s="27" t="s">
        <v>86</v>
      </c>
      <c r="B182" s="29" t="s">
        <v>1069</v>
      </c>
      <c r="C182" s="27" t="s">
        <v>1070</v>
      </c>
      <c r="D182" s="22" t="s">
        <v>130</v>
      </c>
      <c r="E182" s="22" t="s">
        <v>692</v>
      </c>
      <c r="F182" s="27"/>
      <c r="G182" s="27" t="s">
        <v>203</v>
      </c>
      <c r="H182" s="27"/>
      <c r="I182" s="27"/>
      <c r="J182" s="14" t="s">
        <v>91</v>
      </c>
      <c r="K182" s="14" t="s">
        <v>174</v>
      </c>
      <c r="L182" s="14" t="s">
        <v>124</v>
      </c>
      <c r="M182" s="17" t="s">
        <v>94</v>
      </c>
      <c r="N182" s="18" t="s">
        <v>18</v>
      </c>
      <c r="O182" s="14" t="s">
        <v>38</v>
      </c>
      <c r="P182" s="19">
        <v>42779.785416666666</v>
      </c>
      <c r="Q182" s="19">
        <v>42807.847222222219</v>
      </c>
      <c r="R182" s="14"/>
      <c r="S182" s="14" t="s">
        <v>203</v>
      </c>
      <c r="T182" s="14" t="s">
        <v>312</v>
      </c>
      <c r="U182" s="14" t="s">
        <v>89</v>
      </c>
      <c r="V182" s="14"/>
      <c r="W182" s="14">
        <v>0</v>
      </c>
      <c r="X182" s="14">
        <v>0</v>
      </c>
      <c r="Y182" s="14" t="s">
        <v>1071</v>
      </c>
      <c r="Z182" s="14"/>
      <c r="AA182" s="14"/>
      <c r="AB182" s="14"/>
      <c r="AC182" s="14"/>
      <c r="AD182" s="14"/>
      <c r="AE182" s="14"/>
      <c r="AF182" s="14"/>
      <c r="AG182" s="14" t="s">
        <v>1072</v>
      </c>
      <c r="AH182" s="14"/>
      <c r="AI182" s="14"/>
      <c r="AJ182" s="14"/>
      <c r="AK182" s="14"/>
      <c r="AL182" s="14"/>
      <c r="AM182" s="14"/>
      <c r="AN182" s="14"/>
      <c r="AO182" s="14" t="s">
        <v>1073</v>
      </c>
      <c r="AP182" s="14"/>
      <c r="AQ182" s="14"/>
      <c r="AR182" s="22"/>
      <c r="AS182" s="22" t="s">
        <v>130</v>
      </c>
      <c r="AT182" s="22" t="s">
        <v>692</v>
      </c>
      <c r="AU182" s="25" t="str">
        <f>VLOOKUP(O182,[1]Lookup!A:B,2,FALSE)</f>
        <v>DMO</v>
      </c>
    </row>
    <row r="183" spans="1:47" ht="51.75" customHeight="1" x14ac:dyDescent="0.2">
      <c r="A183" s="27" t="s">
        <v>86</v>
      </c>
      <c r="B183" s="29" t="s">
        <v>1074</v>
      </c>
      <c r="C183" s="26" t="s">
        <v>1075</v>
      </c>
      <c r="D183" s="22" t="s">
        <v>89</v>
      </c>
      <c r="E183" s="22" t="s">
        <v>1076</v>
      </c>
      <c r="F183" s="26" t="s">
        <v>1077</v>
      </c>
      <c r="G183" s="26" t="s">
        <v>312</v>
      </c>
      <c r="H183" s="26" t="s">
        <v>526</v>
      </c>
      <c r="I183" s="26" t="s">
        <v>527</v>
      </c>
      <c r="J183" s="14" t="s">
        <v>91</v>
      </c>
      <c r="K183" s="14" t="s">
        <v>323</v>
      </c>
      <c r="L183" s="14" t="s">
        <v>124</v>
      </c>
      <c r="M183" s="17" t="s">
        <v>94</v>
      </c>
      <c r="N183" s="18" t="s">
        <v>202</v>
      </c>
      <c r="O183" s="14" t="s">
        <v>39</v>
      </c>
      <c r="P183" s="19">
        <v>42779.743750000001</v>
      </c>
      <c r="Q183" s="19">
        <v>42809.470833333333</v>
      </c>
      <c r="R183" s="14"/>
      <c r="S183" s="14" t="s">
        <v>203</v>
      </c>
      <c r="T183" s="14" t="s">
        <v>466</v>
      </c>
      <c r="U183" s="14" t="s">
        <v>89</v>
      </c>
      <c r="V183" s="14"/>
      <c r="W183" s="14">
        <v>0</v>
      </c>
      <c r="X183" s="14">
        <v>0</v>
      </c>
      <c r="Y183" s="14"/>
      <c r="Z183" s="14"/>
      <c r="AA183" s="14"/>
      <c r="AB183" s="14"/>
      <c r="AC183" s="14"/>
      <c r="AD183" s="14"/>
      <c r="AE183" s="14" t="s">
        <v>625</v>
      </c>
      <c r="AF183" s="14" t="s">
        <v>851</v>
      </c>
      <c r="AG183" s="14" t="s">
        <v>1078</v>
      </c>
      <c r="AH183" s="14"/>
      <c r="AI183" s="14"/>
      <c r="AJ183" s="14"/>
      <c r="AK183" s="14"/>
      <c r="AL183" s="14"/>
      <c r="AM183" s="14"/>
      <c r="AN183" s="14" t="s">
        <v>1079</v>
      </c>
      <c r="AO183" s="14"/>
      <c r="AP183" s="14" t="s">
        <v>146</v>
      </c>
      <c r="AQ183" s="14"/>
      <c r="AR183" s="22"/>
      <c r="AS183" s="22" t="s">
        <v>89</v>
      </c>
      <c r="AT183" s="22" t="s">
        <v>1076</v>
      </c>
      <c r="AU183" s="25" t="str">
        <f>VLOOKUP(O183,[1]Lookup!A:B,2,FALSE)</f>
        <v>DMO</v>
      </c>
    </row>
    <row r="184" spans="1:47" ht="51.75" customHeight="1" x14ac:dyDescent="0.2">
      <c r="A184" s="27" t="s">
        <v>86</v>
      </c>
      <c r="B184" s="29" t="s">
        <v>622</v>
      </c>
      <c r="C184" s="26" t="s">
        <v>1080</v>
      </c>
      <c r="D184" s="22" t="s">
        <v>89</v>
      </c>
      <c r="E184" s="22" t="s">
        <v>1081</v>
      </c>
      <c r="F184" s="26" t="s">
        <v>627</v>
      </c>
      <c r="G184" s="26" t="s">
        <v>628</v>
      </c>
      <c r="H184" s="26" t="s">
        <v>526</v>
      </c>
      <c r="I184" s="26" t="s">
        <v>527</v>
      </c>
      <c r="J184" s="14" t="s">
        <v>91</v>
      </c>
      <c r="K184" s="14" t="s">
        <v>275</v>
      </c>
      <c r="L184" s="14" t="s">
        <v>103</v>
      </c>
      <c r="M184" s="14" t="s">
        <v>201</v>
      </c>
      <c r="N184" s="18" t="s">
        <v>202</v>
      </c>
      <c r="O184" s="14" t="s">
        <v>36</v>
      </c>
      <c r="P184" s="19">
        <v>42779.690972222219</v>
      </c>
      <c r="Q184" s="19">
        <v>42780.422222222223</v>
      </c>
      <c r="R184" s="19">
        <v>42780.422222222223</v>
      </c>
      <c r="S184" s="14" t="s">
        <v>203</v>
      </c>
      <c r="T184" s="14" t="s">
        <v>204</v>
      </c>
      <c r="U184" s="14" t="s">
        <v>96</v>
      </c>
      <c r="V184" s="14"/>
      <c r="W184" s="14">
        <v>0</v>
      </c>
      <c r="X184" s="14">
        <v>0</v>
      </c>
      <c r="Y184" s="20" t="s">
        <v>1082</v>
      </c>
      <c r="Z184" s="14"/>
      <c r="AA184" s="14"/>
      <c r="AB184" s="14"/>
      <c r="AC184" s="14"/>
      <c r="AD184" s="14"/>
      <c r="AE184" s="14"/>
      <c r="AF184" s="14" t="s">
        <v>126</v>
      </c>
      <c r="AG184" s="14" t="s">
        <v>1083</v>
      </c>
      <c r="AH184" s="14"/>
      <c r="AI184" s="14"/>
      <c r="AJ184" s="14"/>
      <c r="AK184" s="14"/>
      <c r="AL184" s="14"/>
      <c r="AM184" s="14"/>
      <c r="AN184" s="14"/>
      <c r="AO184" s="14"/>
      <c r="AP184" s="14" t="s">
        <v>146</v>
      </c>
      <c r="AQ184" s="14"/>
      <c r="AR184" s="22"/>
      <c r="AS184" s="22" t="s">
        <v>89</v>
      </c>
      <c r="AT184" s="22" t="s">
        <v>1081</v>
      </c>
      <c r="AU184" s="25" t="str">
        <f>VLOOKUP(O184,[1]Lookup!A:B,2,FALSE)</f>
        <v>DMO</v>
      </c>
    </row>
    <row r="185" spans="1:47" ht="51.75" customHeight="1" x14ac:dyDescent="0.2">
      <c r="A185" s="27" t="s">
        <v>86</v>
      </c>
      <c r="B185" s="29" t="s">
        <v>1084</v>
      </c>
      <c r="C185" s="27" t="s">
        <v>1085</v>
      </c>
      <c r="D185" s="22" t="s">
        <v>229</v>
      </c>
      <c r="E185" s="22" t="s">
        <v>229</v>
      </c>
      <c r="F185" s="27"/>
      <c r="G185" s="27" t="s">
        <v>204</v>
      </c>
      <c r="H185" s="27"/>
      <c r="I185" s="27"/>
      <c r="J185" s="14" t="s">
        <v>91</v>
      </c>
      <c r="K185" s="14" t="s">
        <v>59</v>
      </c>
      <c r="L185" s="14" t="s">
        <v>167</v>
      </c>
      <c r="M185" s="14" t="s">
        <v>132</v>
      </c>
      <c r="N185" s="18" t="s">
        <v>22</v>
      </c>
      <c r="O185" s="14" t="s">
        <v>37</v>
      </c>
      <c r="P185" s="19">
        <v>42779.688194444447</v>
      </c>
      <c r="Q185" s="19">
        <v>42780.633333333331</v>
      </c>
      <c r="R185" s="19">
        <v>42780.626388888886</v>
      </c>
      <c r="S185" s="14" t="s">
        <v>203</v>
      </c>
      <c r="T185" s="14" t="s">
        <v>204</v>
      </c>
      <c r="U185" s="14" t="s">
        <v>242</v>
      </c>
      <c r="V185" s="14"/>
      <c r="W185" s="14">
        <v>0</v>
      </c>
      <c r="X185" s="14">
        <v>0</v>
      </c>
      <c r="Y185" s="20" t="s">
        <v>1086</v>
      </c>
      <c r="Z185" s="14"/>
      <c r="AA185" s="14"/>
      <c r="AB185" s="14"/>
      <c r="AC185" s="14"/>
      <c r="AD185" s="14"/>
      <c r="AE185" s="14"/>
      <c r="AF185" s="14" t="s">
        <v>126</v>
      </c>
      <c r="AG185" s="14" t="s">
        <v>1087</v>
      </c>
      <c r="AH185" s="14"/>
      <c r="AI185" s="14"/>
      <c r="AJ185" s="14"/>
      <c r="AK185" s="14"/>
      <c r="AL185" s="14"/>
      <c r="AM185" s="14"/>
      <c r="AN185" s="14" t="s">
        <v>229</v>
      </c>
      <c r="AO185" s="14" t="s">
        <v>381</v>
      </c>
      <c r="AP185" s="14" t="s">
        <v>146</v>
      </c>
      <c r="AQ185" s="14"/>
      <c r="AR185" s="22"/>
      <c r="AS185" s="22" t="s">
        <v>96</v>
      </c>
      <c r="AT185" s="22" t="s">
        <v>229</v>
      </c>
      <c r="AU185" s="25" t="str">
        <f>VLOOKUP(O185,[1]Lookup!A:B,2,FALSE)</f>
        <v>DMO</v>
      </c>
    </row>
    <row r="186" spans="1:47" ht="51.75" customHeight="1" x14ac:dyDescent="0.2">
      <c r="A186" s="27" t="s">
        <v>86</v>
      </c>
      <c r="B186" s="29" t="s">
        <v>1088</v>
      </c>
      <c r="C186" s="27" t="s">
        <v>1089</v>
      </c>
      <c r="D186" s="22" t="s">
        <v>229</v>
      </c>
      <c r="E186" s="22" t="s">
        <v>229</v>
      </c>
      <c r="F186" s="27"/>
      <c r="G186" s="27" t="s">
        <v>204</v>
      </c>
      <c r="H186" s="27"/>
      <c r="I186" s="27"/>
      <c r="J186" s="14" t="s">
        <v>91</v>
      </c>
      <c r="K186" s="14" t="s">
        <v>59</v>
      </c>
      <c r="L186" s="14" t="s">
        <v>103</v>
      </c>
      <c r="M186" s="14" t="s">
        <v>132</v>
      </c>
      <c r="N186" s="18" t="s">
        <v>36</v>
      </c>
      <c r="O186" s="14" t="s">
        <v>36</v>
      </c>
      <c r="P186" s="19">
        <v>42779.685416666667</v>
      </c>
      <c r="Q186" s="19">
        <v>42808.601388888892</v>
      </c>
      <c r="R186" s="19">
        <v>42808.601388888892</v>
      </c>
      <c r="S186" s="14" t="s">
        <v>203</v>
      </c>
      <c r="T186" s="14" t="s">
        <v>204</v>
      </c>
      <c r="U186" s="14" t="s">
        <v>96</v>
      </c>
      <c r="V186" s="14"/>
      <c r="W186" s="14">
        <v>0</v>
      </c>
      <c r="X186" s="14">
        <v>0</v>
      </c>
      <c r="Y186" s="14" t="s">
        <v>1090</v>
      </c>
      <c r="Z186" s="14"/>
      <c r="AA186" s="14"/>
      <c r="AB186" s="14"/>
      <c r="AC186" s="14"/>
      <c r="AD186" s="14"/>
      <c r="AE186" s="14"/>
      <c r="AF186" s="14" t="s">
        <v>126</v>
      </c>
      <c r="AG186" s="14" t="s">
        <v>1091</v>
      </c>
      <c r="AH186" s="14"/>
      <c r="AI186" s="14"/>
      <c r="AJ186" s="14"/>
      <c r="AK186" s="14"/>
      <c r="AL186" s="14"/>
      <c r="AM186" s="14"/>
      <c r="AN186" s="14" t="s">
        <v>1092</v>
      </c>
      <c r="AO186" s="14" t="s">
        <v>1093</v>
      </c>
      <c r="AP186" s="14" t="s">
        <v>146</v>
      </c>
      <c r="AQ186" s="14"/>
      <c r="AR186" s="22"/>
      <c r="AS186" s="22" t="s">
        <v>96</v>
      </c>
      <c r="AT186" s="22" t="s">
        <v>381</v>
      </c>
      <c r="AU186" s="25" t="str">
        <f>VLOOKUP(O186,[1]Lookup!A:B,2,FALSE)</f>
        <v>DMO</v>
      </c>
    </row>
    <row r="187" spans="1:47" ht="51.75" customHeight="1" x14ac:dyDescent="0.2">
      <c r="A187" s="14" t="s">
        <v>86</v>
      </c>
      <c r="B187" s="15" t="s">
        <v>1094</v>
      </c>
      <c r="C187" s="14" t="s">
        <v>1095</v>
      </c>
      <c r="D187" s="22" t="s">
        <v>96</v>
      </c>
      <c r="E187" s="22" t="s">
        <v>1096</v>
      </c>
      <c r="F187" s="27"/>
      <c r="G187" s="27"/>
      <c r="H187" s="27"/>
      <c r="I187" s="27"/>
      <c r="J187" s="14" t="s">
        <v>91</v>
      </c>
      <c r="K187" s="14" t="s">
        <v>59</v>
      </c>
      <c r="L187" s="14" t="s">
        <v>103</v>
      </c>
      <c r="M187" s="14" t="s">
        <v>132</v>
      </c>
      <c r="N187" s="18" t="s">
        <v>36</v>
      </c>
      <c r="O187" s="14" t="s">
        <v>36</v>
      </c>
      <c r="P187" s="19">
        <v>42779.685416666667</v>
      </c>
      <c r="Q187" s="19">
        <v>42808.601388888892</v>
      </c>
      <c r="R187" s="19">
        <v>42808.601388888892</v>
      </c>
      <c r="S187" s="14" t="s">
        <v>203</v>
      </c>
      <c r="T187" s="14" t="s">
        <v>204</v>
      </c>
      <c r="U187" s="14" t="s">
        <v>96</v>
      </c>
      <c r="V187" s="14"/>
      <c r="W187" s="14">
        <v>0</v>
      </c>
      <c r="X187" s="14">
        <v>0</v>
      </c>
      <c r="Y187" s="14" t="s">
        <v>1090</v>
      </c>
      <c r="Z187" s="14"/>
      <c r="AA187" s="14"/>
      <c r="AB187" s="14"/>
      <c r="AC187" s="14"/>
      <c r="AD187" s="14"/>
      <c r="AE187" s="14"/>
      <c r="AF187" s="14" t="s">
        <v>126</v>
      </c>
      <c r="AG187" s="14" t="s">
        <v>1091</v>
      </c>
      <c r="AH187" s="14"/>
      <c r="AI187" s="14"/>
      <c r="AJ187" s="14"/>
      <c r="AK187" s="14"/>
      <c r="AL187" s="14"/>
      <c r="AM187" s="14"/>
      <c r="AN187" s="14" t="s">
        <v>1092</v>
      </c>
      <c r="AO187" s="14" t="s">
        <v>1093</v>
      </c>
      <c r="AP187" s="14" t="s">
        <v>146</v>
      </c>
      <c r="AQ187" s="14"/>
      <c r="AR187" s="22"/>
      <c r="AS187" s="22"/>
      <c r="AT187" s="22"/>
      <c r="AU187" s="25"/>
    </row>
    <row r="188" spans="1:47" ht="51.75" customHeight="1" x14ac:dyDescent="0.2">
      <c r="A188" s="27" t="s">
        <v>86</v>
      </c>
      <c r="B188" s="29" t="s">
        <v>1097</v>
      </c>
      <c r="C188" s="27" t="s">
        <v>1098</v>
      </c>
      <c r="D188" s="22" t="s">
        <v>96</v>
      </c>
      <c r="E188" s="22" t="s">
        <v>261</v>
      </c>
      <c r="F188" s="27"/>
      <c r="G188" s="27"/>
      <c r="H188" s="27"/>
      <c r="I188" s="27"/>
      <c r="J188" s="14" t="s">
        <v>91</v>
      </c>
      <c r="K188" s="14" t="s">
        <v>59</v>
      </c>
      <c r="L188" s="14" t="s">
        <v>93</v>
      </c>
      <c r="M188" s="14" t="s">
        <v>132</v>
      </c>
      <c r="N188" s="18" t="s">
        <v>19</v>
      </c>
      <c r="O188" s="14" t="s">
        <v>19</v>
      </c>
      <c r="P188" s="19">
        <v>42779.625694444447</v>
      </c>
      <c r="Q188" s="19">
        <v>42781.711111111108</v>
      </c>
      <c r="R188" s="19">
        <v>42781.711111111108</v>
      </c>
      <c r="S188" s="14" t="s">
        <v>660</v>
      </c>
      <c r="T188" s="14"/>
      <c r="U188" s="14" t="s">
        <v>96</v>
      </c>
      <c r="V188" s="14"/>
      <c r="W188" s="14">
        <v>0</v>
      </c>
      <c r="X188" s="14">
        <v>0</v>
      </c>
      <c r="Y188" s="14"/>
      <c r="Z188" s="14"/>
      <c r="AA188" s="14"/>
      <c r="AB188" s="14"/>
      <c r="AC188" s="14"/>
      <c r="AD188" s="14"/>
      <c r="AE188" s="14"/>
      <c r="AF188" s="14"/>
      <c r="AG188" s="14" t="s">
        <v>1099</v>
      </c>
      <c r="AH188" s="14"/>
      <c r="AI188" s="14"/>
      <c r="AJ188" s="14"/>
      <c r="AK188" s="14"/>
      <c r="AL188" s="14"/>
      <c r="AM188" s="14"/>
      <c r="AN188" s="14"/>
      <c r="AO188" s="14" t="s">
        <v>1100</v>
      </c>
      <c r="AP188" s="14"/>
      <c r="AQ188" s="14"/>
      <c r="AR188" s="22"/>
      <c r="AS188" s="22" t="s">
        <v>96</v>
      </c>
      <c r="AT188" s="22" t="s">
        <v>261</v>
      </c>
      <c r="AU188" s="25" t="str">
        <f>VLOOKUP(O188,[1]Lookup!A:B,2,FALSE)</f>
        <v>Test-SIT</v>
      </c>
    </row>
    <row r="189" spans="1:47" ht="51.75" customHeight="1" x14ac:dyDescent="0.2">
      <c r="A189" s="27" t="s">
        <v>86</v>
      </c>
      <c r="B189" s="29" t="s">
        <v>1101</v>
      </c>
      <c r="C189" s="27" t="s">
        <v>1102</v>
      </c>
      <c r="D189" s="27" t="s">
        <v>89</v>
      </c>
      <c r="E189" s="27" t="s">
        <v>1103</v>
      </c>
      <c r="F189" s="27"/>
      <c r="G189" s="27"/>
      <c r="H189" s="27"/>
      <c r="I189" s="27"/>
      <c r="J189" s="14" t="s">
        <v>91</v>
      </c>
      <c r="K189" s="14" t="s">
        <v>59</v>
      </c>
      <c r="L189" s="14" t="s">
        <v>93</v>
      </c>
      <c r="M189" s="14" t="s">
        <v>132</v>
      </c>
      <c r="N189" s="18" t="s">
        <v>19</v>
      </c>
      <c r="O189" s="14" t="s">
        <v>19</v>
      </c>
      <c r="P189" s="19">
        <v>42779.61041666667</v>
      </c>
      <c r="Q189" s="19">
        <v>42781.618055555555</v>
      </c>
      <c r="R189" s="19">
        <v>42781.618055555555</v>
      </c>
      <c r="S189" s="14" t="s">
        <v>660</v>
      </c>
      <c r="T189" s="14"/>
      <c r="U189" s="14" t="s">
        <v>96</v>
      </c>
      <c r="V189" s="14"/>
      <c r="W189" s="14">
        <v>0</v>
      </c>
      <c r="X189" s="14">
        <v>0</v>
      </c>
      <c r="Y189" s="14"/>
      <c r="Z189" s="14"/>
      <c r="AA189" s="14"/>
      <c r="AB189" s="14"/>
      <c r="AC189" s="14"/>
      <c r="AD189" s="14"/>
      <c r="AE189" s="14"/>
      <c r="AF189" s="14" t="s">
        <v>1103</v>
      </c>
      <c r="AG189" s="14" t="s">
        <v>1104</v>
      </c>
      <c r="AH189" s="14"/>
      <c r="AI189" s="14"/>
      <c r="AJ189" s="14"/>
      <c r="AK189" s="14"/>
      <c r="AL189" s="14"/>
      <c r="AM189" s="14"/>
      <c r="AN189" s="14" t="s">
        <v>1105</v>
      </c>
      <c r="AO189" s="14" t="s">
        <v>1106</v>
      </c>
      <c r="AP189" s="14"/>
      <c r="AQ189" s="14"/>
      <c r="AR189" s="22"/>
      <c r="AS189" s="27" t="s">
        <v>89</v>
      </c>
      <c r="AT189" s="27" t="s">
        <v>1103</v>
      </c>
      <c r="AU189" s="25" t="str">
        <f>VLOOKUP(O189,[1]Lookup!A:B,2,FALSE)</f>
        <v>Test-SIT</v>
      </c>
    </row>
    <row r="190" spans="1:47" ht="51.75" customHeight="1" x14ac:dyDescent="0.2">
      <c r="A190" s="27" t="s">
        <v>86</v>
      </c>
      <c r="B190" s="29" t="s">
        <v>1107</v>
      </c>
      <c r="C190" s="27" t="s">
        <v>1108</v>
      </c>
      <c r="D190" s="22" t="s">
        <v>89</v>
      </c>
      <c r="E190" s="22" t="s">
        <v>193</v>
      </c>
      <c r="F190" s="27"/>
      <c r="G190" s="27" t="s">
        <v>510</v>
      </c>
      <c r="H190" s="27"/>
      <c r="I190" s="27"/>
      <c r="J190" s="14" t="s">
        <v>91</v>
      </c>
      <c r="K190" s="14" t="s">
        <v>59</v>
      </c>
      <c r="L190" s="14" t="s">
        <v>103</v>
      </c>
      <c r="M190" s="14" t="s">
        <v>132</v>
      </c>
      <c r="N190" s="18" t="s">
        <v>30</v>
      </c>
      <c r="O190" s="14" t="s">
        <v>22</v>
      </c>
      <c r="P190" s="19">
        <v>42779.48541666667</v>
      </c>
      <c r="Q190" s="19">
        <v>42787.723611111112</v>
      </c>
      <c r="R190" s="19">
        <v>42787.723611111112</v>
      </c>
      <c r="S190" s="14" t="s">
        <v>660</v>
      </c>
      <c r="T190" s="14" t="s">
        <v>510</v>
      </c>
      <c r="U190" s="14" t="s">
        <v>89</v>
      </c>
      <c r="V190" s="14"/>
      <c r="W190" s="14">
        <v>0</v>
      </c>
      <c r="X190" s="14">
        <v>0</v>
      </c>
      <c r="Y190" s="14"/>
      <c r="Z190" s="14"/>
      <c r="AA190" s="14"/>
      <c r="AB190" s="14"/>
      <c r="AC190" s="14"/>
      <c r="AD190" s="14"/>
      <c r="AE190" s="14"/>
      <c r="AF190" s="14"/>
      <c r="AG190" s="14" t="s">
        <v>1109</v>
      </c>
      <c r="AH190" s="14"/>
      <c r="AI190" s="14"/>
      <c r="AJ190" s="14"/>
      <c r="AK190" s="14"/>
      <c r="AL190" s="14"/>
      <c r="AM190" s="14"/>
      <c r="AN190" s="14" t="s">
        <v>193</v>
      </c>
      <c r="AO190" s="14" t="s">
        <v>1110</v>
      </c>
      <c r="AP190" s="14"/>
      <c r="AQ190" s="14"/>
      <c r="AR190" s="22"/>
      <c r="AS190" s="22" t="s">
        <v>89</v>
      </c>
      <c r="AT190" s="22" t="s">
        <v>193</v>
      </c>
      <c r="AU190" s="25" t="str">
        <f>VLOOKUP(O190,[1]Lookup!A:B,2,FALSE)</f>
        <v>Test-SIT</v>
      </c>
    </row>
    <row r="191" spans="1:47" ht="51.75" customHeight="1" x14ac:dyDescent="0.2">
      <c r="A191" s="27" t="s">
        <v>86</v>
      </c>
      <c r="B191" s="29" t="s">
        <v>1111</v>
      </c>
      <c r="C191" s="27" t="s">
        <v>1112</v>
      </c>
      <c r="D191" s="22" t="s">
        <v>241</v>
      </c>
      <c r="E191" s="22" t="s">
        <v>302</v>
      </c>
      <c r="F191" s="27"/>
      <c r="G191" s="27" t="s">
        <v>204</v>
      </c>
      <c r="H191" s="27"/>
      <c r="I191" s="27"/>
      <c r="J191" s="14" t="s">
        <v>91</v>
      </c>
      <c r="K191" s="14" t="s">
        <v>59</v>
      </c>
      <c r="L191" s="14" t="s">
        <v>93</v>
      </c>
      <c r="M191" s="14" t="s">
        <v>132</v>
      </c>
      <c r="N191" s="18" t="s">
        <v>202</v>
      </c>
      <c r="O191" s="14" t="s">
        <v>36</v>
      </c>
      <c r="P191" s="19">
        <v>42779.408333333333</v>
      </c>
      <c r="Q191" s="19">
        <v>42790.475694444445</v>
      </c>
      <c r="R191" s="19">
        <v>42790.474305555559</v>
      </c>
      <c r="S191" s="14" t="s">
        <v>203</v>
      </c>
      <c r="T191" s="14" t="s">
        <v>204</v>
      </c>
      <c r="U191" s="14" t="s">
        <v>96</v>
      </c>
      <c r="V191" s="14"/>
      <c r="W191" s="14">
        <v>0</v>
      </c>
      <c r="X191" s="14">
        <v>0</v>
      </c>
      <c r="Y191" s="20" t="s">
        <v>1113</v>
      </c>
      <c r="Z191" s="14"/>
      <c r="AA191" s="14"/>
      <c r="AB191" s="14"/>
      <c r="AC191" s="14"/>
      <c r="AD191" s="14"/>
      <c r="AE191" s="14"/>
      <c r="AF191" s="14" t="s">
        <v>126</v>
      </c>
      <c r="AG191" s="14" t="s">
        <v>1114</v>
      </c>
      <c r="AH191" s="14"/>
      <c r="AI191" s="14"/>
      <c r="AJ191" s="14"/>
      <c r="AK191" s="14"/>
      <c r="AL191" s="14"/>
      <c r="AM191" s="14"/>
      <c r="AN191" s="14"/>
      <c r="AO191" s="14" t="s">
        <v>229</v>
      </c>
      <c r="AP191" s="14" t="s">
        <v>146</v>
      </c>
      <c r="AQ191" s="14"/>
      <c r="AR191" s="22"/>
      <c r="AS191" s="22" t="s">
        <v>241</v>
      </c>
      <c r="AT191" s="22" t="s">
        <v>302</v>
      </c>
      <c r="AU191" s="25" t="str">
        <f>VLOOKUP(O191,[1]Lookup!A:B,2,FALSE)</f>
        <v>DMO</v>
      </c>
    </row>
    <row r="192" spans="1:47" ht="51.75" customHeight="1" x14ac:dyDescent="0.2">
      <c r="A192" s="27" t="s">
        <v>86</v>
      </c>
      <c r="B192" s="29" t="s">
        <v>1115</v>
      </c>
      <c r="C192" s="27" t="s">
        <v>1116</v>
      </c>
      <c r="D192" s="22" t="s">
        <v>241</v>
      </c>
      <c r="E192" s="27" t="s">
        <v>123</v>
      </c>
      <c r="F192" s="27"/>
      <c r="G192" s="27" t="s">
        <v>660</v>
      </c>
      <c r="H192" s="27"/>
      <c r="I192" s="27"/>
      <c r="J192" s="14" t="s">
        <v>91</v>
      </c>
      <c r="K192" s="14" t="s">
        <v>59</v>
      </c>
      <c r="L192" s="14" t="s">
        <v>93</v>
      </c>
      <c r="M192" s="14" t="s">
        <v>132</v>
      </c>
      <c r="N192" s="18" t="s">
        <v>19</v>
      </c>
      <c r="O192" s="14" t="s">
        <v>19</v>
      </c>
      <c r="P192" s="19">
        <v>42778.680555555555</v>
      </c>
      <c r="Q192" s="19">
        <v>42781.466666666667</v>
      </c>
      <c r="R192" s="19">
        <v>42781.466666666667</v>
      </c>
      <c r="S192" s="14" t="s">
        <v>660</v>
      </c>
      <c r="T192" s="14" t="s">
        <v>660</v>
      </c>
      <c r="U192" s="14" t="s">
        <v>96</v>
      </c>
      <c r="V192" s="14"/>
      <c r="W192" s="14">
        <v>0</v>
      </c>
      <c r="X192" s="14">
        <v>0</v>
      </c>
      <c r="Y192" s="14"/>
      <c r="Z192" s="14"/>
      <c r="AA192" s="14"/>
      <c r="AB192" s="14"/>
      <c r="AC192" s="14"/>
      <c r="AD192" s="14"/>
      <c r="AE192" s="14"/>
      <c r="AF192" s="14" t="s">
        <v>1117</v>
      </c>
      <c r="AG192" s="14" t="s">
        <v>1118</v>
      </c>
      <c r="AH192" s="14"/>
      <c r="AI192" s="14"/>
      <c r="AJ192" s="14"/>
      <c r="AK192" s="14"/>
      <c r="AL192" s="14"/>
      <c r="AM192" s="14"/>
      <c r="AN192" s="14" t="s">
        <v>123</v>
      </c>
      <c r="AO192" s="14" t="s">
        <v>1119</v>
      </c>
      <c r="AP192" s="14"/>
      <c r="AQ192" s="14"/>
      <c r="AR192" s="22"/>
      <c r="AS192" s="22" t="s">
        <v>241</v>
      </c>
      <c r="AT192" s="27" t="s">
        <v>123</v>
      </c>
      <c r="AU192" s="25" t="str">
        <f>VLOOKUP(O192,[1]Lookup!A:B,2,FALSE)</f>
        <v>Test-SIT</v>
      </c>
    </row>
    <row r="193" spans="1:47" ht="51.75" customHeight="1" x14ac:dyDescent="0.2">
      <c r="A193" s="27" t="s">
        <v>86</v>
      </c>
      <c r="B193" s="29" t="s">
        <v>1120</v>
      </c>
      <c r="C193" s="27" t="s">
        <v>1121</v>
      </c>
      <c r="D193" s="22" t="s">
        <v>241</v>
      </c>
      <c r="E193" s="27" t="s">
        <v>123</v>
      </c>
      <c r="F193" s="27"/>
      <c r="G193" s="27" t="s">
        <v>660</v>
      </c>
      <c r="H193" s="27"/>
      <c r="I193" s="27"/>
      <c r="J193" s="14" t="s">
        <v>91</v>
      </c>
      <c r="K193" s="14" t="s">
        <v>59</v>
      </c>
      <c r="L193" s="14" t="s">
        <v>93</v>
      </c>
      <c r="M193" s="14" t="s">
        <v>132</v>
      </c>
      <c r="N193" s="18" t="s">
        <v>19</v>
      </c>
      <c r="O193" s="14" t="s">
        <v>19</v>
      </c>
      <c r="P193" s="19">
        <v>42778.665277777778</v>
      </c>
      <c r="Q193" s="19">
        <v>42781.463888888888</v>
      </c>
      <c r="R193" s="19">
        <v>42781.463888888888</v>
      </c>
      <c r="S193" s="14" t="s">
        <v>660</v>
      </c>
      <c r="T193" s="14" t="s">
        <v>660</v>
      </c>
      <c r="U193" s="14" t="s">
        <v>96</v>
      </c>
      <c r="V193" s="14"/>
      <c r="W193" s="14">
        <v>0</v>
      </c>
      <c r="X193" s="14">
        <v>0</v>
      </c>
      <c r="Y193" s="14"/>
      <c r="Z193" s="14"/>
      <c r="AA193" s="14"/>
      <c r="AB193" s="14"/>
      <c r="AC193" s="14"/>
      <c r="AD193" s="14"/>
      <c r="AE193" s="14"/>
      <c r="AF193" s="14" t="s">
        <v>494</v>
      </c>
      <c r="AG193" s="14" t="s">
        <v>1122</v>
      </c>
      <c r="AH193" s="14"/>
      <c r="AI193" s="14"/>
      <c r="AJ193" s="14"/>
      <c r="AK193" s="14"/>
      <c r="AL193" s="14"/>
      <c r="AM193" s="14"/>
      <c r="AN193" s="14" t="s">
        <v>123</v>
      </c>
      <c r="AO193" s="14" t="s">
        <v>1119</v>
      </c>
      <c r="AP193" s="14"/>
      <c r="AQ193" s="14"/>
      <c r="AR193" s="22"/>
      <c r="AS193" s="22" t="s">
        <v>241</v>
      </c>
      <c r="AT193" s="27" t="s">
        <v>123</v>
      </c>
      <c r="AU193" s="25" t="str">
        <f>VLOOKUP(O193,[1]Lookup!A:B,2,FALSE)</f>
        <v>Test-SIT</v>
      </c>
    </row>
    <row r="194" spans="1:47" ht="51.75" customHeight="1" x14ac:dyDescent="0.2">
      <c r="A194" s="27" t="s">
        <v>86</v>
      </c>
      <c r="B194" s="29" t="s">
        <v>1123</v>
      </c>
      <c r="C194" s="27" t="s">
        <v>1124</v>
      </c>
      <c r="D194" s="22" t="s">
        <v>241</v>
      </c>
      <c r="E194" s="27" t="s">
        <v>123</v>
      </c>
      <c r="F194" s="27"/>
      <c r="G194" s="27"/>
      <c r="H194" s="27"/>
      <c r="I194" s="27"/>
      <c r="J194" s="14" t="s">
        <v>91</v>
      </c>
      <c r="K194" s="14" t="s">
        <v>59</v>
      </c>
      <c r="L194" s="14" t="s">
        <v>93</v>
      </c>
      <c r="M194" s="14" t="s">
        <v>132</v>
      </c>
      <c r="N194" s="18" t="s">
        <v>19</v>
      </c>
      <c r="O194" s="14" t="s">
        <v>19</v>
      </c>
      <c r="P194" s="19">
        <v>42778.636111111111</v>
      </c>
      <c r="Q194" s="19">
        <v>42787.868055555555</v>
      </c>
      <c r="R194" s="19">
        <v>42787.868055555555</v>
      </c>
      <c r="S194" s="14" t="s">
        <v>660</v>
      </c>
      <c r="T194" s="14"/>
      <c r="U194" s="14" t="s">
        <v>96</v>
      </c>
      <c r="V194" s="14"/>
      <c r="W194" s="14">
        <v>0</v>
      </c>
      <c r="X194" s="14">
        <v>0</v>
      </c>
      <c r="Y194" s="20" t="s">
        <v>1125</v>
      </c>
      <c r="Z194" s="14"/>
      <c r="AA194" s="14"/>
      <c r="AB194" s="14"/>
      <c r="AC194" s="14"/>
      <c r="AD194" s="14"/>
      <c r="AE194" s="14"/>
      <c r="AF194" s="14" t="s">
        <v>1117</v>
      </c>
      <c r="AG194" s="14" t="s">
        <v>1126</v>
      </c>
      <c r="AH194" s="14"/>
      <c r="AI194" s="14"/>
      <c r="AJ194" s="14"/>
      <c r="AK194" s="14"/>
      <c r="AL194" s="14"/>
      <c r="AM194" s="14"/>
      <c r="AN194" s="14" t="s">
        <v>123</v>
      </c>
      <c r="AO194" s="14" t="s">
        <v>1002</v>
      </c>
      <c r="AP194" s="14"/>
      <c r="AQ194" s="14"/>
      <c r="AR194" s="22"/>
      <c r="AS194" s="22" t="s">
        <v>241</v>
      </c>
      <c r="AT194" s="27" t="s">
        <v>123</v>
      </c>
      <c r="AU194" s="25" t="str">
        <f>VLOOKUP(O194,[1]Lookup!A:B,2,FALSE)</f>
        <v>Test-SIT</v>
      </c>
    </row>
    <row r="195" spans="1:47" s="42" customFormat="1" ht="54" customHeight="1" x14ac:dyDescent="0.2">
      <c r="A195" s="41" t="s">
        <v>86</v>
      </c>
      <c r="B195" s="29" t="s">
        <v>452</v>
      </c>
      <c r="C195" s="41" t="s">
        <v>1127</v>
      </c>
      <c r="D195" s="41" t="s">
        <v>89</v>
      </c>
      <c r="E195" s="22" t="s">
        <v>507</v>
      </c>
      <c r="F195" s="26" t="s">
        <v>873</v>
      </c>
      <c r="G195" s="26" t="s">
        <v>155</v>
      </c>
      <c r="H195" s="26"/>
      <c r="I195" s="26" t="s">
        <v>1128</v>
      </c>
      <c r="J195" s="14" t="s">
        <v>91</v>
      </c>
      <c r="K195" s="14" t="s">
        <v>59</v>
      </c>
      <c r="L195" s="14" t="s">
        <v>124</v>
      </c>
      <c r="M195" s="14" t="s">
        <v>1129</v>
      </c>
      <c r="N195" s="18" t="s">
        <v>19</v>
      </c>
      <c r="O195" s="14" t="s">
        <v>19</v>
      </c>
      <c r="P195" s="19">
        <v>42777.786111111112</v>
      </c>
      <c r="Q195" s="19">
        <v>42796.859027777777</v>
      </c>
      <c r="R195" s="19">
        <v>42796.859027777777</v>
      </c>
      <c r="S195" s="14" t="s">
        <v>660</v>
      </c>
      <c r="T195" s="14" t="s">
        <v>451</v>
      </c>
      <c r="U195" s="14" t="s">
        <v>242</v>
      </c>
      <c r="V195" s="14"/>
      <c r="W195" s="14">
        <v>0</v>
      </c>
      <c r="X195" s="14">
        <v>0</v>
      </c>
      <c r="Y195" s="14"/>
      <c r="Z195" s="14"/>
      <c r="AA195" s="14"/>
      <c r="AB195" s="14"/>
      <c r="AC195" s="14"/>
      <c r="AD195" s="14"/>
      <c r="AE195" s="14" t="s">
        <v>457</v>
      </c>
      <c r="AF195" s="14" t="s">
        <v>1130</v>
      </c>
      <c r="AG195" s="14" t="s">
        <v>1131</v>
      </c>
      <c r="AH195" s="14"/>
      <c r="AI195" s="14"/>
      <c r="AJ195" s="14"/>
      <c r="AK195" s="14"/>
      <c r="AL195" s="14"/>
      <c r="AM195" s="14"/>
      <c r="AN195" s="14" t="s">
        <v>1132</v>
      </c>
      <c r="AO195" s="14" t="s">
        <v>1133</v>
      </c>
      <c r="AP195" s="14"/>
      <c r="AQ195" s="14"/>
      <c r="AS195" s="41" t="s">
        <v>89</v>
      </c>
      <c r="AT195" s="41" t="s">
        <v>513</v>
      </c>
      <c r="AU195" s="25" t="str">
        <f>VLOOKUP(O195,[1]Lookup!A:B,2,FALSE)</f>
        <v>Test-SIT</v>
      </c>
    </row>
    <row r="196" spans="1:47" ht="51.75" customHeight="1" x14ac:dyDescent="0.2">
      <c r="A196" s="27" t="s">
        <v>86</v>
      </c>
      <c r="B196" s="29" t="s">
        <v>1134</v>
      </c>
      <c r="C196" s="27" t="s">
        <v>1135</v>
      </c>
      <c r="D196" s="22" t="s">
        <v>241</v>
      </c>
      <c r="E196" s="27" t="s">
        <v>123</v>
      </c>
      <c r="F196" s="27"/>
      <c r="G196" s="27"/>
      <c r="H196" s="27"/>
      <c r="I196" s="27"/>
      <c r="J196" s="14" t="s">
        <v>91</v>
      </c>
      <c r="K196" s="14" t="s">
        <v>59</v>
      </c>
      <c r="L196" s="14" t="s">
        <v>93</v>
      </c>
      <c r="M196" s="14" t="s">
        <v>132</v>
      </c>
      <c r="N196" s="18" t="s">
        <v>19</v>
      </c>
      <c r="O196" s="14" t="s">
        <v>19</v>
      </c>
      <c r="P196" s="19">
        <v>42777.675000000003</v>
      </c>
      <c r="Q196" s="19">
        <v>42780.586111111108</v>
      </c>
      <c r="R196" s="19">
        <v>42780.586111111108</v>
      </c>
      <c r="S196" s="14" t="s">
        <v>660</v>
      </c>
      <c r="T196" s="14"/>
      <c r="U196" s="14" t="s">
        <v>96</v>
      </c>
      <c r="V196" s="14"/>
      <c r="W196" s="14">
        <v>0</v>
      </c>
      <c r="X196" s="14">
        <v>0</v>
      </c>
      <c r="Y196" s="14"/>
      <c r="Z196" s="14"/>
      <c r="AA196" s="14"/>
      <c r="AB196" s="14"/>
      <c r="AC196" s="14"/>
      <c r="AD196" s="14"/>
      <c r="AE196" s="14"/>
      <c r="AF196" s="14" t="s">
        <v>1117</v>
      </c>
      <c r="AG196" s="14" t="s">
        <v>1136</v>
      </c>
      <c r="AH196" s="14"/>
      <c r="AI196" s="14"/>
      <c r="AJ196" s="14"/>
      <c r="AK196" s="14"/>
      <c r="AL196" s="14"/>
      <c r="AM196" s="14"/>
      <c r="AN196" s="14" t="s">
        <v>123</v>
      </c>
      <c r="AO196" s="14" t="s">
        <v>1137</v>
      </c>
      <c r="AP196" s="14"/>
      <c r="AQ196" s="14"/>
      <c r="AR196" s="22"/>
      <c r="AS196" s="22" t="s">
        <v>241</v>
      </c>
      <c r="AT196" s="27" t="s">
        <v>123</v>
      </c>
      <c r="AU196" s="25" t="str">
        <f>VLOOKUP(O196,[1]Lookup!A:B,2,FALSE)</f>
        <v>Test-SIT</v>
      </c>
    </row>
    <row r="197" spans="1:47" ht="51.75" customHeight="1" x14ac:dyDescent="0.2">
      <c r="A197" s="27" t="s">
        <v>86</v>
      </c>
      <c r="B197" s="29" t="s">
        <v>1138</v>
      </c>
      <c r="C197" s="27" t="s">
        <v>1139</v>
      </c>
      <c r="D197" s="22" t="s">
        <v>241</v>
      </c>
      <c r="E197" s="27" t="s">
        <v>123</v>
      </c>
      <c r="F197" s="27"/>
      <c r="G197" s="27" t="s">
        <v>204</v>
      </c>
      <c r="H197" s="27"/>
      <c r="I197" s="27"/>
      <c r="J197" s="14" t="s">
        <v>91</v>
      </c>
      <c r="K197" s="14" t="s">
        <v>59</v>
      </c>
      <c r="L197" s="14" t="s">
        <v>93</v>
      </c>
      <c r="M197" s="14" t="s">
        <v>132</v>
      </c>
      <c r="N197" s="18" t="s">
        <v>19</v>
      </c>
      <c r="O197" s="14" t="s">
        <v>19</v>
      </c>
      <c r="P197" s="19">
        <v>42777.67083333333</v>
      </c>
      <c r="Q197" s="19">
        <v>42782.539583333331</v>
      </c>
      <c r="R197" s="19">
        <v>42782.539583333331</v>
      </c>
      <c r="S197" s="14" t="s">
        <v>660</v>
      </c>
      <c r="T197" s="14" t="s">
        <v>204</v>
      </c>
      <c r="U197" s="14" t="s">
        <v>96</v>
      </c>
      <c r="V197" s="14"/>
      <c r="W197" s="14">
        <v>0</v>
      </c>
      <c r="X197" s="14">
        <v>0</v>
      </c>
      <c r="Y197" s="14"/>
      <c r="Z197" s="14"/>
      <c r="AA197" s="14"/>
      <c r="AB197" s="14"/>
      <c r="AC197" s="14"/>
      <c r="AD197" s="14"/>
      <c r="AE197" s="14"/>
      <c r="AF197" s="14" t="s">
        <v>1140</v>
      </c>
      <c r="AG197" s="14" t="s">
        <v>1141</v>
      </c>
      <c r="AH197" s="14"/>
      <c r="AI197" s="14"/>
      <c r="AJ197" s="14"/>
      <c r="AK197" s="14"/>
      <c r="AL197" s="14"/>
      <c r="AM197" s="14"/>
      <c r="AN197" s="14" t="s">
        <v>1142</v>
      </c>
      <c r="AO197" s="14" t="s">
        <v>381</v>
      </c>
      <c r="AP197" s="14"/>
      <c r="AQ197" s="14"/>
      <c r="AR197" s="22"/>
      <c r="AS197" s="22" t="s">
        <v>241</v>
      </c>
      <c r="AT197" s="27" t="s">
        <v>123</v>
      </c>
      <c r="AU197" s="25" t="str">
        <f>VLOOKUP(O197,[1]Lookup!A:B,2,FALSE)</f>
        <v>Test-SIT</v>
      </c>
    </row>
    <row r="198" spans="1:47" ht="51.75" customHeight="1" x14ac:dyDescent="0.2">
      <c r="A198" s="27" t="s">
        <v>86</v>
      </c>
      <c r="B198" s="29" t="s">
        <v>1143</v>
      </c>
      <c r="C198" s="27" t="s">
        <v>1144</v>
      </c>
      <c r="D198" s="22" t="s">
        <v>241</v>
      </c>
      <c r="E198" s="27" t="s">
        <v>123</v>
      </c>
      <c r="F198" s="27"/>
      <c r="G198" s="27" t="s">
        <v>203</v>
      </c>
      <c r="H198" s="27"/>
      <c r="I198" s="27"/>
      <c r="J198" s="14" t="s">
        <v>91</v>
      </c>
      <c r="K198" s="14" t="s">
        <v>59</v>
      </c>
      <c r="L198" s="14" t="s">
        <v>103</v>
      </c>
      <c r="M198" s="14" t="s">
        <v>132</v>
      </c>
      <c r="N198" s="18" t="s">
        <v>21</v>
      </c>
      <c r="O198" s="14" t="s">
        <v>37</v>
      </c>
      <c r="P198" s="19">
        <v>42776.795138888891</v>
      </c>
      <c r="Q198" s="19">
        <v>42793.445138888892</v>
      </c>
      <c r="R198" s="19">
        <v>42793.445138888892</v>
      </c>
      <c r="S198" s="14" t="s">
        <v>203</v>
      </c>
      <c r="T198" s="14" t="s">
        <v>203</v>
      </c>
      <c r="U198" s="14" t="s">
        <v>96</v>
      </c>
      <c r="V198" s="14"/>
      <c r="W198" s="14">
        <v>0</v>
      </c>
      <c r="X198" s="14">
        <v>0</v>
      </c>
      <c r="Y198" s="14" t="s">
        <v>1145</v>
      </c>
      <c r="Z198" s="14"/>
      <c r="AA198" s="14"/>
      <c r="AB198" s="14"/>
      <c r="AC198" s="14"/>
      <c r="AD198" s="14"/>
      <c r="AE198" s="14"/>
      <c r="AF198" s="14" t="s">
        <v>126</v>
      </c>
      <c r="AG198" s="14" t="s">
        <v>1146</v>
      </c>
      <c r="AH198" s="14"/>
      <c r="AI198" s="14"/>
      <c r="AJ198" s="14"/>
      <c r="AK198" s="14"/>
      <c r="AL198" s="14"/>
      <c r="AM198" s="14"/>
      <c r="AN198" s="14" t="s">
        <v>123</v>
      </c>
      <c r="AO198" s="14" t="s">
        <v>1147</v>
      </c>
      <c r="AP198" s="14" t="s">
        <v>146</v>
      </c>
      <c r="AQ198" s="14"/>
      <c r="AR198" s="22"/>
      <c r="AS198" s="22" t="s">
        <v>241</v>
      </c>
      <c r="AT198" s="27" t="s">
        <v>123</v>
      </c>
      <c r="AU198" s="25" t="str">
        <f>VLOOKUP(O198,[1]Lookup!A:B,2,FALSE)</f>
        <v>DMO</v>
      </c>
    </row>
    <row r="199" spans="1:47" ht="51.75" customHeight="1" x14ac:dyDescent="0.2">
      <c r="A199" s="27" t="s">
        <v>86</v>
      </c>
      <c r="B199" s="29" t="s">
        <v>1148</v>
      </c>
      <c r="C199" s="27" t="s">
        <v>1149</v>
      </c>
      <c r="D199" s="22" t="s">
        <v>96</v>
      </c>
      <c r="E199" s="22" t="s">
        <v>166</v>
      </c>
      <c r="F199" s="27"/>
      <c r="G199" s="27" t="s">
        <v>510</v>
      </c>
      <c r="H199" s="27"/>
      <c r="I199" s="27"/>
      <c r="J199" s="14" t="s">
        <v>91</v>
      </c>
      <c r="K199" s="14" t="s">
        <v>59</v>
      </c>
      <c r="L199" s="14" t="s">
        <v>103</v>
      </c>
      <c r="M199" s="14" t="s">
        <v>132</v>
      </c>
      <c r="N199" s="18" t="s">
        <v>202</v>
      </c>
      <c r="O199" s="14" t="s">
        <v>36</v>
      </c>
      <c r="P199" s="19">
        <v>42776.770833333336</v>
      </c>
      <c r="Q199" s="19">
        <v>42790.568055555559</v>
      </c>
      <c r="R199" s="19">
        <v>42790.568055555559</v>
      </c>
      <c r="S199" s="14" t="s">
        <v>203</v>
      </c>
      <c r="T199" s="14" t="s">
        <v>510</v>
      </c>
      <c r="U199" s="14" t="s">
        <v>242</v>
      </c>
      <c r="V199" s="14"/>
      <c r="W199" s="14">
        <v>0</v>
      </c>
      <c r="X199" s="14">
        <v>0</v>
      </c>
      <c r="Y199" s="14" t="s">
        <v>1150</v>
      </c>
      <c r="Z199" s="14"/>
      <c r="AA199" s="14"/>
      <c r="AB199" s="14"/>
      <c r="AC199" s="14"/>
      <c r="AD199" s="14"/>
      <c r="AE199" s="14"/>
      <c r="AF199" s="14" t="s">
        <v>126</v>
      </c>
      <c r="AG199" s="14" t="s">
        <v>1151</v>
      </c>
      <c r="AH199" s="14"/>
      <c r="AI199" s="14"/>
      <c r="AJ199" s="14"/>
      <c r="AK199" s="14"/>
      <c r="AL199" s="14"/>
      <c r="AM199" s="14"/>
      <c r="AN199" s="14" t="s">
        <v>235</v>
      </c>
      <c r="AO199" s="14" t="s">
        <v>1002</v>
      </c>
      <c r="AP199" s="14" t="s">
        <v>146</v>
      </c>
      <c r="AQ199" s="14"/>
      <c r="AR199" s="22"/>
      <c r="AS199" s="22" t="s">
        <v>96</v>
      </c>
      <c r="AT199" s="22" t="s">
        <v>166</v>
      </c>
      <c r="AU199" s="25" t="str">
        <f>VLOOKUP(O199,[1]Lookup!A:B,2,FALSE)</f>
        <v>DMO</v>
      </c>
    </row>
    <row r="200" spans="1:47" ht="51.75" customHeight="1" x14ac:dyDescent="0.2">
      <c r="A200" s="27" t="s">
        <v>86</v>
      </c>
      <c r="B200" s="29" t="s">
        <v>1152</v>
      </c>
      <c r="C200" s="27" t="s">
        <v>1153</v>
      </c>
      <c r="D200" s="22" t="s">
        <v>96</v>
      </c>
      <c r="E200" s="22" t="s">
        <v>166</v>
      </c>
      <c r="F200" s="27"/>
      <c r="G200" s="27" t="s">
        <v>510</v>
      </c>
      <c r="H200" s="27"/>
      <c r="I200" s="27"/>
      <c r="J200" s="14" t="s">
        <v>91</v>
      </c>
      <c r="K200" s="14" t="s">
        <v>59</v>
      </c>
      <c r="L200" s="14" t="s">
        <v>103</v>
      </c>
      <c r="M200" s="14" t="s">
        <v>132</v>
      </c>
      <c r="N200" s="18" t="s">
        <v>202</v>
      </c>
      <c r="O200" s="14" t="s">
        <v>36</v>
      </c>
      <c r="P200" s="19">
        <v>42776.707638888889</v>
      </c>
      <c r="Q200" s="19">
        <v>42790.482638888891</v>
      </c>
      <c r="R200" s="19">
        <v>42790.482638888891</v>
      </c>
      <c r="S200" s="14" t="s">
        <v>203</v>
      </c>
      <c r="T200" s="14" t="s">
        <v>510</v>
      </c>
      <c r="U200" s="14" t="s">
        <v>96</v>
      </c>
      <c r="V200" s="14"/>
      <c r="W200" s="14">
        <v>0</v>
      </c>
      <c r="X200" s="14">
        <v>0</v>
      </c>
      <c r="Y200" s="14" t="s">
        <v>1154</v>
      </c>
      <c r="Z200" s="14"/>
      <c r="AA200" s="14"/>
      <c r="AB200" s="14"/>
      <c r="AC200" s="14"/>
      <c r="AD200" s="14"/>
      <c r="AE200" s="14"/>
      <c r="AF200" s="14" t="s">
        <v>126</v>
      </c>
      <c r="AG200" s="14" t="s">
        <v>1155</v>
      </c>
      <c r="AH200" s="14"/>
      <c r="AI200" s="14"/>
      <c r="AJ200" s="14"/>
      <c r="AK200" s="14"/>
      <c r="AL200" s="14"/>
      <c r="AM200" s="14"/>
      <c r="AN200" s="14"/>
      <c r="AO200" s="14" t="s">
        <v>1002</v>
      </c>
      <c r="AP200" s="14" t="s">
        <v>146</v>
      </c>
      <c r="AQ200" s="14"/>
      <c r="AR200" s="22"/>
      <c r="AS200" s="22" t="s">
        <v>96</v>
      </c>
      <c r="AT200" s="22" t="s">
        <v>166</v>
      </c>
      <c r="AU200" s="25" t="str">
        <f>VLOOKUP(O200,[1]Lookup!A:B,2,FALSE)</f>
        <v>DMO</v>
      </c>
    </row>
    <row r="201" spans="1:47" ht="51.75" customHeight="1" x14ac:dyDescent="0.2">
      <c r="A201" s="27" t="s">
        <v>86</v>
      </c>
      <c r="B201" s="29" t="s">
        <v>1156</v>
      </c>
      <c r="C201" s="27" t="s">
        <v>1157</v>
      </c>
      <c r="D201" s="22" t="s">
        <v>229</v>
      </c>
      <c r="E201" s="22" t="s">
        <v>229</v>
      </c>
      <c r="F201" s="43" t="s">
        <v>1158</v>
      </c>
      <c r="G201" s="37" t="s">
        <v>174</v>
      </c>
      <c r="H201" s="43" t="s">
        <v>472</v>
      </c>
      <c r="I201" s="43" t="s">
        <v>1159</v>
      </c>
      <c r="J201" s="14" t="s">
        <v>91</v>
      </c>
      <c r="K201" s="14" t="s">
        <v>59</v>
      </c>
      <c r="L201" s="14" t="s">
        <v>167</v>
      </c>
      <c r="M201" s="14" t="s">
        <v>132</v>
      </c>
      <c r="N201" s="18" t="s">
        <v>202</v>
      </c>
      <c r="O201" s="14" t="s">
        <v>37</v>
      </c>
      <c r="P201" s="19">
        <v>42776.705555555556</v>
      </c>
      <c r="Q201" s="19">
        <v>42801.405555555553</v>
      </c>
      <c r="R201" s="19">
        <v>42801.405555555553</v>
      </c>
      <c r="S201" s="14" t="s">
        <v>203</v>
      </c>
      <c r="T201" s="14" t="s">
        <v>204</v>
      </c>
      <c r="U201" s="14" t="s">
        <v>242</v>
      </c>
      <c r="V201" s="14"/>
      <c r="W201" s="14">
        <v>0</v>
      </c>
      <c r="X201" s="14">
        <v>0</v>
      </c>
      <c r="Y201" s="20" t="s">
        <v>1160</v>
      </c>
      <c r="Z201" s="14"/>
      <c r="AA201" s="14"/>
      <c r="AB201" s="14"/>
      <c r="AC201" s="14"/>
      <c r="AD201" s="14"/>
      <c r="AE201" s="14"/>
      <c r="AF201" s="14" t="s">
        <v>126</v>
      </c>
      <c r="AG201" s="14" t="s">
        <v>1161</v>
      </c>
      <c r="AH201" s="14"/>
      <c r="AI201" s="14"/>
      <c r="AJ201" s="14"/>
      <c r="AK201" s="14"/>
      <c r="AL201" s="14"/>
      <c r="AM201" s="14"/>
      <c r="AN201" s="14" t="s">
        <v>229</v>
      </c>
      <c r="AO201" s="14" t="s">
        <v>1162</v>
      </c>
      <c r="AP201" s="14" t="s">
        <v>146</v>
      </c>
      <c r="AQ201" s="14"/>
      <c r="AR201" s="22"/>
      <c r="AS201" s="22" t="s">
        <v>241</v>
      </c>
      <c r="AT201" s="22" t="s">
        <v>235</v>
      </c>
      <c r="AU201" s="25" t="str">
        <f>VLOOKUP(O201,[1]Lookup!A:B,2,FALSE)</f>
        <v>DMO</v>
      </c>
    </row>
    <row r="202" spans="1:47" ht="51.75" customHeight="1" x14ac:dyDescent="0.2">
      <c r="A202" s="27" t="s">
        <v>86</v>
      </c>
      <c r="B202" s="29" t="s">
        <v>1163</v>
      </c>
      <c r="C202" s="27" t="s">
        <v>1164</v>
      </c>
      <c r="D202" s="22" t="s">
        <v>89</v>
      </c>
      <c r="E202" s="22" t="s">
        <v>90</v>
      </c>
      <c r="F202" s="27"/>
      <c r="G202" s="27" t="s">
        <v>203</v>
      </c>
      <c r="H202" s="27"/>
      <c r="I202" s="27"/>
      <c r="J202" s="14" t="s">
        <v>91</v>
      </c>
      <c r="K202" s="14" t="s">
        <v>59</v>
      </c>
      <c r="L202" s="14" t="s">
        <v>124</v>
      </c>
      <c r="M202" s="14" t="s">
        <v>132</v>
      </c>
      <c r="N202" s="18" t="s">
        <v>37</v>
      </c>
      <c r="O202" s="14" t="s">
        <v>37</v>
      </c>
      <c r="P202" s="19">
        <v>42776.686111111114</v>
      </c>
      <c r="Q202" s="19">
        <v>42781.959027777775</v>
      </c>
      <c r="R202" s="19">
        <v>42780.486111111109</v>
      </c>
      <c r="S202" s="14" t="s">
        <v>203</v>
      </c>
      <c r="T202" s="14" t="s">
        <v>203</v>
      </c>
      <c r="U202" s="14" t="s">
        <v>89</v>
      </c>
      <c r="V202" s="14"/>
      <c r="W202" s="14">
        <v>0</v>
      </c>
      <c r="X202" s="14">
        <v>0</v>
      </c>
      <c r="Y202" s="20" t="s">
        <v>1165</v>
      </c>
      <c r="Z202" s="14"/>
      <c r="AA202" s="14"/>
      <c r="AB202" s="14"/>
      <c r="AC202" s="14"/>
      <c r="AD202" s="14"/>
      <c r="AE202" s="14" t="s">
        <v>1166</v>
      </c>
      <c r="AF202" s="14" t="s">
        <v>126</v>
      </c>
      <c r="AG202" s="14" t="s">
        <v>1167</v>
      </c>
      <c r="AH202" s="14"/>
      <c r="AI202" s="14"/>
      <c r="AJ202" s="14"/>
      <c r="AK202" s="14"/>
      <c r="AL202" s="14"/>
      <c r="AM202" s="14"/>
      <c r="AN202" s="14" t="s">
        <v>99</v>
      </c>
      <c r="AO202" s="14" t="s">
        <v>1168</v>
      </c>
      <c r="AP202" s="14" t="s">
        <v>146</v>
      </c>
      <c r="AQ202" s="14"/>
      <c r="AR202" s="22"/>
      <c r="AS202" s="22" t="s">
        <v>89</v>
      </c>
      <c r="AT202" s="22" t="s">
        <v>90</v>
      </c>
      <c r="AU202" s="25" t="str">
        <f>VLOOKUP(O202,[1]Lookup!A:B,2,FALSE)</f>
        <v>DMO</v>
      </c>
    </row>
    <row r="203" spans="1:47" ht="51.75" customHeight="1" x14ac:dyDescent="0.2">
      <c r="A203" s="27" t="s">
        <v>86</v>
      </c>
      <c r="B203" s="29" t="s">
        <v>1169</v>
      </c>
      <c r="C203" s="27" t="s">
        <v>1170</v>
      </c>
      <c r="D203" s="22" t="s">
        <v>89</v>
      </c>
      <c r="E203" s="22" t="s">
        <v>90</v>
      </c>
      <c r="F203" s="27"/>
      <c r="G203" s="27" t="s">
        <v>203</v>
      </c>
      <c r="H203" s="27"/>
      <c r="I203" s="27"/>
      <c r="J203" s="14" t="s">
        <v>91</v>
      </c>
      <c r="K203" s="14" t="s">
        <v>59</v>
      </c>
      <c r="L203" s="14" t="s">
        <v>124</v>
      </c>
      <c r="M203" s="14" t="s">
        <v>132</v>
      </c>
      <c r="N203" s="18" t="s">
        <v>37</v>
      </c>
      <c r="O203" s="14" t="s">
        <v>37</v>
      </c>
      <c r="P203" s="19">
        <v>42776.684027777781</v>
      </c>
      <c r="Q203" s="19">
        <v>42781.959027777775</v>
      </c>
      <c r="R203" s="19">
        <v>42780.496527777781</v>
      </c>
      <c r="S203" s="14" t="s">
        <v>203</v>
      </c>
      <c r="T203" s="14" t="s">
        <v>203</v>
      </c>
      <c r="U203" s="14" t="s">
        <v>89</v>
      </c>
      <c r="V203" s="14"/>
      <c r="W203" s="14">
        <v>0</v>
      </c>
      <c r="X203" s="14">
        <v>0</v>
      </c>
      <c r="Y203" s="20" t="s">
        <v>1171</v>
      </c>
      <c r="Z203" s="14"/>
      <c r="AA203" s="14"/>
      <c r="AB203" s="14"/>
      <c r="AC203" s="14"/>
      <c r="AD203" s="14"/>
      <c r="AE203" s="14" t="s">
        <v>1166</v>
      </c>
      <c r="AF203" s="14" t="s">
        <v>126</v>
      </c>
      <c r="AG203" s="14" t="s">
        <v>1172</v>
      </c>
      <c r="AH203" s="14"/>
      <c r="AI203" s="14"/>
      <c r="AJ203" s="14"/>
      <c r="AK203" s="14"/>
      <c r="AL203" s="14"/>
      <c r="AM203" s="14"/>
      <c r="AN203" s="14" t="s">
        <v>99</v>
      </c>
      <c r="AO203" s="14" t="s">
        <v>1168</v>
      </c>
      <c r="AP203" s="14" t="s">
        <v>146</v>
      </c>
      <c r="AQ203" s="14"/>
      <c r="AR203" s="22"/>
      <c r="AS203" s="22" t="s">
        <v>89</v>
      </c>
      <c r="AT203" s="27" t="s">
        <v>99</v>
      </c>
      <c r="AU203" s="25" t="str">
        <f>VLOOKUP(O203,[1]Lookup!A:B,2,FALSE)</f>
        <v>DMO</v>
      </c>
    </row>
    <row r="204" spans="1:47" ht="51.75" customHeight="1" x14ac:dyDescent="0.2">
      <c r="A204" s="27" t="s">
        <v>86</v>
      </c>
      <c r="B204" s="29" t="s">
        <v>1173</v>
      </c>
      <c r="C204" s="27" t="s">
        <v>1174</v>
      </c>
      <c r="D204" s="22" t="s">
        <v>89</v>
      </c>
      <c r="E204" s="22" t="s">
        <v>90</v>
      </c>
      <c r="F204" s="27"/>
      <c r="G204" s="27" t="s">
        <v>203</v>
      </c>
      <c r="H204" s="27"/>
      <c r="I204" s="27"/>
      <c r="J204" s="14" t="s">
        <v>91</v>
      </c>
      <c r="K204" s="14" t="s">
        <v>59</v>
      </c>
      <c r="L204" s="14" t="s">
        <v>124</v>
      </c>
      <c r="M204" s="14" t="s">
        <v>132</v>
      </c>
      <c r="N204" s="18" t="s">
        <v>21</v>
      </c>
      <c r="O204" s="14" t="s">
        <v>37</v>
      </c>
      <c r="P204" s="19">
        <v>42776.674305555556</v>
      </c>
      <c r="Q204" s="19">
        <v>42781.958333333336</v>
      </c>
      <c r="R204" s="19">
        <v>42778.929861111108</v>
      </c>
      <c r="S204" s="14" t="s">
        <v>203</v>
      </c>
      <c r="T204" s="14" t="s">
        <v>203</v>
      </c>
      <c r="U204" s="14" t="s">
        <v>89</v>
      </c>
      <c r="V204" s="14"/>
      <c r="W204" s="14">
        <v>0</v>
      </c>
      <c r="X204" s="14">
        <v>0</v>
      </c>
      <c r="Y204" s="20" t="s">
        <v>1175</v>
      </c>
      <c r="Z204" s="14"/>
      <c r="AA204" s="14"/>
      <c r="AB204" s="14"/>
      <c r="AC204" s="14"/>
      <c r="AD204" s="14"/>
      <c r="AE204" s="14"/>
      <c r="AF204" s="14" t="s">
        <v>126</v>
      </c>
      <c r="AG204" s="14" t="s">
        <v>1176</v>
      </c>
      <c r="AH204" s="14"/>
      <c r="AI204" s="14"/>
      <c r="AJ204" s="14"/>
      <c r="AK204" s="14"/>
      <c r="AL204" s="14"/>
      <c r="AM204" s="14"/>
      <c r="AN204" s="14" t="s">
        <v>99</v>
      </c>
      <c r="AO204" s="14" t="s">
        <v>1177</v>
      </c>
      <c r="AP204" s="14" t="s">
        <v>146</v>
      </c>
      <c r="AQ204" s="14"/>
      <c r="AR204" s="22"/>
      <c r="AS204" s="22" t="s">
        <v>89</v>
      </c>
      <c r="AT204" s="27" t="s">
        <v>99</v>
      </c>
      <c r="AU204" s="25" t="str">
        <f>VLOOKUP(O204,[1]Lookup!A:B,2,FALSE)</f>
        <v>DMO</v>
      </c>
    </row>
    <row r="205" spans="1:47" ht="51.75" customHeight="1" x14ac:dyDescent="0.2">
      <c r="A205" s="27" t="s">
        <v>86</v>
      </c>
      <c r="B205" s="29" t="s">
        <v>1178</v>
      </c>
      <c r="C205" s="27" t="s">
        <v>1179</v>
      </c>
      <c r="D205" s="22" t="s">
        <v>89</v>
      </c>
      <c r="E205" s="22" t="s">
        <v>729</v>
      </c>
      <c r="F205" s="37" t="s">
        <v>104</v>
      </c>
      <c r="G205" s="26" t="s">
        <v>373</v>
      </c>
      <c r="H205" s="44" t="s">
        <v>104</v>
      </c>
      <c r="I205" s="37" t="s">
        <v>553</v>
      </c>
      <c r="J205" s="14" t="s">
        <v>91</v>
      </c>
      <c r="K205" s="14" t="s">
        <v>59</v>
      </c>
      <c r="L205" s="14" t="s">
        <v>167</v>
      </c>
      <c r="M205" s="14" t="s">
        <v>132</v>
      </c>
      <c r="N205" s="18" t="s">
        <v>36</v>
      </c>
      <c r="O205" s="14" t="s">
        <v>36</v>
      </c>
      <c r="P205" s="19">
        <v>42776.630555555559</v>
      </c>
      <c r="Q205" s="19">
        <v>42808.635416666664</v>
      </c>
      <c r="R205" s="19">
        <v>42808.635416666664</v>
      </c>
      <c r="S205" s="14" t="s">
        <v>203</v>
      </c>
      <c r="T205" s="14" t="s">
        <v>451</v>
      </c>
      <c r="U205" s="14" t="s">
        <v>96</v>
      </c>
      <c r="V205" s="14"/>
      <c r="W205" s="14">
        <v>0</v>
      </c>
      <c r="X205" s="14">
        <v>0</v>
      </c>
      <c r="Y205" s="20" t="s">
        <v>1180</v>
      </c>
      <c r="Z205" s="14"/>
      <c r="AA205" s="14"/>
      <c r="AB205" s="14"/>
      <c r="AC205" s="14"/>
      <c r="AD205" s="14"/>
      <c r="AE205" s="14"/>
      <c r="AF205" s="14" t="s">
        <v>126</v>
      </c>
      <c r="AG205" s="14" t="s">
        <v>1181</v>
      </c>
      <c r="AH205" s="14"/>
      <c r="AI205" s="14"/>
      <c r="AJ205" s="14"/>
      <c r="AK205" s="14"/>
      <c r="AL205" s="14"/>
      <c r="AM205" s="14"/>
      <c r="AN205" s="14"/>
      <c r="AO205" s="14" t="s">
        <v>1182</v>
      </c>
      <c r="AP205" s="14" t="s">
        <v>146</v>
      </c>
      <c r="AQ205" s="14"/>
      <c r="AR205" s="22"/>
      <c r="AS205" s="22" t="s">
        <v>89</v>
      </c>
      <c r="AT205" s="22" t="s">
        <v>729</v>
      </c>
      <c r="AU205" s="25" t="str">
        <f>VLOOKUP(O205,[1]Lookup!A:B,2,FALSE)</f>
        <v>DMO</v>
      </c>
    </row>
    <row r="206" spans="1:47" ht="51.75" customHeight="1" x14ac:dyDescent="0.2">
      <c r="A206" s="27" t="s">
        <v>86</v>
      </c>
      <c r="B206" s="29" t="s">
        <v>1183</v>
      </c>
      <c r="C206" s="27" t="s">
        <v>1184</v>
      </c>
      <c r="D206" s="22" t="s">
        <v>241</v>
      </c>
      <c r="E206" s="22" t="s">
        <v>890</v>
      </c>
      <c r="F206" s="27"/>
      <c r="G206" s="27" t="s">
        <v>203</v>
      </c>
      <c r="H206" s="27"/>
      <c r="I206" s="27"/>
      <c r="J206" s="14" t="s">
        <v>91</v>
      </c>
      <c r="K206" s="14" t="s">
        <v>59</v>
      </c>
      <c r="L206" s="14" t="s">
        <v>103</v>
      </c>
      <c r="M206" s="14" t="s">
        <v>132</v>
      </c>
      <c r="N206" s="18" t="s">
        <v>21</v>
      </c>
      <c r="O206" s="14" t="s">
        <v>21</v>
      </c>
      <c r="P206" s="19">
        <v>42776.413194444445</v>
      </c>
      <c r="Q206" s="19">
        <v>42781.765277777777</v>
      </c>
      <c r="R206" s="19">
        <v>42781.765277777777</v>
      </c>
      <c r="S206" s="14" t="s">
        <v>203</v>
      </c>
      <c r="T206" s="14" t="s">
        <v>203</v>
      </c>
      <c r="U206" s="14" t="s">
        <v>96</v>
      </c>
      <c r="V206" s="14"/>
      <c r="W206" s="14">
        <v>0</v>
      </c>
      <c r="X206" s="14">
        <v>0</v>
      </c>
      <c r="Y206" s="14"/>
      <c r="Z206" s="14"/>
      <c r="AA206" s="14"/>
      <c r="AB206" s="14"/>
      <c r="AC206" s="14"/>
      <c r="AD206" s="14"/>
      <c r="AE206" s="14"/>
      <c r="AF206" s="14"/>
      <c r="AG206" s="14" t="s">
        <v>1185</v>
      </c>
      <c r="AH206" s="14"/>
      <c r="AI206" s="14"/>
      <c r="AJ206" s="14"/>
      <c r="AK206" s="14"/>
      <c r="AL206" s="14"/>
      <c r="AM206" s="14"/>
      <c r="AN206" s="14"/>
      <c r="AO206" s="14" t="s">
        <v>1186</v>
      </c>
      <c r="AP206" s="14"/>
      <c r="AQ206" s="14"/>
      <c r="AR206" s="22"/>
      <c r="AS206" s="22" t="s">
        <v>241</v>
      </c>
      <c r="AT206" s="22" t="s">
        <v>890</v>
      </c>
      <c r="AU206" s="25" t="str">
        <f>VLOOKUP(O206,[1]Lookup!A:B,2,FALSE)</f>
        <v>Test-SIT</v>
      </c>
    </row>
    <row r="207" spans="1:47" ht="51.75" customHeight="1" x14ac:dyDescent="0.2">
      <c r="A207" s="27" t="s">
        <v>86</v>
      </c>
      <c r="B207" s="29" t="s">
        <v>1187</v>
      </c>
      <c r="C207" s="27" t="s">
        <v>1188</v>
      </c>
      <c r="D207" s="22" t="s">
        <v>89</v>
      </c>
      <c r="E207" s="22" t="s">
        <v>1189</v>
      </c>
      <c r="F207" s="37" t="s">
        <v>104</v>
      </c>
      <c r="G207" s="37"/>
      <c r="H207" s="37"/>
      <c r="I207" s="37" t="s">
        <v>553</v>
      </c>
      <c r="J207" s="14" t="s">
        <v>91</v>
      </c>
      <c r="K207" s="14" t="s">
        <v>59</v>
      </c>
      <c r="L207" s="14" t="s">
        <v>124</v>
      </c>
      <c r="M207" s="14" t="s">
        <v>132</v>
      </c>
      <c r="N207" s="18" t="s">
        <v>21</v>
      </c>
      <c r="O207" s="14" t="s">
        <v>21</v>
      </c>
      <c r="P207" s="19">
        <v>42776.411805555559</v>
      </c>
      <c r="Q207" s="19">
        <v>42797.393750000003</v>
      </c>
      <c r="R207" s="19">
        <v>42797.393750000003</v>
      </c>
      <c r="S207" s="14" t="s">
        <v>203</v>
      </c>
      <c r="T207" s="14" t="s">
        <v>104</v>
      </c>
      <c r="U207" s="14" t="s">
        <v>89</v>
      </c>
      <c r="V207" s="14"/>
      <c r="W207" s="14">
        <v>0</v>
      </c>
      <c r="X207" s="14">
        <v>0</v>
      </c>
      <c r="Y207" s="14"/>
      <c r="Z207" s="14"/>
      <c r="AA207" s="14"/>
      <c r="AB207" s="14"/>
      <c r="AC207" s="14"/>
      <c r="AD207" s="14"/>
      <c r="AE207" s="14"/>
      <c r="AF207" s="14"/>
      <c r="AG207" s="14" t="s">
        <v>1190</v>
      </c>
      <c r="AH207" s="14"/>
      <c r="AI207" s="14"/>
      <c r="AJ207" s="14"/>
      <c r="AK207" s="14"/>
      <c r="AL207" s="14"/>
      <c r="AM207" s="14"/>
      <c r="AN207" s="14"/>
      <c r="AO207" s="14" t="s">
        <v>1191</v>
      </c>
      <c r="AP207" s="14"/>
      <c r="AQ207" s="14"/>
      <c r="AR207" s="22"/>
      <c r="AS207" s="22" t="s">
        <v>89</v>
      </c>
      <c r="AT207" s="22" t="s">
        <v>1189</v>
      </c>
      <c r="AU207" s="25" t="str">
        <f>VLOOKUP(O207,[1]Lookup!A:B,2,FALSE)</f>
        <v>Test-SIT</v>
      </c>
    </row>
    <row r="208" spans="1:47" ht="51.75" customHeight="1" x14ac:dyDescent="0.2">
      <c r="A208" s="27" t="s">
        <v>86</v>
      </c>
      <c r="B208" s="29" t="s">
        <v>1166</v>
      </c>
      <c r="C208" s="27" t="s">
        <v>1192</v>
      </c>
      <c r="D208" s="22" t="s">
        <v>89</v>
      </c>
      <c r="E208" s="22" t="s">
        <v>90</v>
      </c>
      <c r="F208" s="27"/>
      <c r="G208" s="27" t="s">
        <v>203</v>
      </c>
      <c r="H208" s="27"/>
      <c r="I208" s="27"/>
      <c r="J208" s="14" t="s">
        <v>91</v>
      </c>
      <c r="K208" s="14" t="s">
        <v>275</v>
      </c>
      <c r="L208" s="14" t="s">
        <v>124</v>
      </c>
      <c r="M208" s="14" t="s">
        <v>132</v>
      </c>
      <c r="N208" s="18" t="s">
        <v>21</v>
      </c>
      <c r="O208" s="14" t="s">
        <v>21</v>
      </c>
      <c r="P208" s="19">
        <v>42776.410416666666</v>
      </c>
      <c r="Q208" s="19">
        <v>42786.629861111112</v>
      </c>
      <c r="R208" s="19">
        <v>42782.410416666666</v>
      </c>
      <c r="S208" s="14" t="s">
        <v>203</v>
      </c>
      <c r="T208" s="14" t="s">
        <v>203</v>
      </c>
      <c r="U208" s="14" t="s">
        <v>96</v>
      </c>
      <c r="V208" s="14"/>
      <c r="W208" s="14">
        <v>0</v>
      </c>
      <c r="X208" s="14">
        <v>0</v>
      </c>
      <c r="Y208" s="14"/>
      <c r="Z208" s="14"/>
      <c r="AA208" s="14"/>
      <c r="AB208" s="14"/>
      <c r="AC208" s="14"/>
      <c r="AD208" s="14"/>
      <c r="AE208" s="14" t="s">
        <v>1193</v>
      </c>
      <c r="AF208" s="14"/>
      <c r="AG208" s="14" t="s">
        <v>1194</v>
      </c>
      <c r="AH208" s="14"/>
      <c r="AI208" s="14"/>
      <c r="AJ208" s="14"/>
      <c r="AK208" s="14"/>
      <c r="AL208" s="14"/>
      <c r="AM208" s="14"/>
      <c r="AN208" s="14" t="s">
        <v>529</v>
      </c>
      <c r="AO208" s="14" t="s">
        <v>1168</v>
      </c>
      <c r="AP208" s="14"/>
      <c r="AQ208" s="14"/>
      <c r="AR208" s="22"/>
      <c r="AS208" s="22" t="s">
        <v>89</v>
      </c>
      <c r="AT208" s="22" t="s">
        <v>90</v>
      </c>
      <c r="AU208" s="25" t="str">
        <f>VLOOKUP(O208,[1]Lookup!A:B,2,FALSE)</f>
        <v>Test-SIT</v>
      </c>
    </row>
    <row r="209" spans="1:47" ht="51.75" customHeight="1" x14ac:dyDescent="0.2">
      <c r="A209" s="27" t="s">
        <v>86</v>
      </c>
      <c r="B209" s="29" t="s">
        <v>1195</v>
      </c>
      <c r="C209" s="27" t="s">
        <v>1196</v>
      </c>
      <c r="D209" s="22" t="s">
        <v>89</v>
      </c>
      <c r="E209" s="22" t="s">
        <v>214</v>
      </c>
      <c r="F209" s="27"/>
      <c r="G209" s="27" t="s">
        <v>203</v>
      </c>
      <c r="H209" s="27"/>
      <c r="I209" s="27"/>
      <c r="J209" s="14" t="s">
        <v>91</v>
      </c>
      <c r="K209" s="14" t="s">
        <v>59</v>
      </c>
      <c r="L209" s="14" t="s">
        <v>93</v>
      </c>
      <c r="M209" s="14" t="s">
        <v>132</v>
      </c>
      <c r="N209" s="18" t="s">
        <v>21</v>
      </c>
      <c r="O209" s="14" t="s">
        <v>21</v>
      </c>
      <c r="P209" s="19">
        <v>42776.40625</v>
      </c>
      <c r="Q209" s="19">
        <v>42781.765972222223</v>
      </c>
      <c r="R209" s="19">
        <v>42781.765972222223</v>
      </c>
      <c r="S209" s="14" t="s">
        <v>203</v>
      </c>
      <c r="T209" s="14" t="s">
        <v>203</v>
      </c>
      <c r="U209" s="14" t="s">
        <v>96</v>
      </c>
      <c r="V209" s="14"/>
      <c r="W209" s="14">
        <v>0</v>
      </c>
      <c r="X209" s="14">
        <v>0</v>
      </c>
      <c r="Y209" s="14"/>
      <c r="Z209" s="14"/>
      <c r="AA209" s="14"/>
      <c r="AB209" s="14"/>
      <c r="AC209" s="14"/>
      <c r="AD209" s="14"/>
      <c r="AE209" s="14"/>
      <c r="AF209" s="14"/>
      <c r="AG209" s="14" t="s">
        <v>1197</v>
      </c>
      <c r="AH209" s="14"/>
      <c r="AI209" s="14"/>
      <c r="AJ209" s="14"/>
      <c r="AK209" s="14"/>
      <c r="AL209" s="14"/>
      <c r="AM209" s="14"/>
      <c r="AN209" s="14"/>
      <c r="AO209" s="14" t="s">
        <v>1198</v>
      </c>
      <c r="AP209" s="14" t="s">
        <v>146</v>
      </c>
      <c r="AQ209" s="14"/>
      <c r="AR209" s="22"/>
      <c r="AS209" s="22" t="s">
        <v>89</v>
      </c>
      <c r="AT209" s="22" t="s">
        <v>214</v>
      </c>
      <c r="AU209" s="25" t="str">
        <f>VLOOKUP(O209,[1]Lookup!A:B,2,FALSE)</f>
        <v>Test-SIT</v>
      </c>
    </row>
    <row r="210" spans="1:47" ht="51.75" customHeight="1" x14ac:dyDescent="0.2">
      <c r="A210" s="27" t="s">
        <v>86</v>
      </c>
      <c r="B210" s="29" t="s">
        <v>1199</v>
      </c>
      <c r="C210" s="27" t="s">
        <v>1200</v>
      </c>
      <c r="D210" s="22" t="s">
        <v>89</v>
      </c>
      <c r="E210" s="22" t="s">
        <v>507</v>
      </c>
      <c r="F210" s="30" t="s">
        <v>1201</v>
      </c>
      <c r="G210" s="30" t="s">
        <v>174</v>
      </c>
      <c r="H210" s="30"/>
      <c r="I210" s="30" t="s">
        <v>1202</v>
      </c>
      <c r="J210" s="14" t="s">
        <v>91</v>
      </c>
      <c r="K210" s="14" t="s">
        <v>59</v>
      </c>
      <c r="L210" s="14" t="s">
        <v>124</v>
      </c>
      <c r="M210" s="14" t="s">
        <v>132</v>
      </c>
      <c r="N210" s="18" t="s">
        <v>22</v>
      </c>
      <c r="O210" s="14" t="s">
        <v>21</v>
      </c>
      <c r="P210" s="19">
        <v>42776.404166666667</v>
      </c>
      <c r="Q210" s="19">
        <v>42807.57708333333</v>
      </c>
      <c r="R210" s="19">
        <v>42807.57708333333</v>
      </c>
      <c r="S210" s="14" t="s">
        <v>203</v>
      </c>
      <c r="T210" s="14" t="s">
        <v>104</v>
      </c>
      <c r="U210" s="14" t="s">
        <v>242</v>
      </c>
      <c r="V210" s="14"/>
      <c r="W210" s="14">
        <v>0</v>
      </c>
      <c r="X210" s="14">
        <v>0</v>
      </c>
      <c r="Y210" s="14"/>
      <c r="Z210" s="14"/>
      <c r="AA210" s="14"/>
      <c r="AB210" s="14"/>
      <c r="AC210" s="14"/>
      <c r="AD210" s="14"/>
      <c r="AE210" s="14" t="s">
        <v>1203</v>
      </c>
      <c r="AF210" s="14"/>
      <c r="AG210" s="14" t="s">
        <v>1204</v>
      </c>
      <c r="AH210" s="14"/>
      <c r="AI210" s="14"/>
      <c r="AJ210" s="14"/>
      <c r="AK210" s="14"/>
      <c r="AL210" s="14"/>
      <c r="AM210" s="14"/>
      <c r="AN210" s="14" t="s">
        <v>302</v>
      </c>
      <c r="AO210" s="14" t="s">
        <v>1205</v>
      </c>
      <c r="AP210" s="14" t="s">
        <v>950</v>
      </c>
      <c r="AQ210" s="14"/>
      <c r="AR210" s="22"/>
      <c r="AS210" s="22" t="s">
        <v>89</v>
      </c>
      <c r="AT210" s="22" t="s">
        <v>513</v>
      </c>
      <c r="AU210" s="25" t="str">
        <f>VLOOKUP(O210,[1]Lookup!A:B,2,FALSE)</f>
        <v>Test-SIT</v>
      </c>
    </row>
    <row r="211" spans="1:47" ht="51.75" customHeight="1" x14ac:dyDescent="0.2">
      <c r="A211" s="27" t="s">
        <v>86</v>
      </c>
      <c r="B211" s="29" t="s">
        <v>1206</v>
      </c>
      <c r="C211" s="27" t="s">
        <v>1207</v>
      </c>
      <c r="D211" s="22" t="s">
        <v>89</v>
      </c>
      <c r="E211" s="22" t="s">
        <v>90</v>
      </c>
      <c r="F211" s="27"/>
      <c r="G211" s="27" t="s">
        <v>203</v>
      </c>
      <c r="H211" s="27"/>
      <c r="I211" s="27"/>
      <c r="J211" s="14" t="s">
        <v>91</v>
      </c>
      <c r="K211" s="14" t="s">
        <v>59</v>
      </c>
      <c r="L211" s="14" t="s">
        <v>124</v>
      </c>
      <c r="M211" s="14" t="s">
        <v>132</v>
      </c>
      <c r="N211" s="18" t="s">
        <v>21</v>
      </c>
      <c r="O211" s="14" t="s">
        <v>21</v>
      </c>
      <c r="P211" s="19">
        <v>42776.402777777781</v>
      </c>
      <c r="Q211" s="19">
        <v>42781.768055555556</v>
      </c>
      <c r="R211" s="19">
        <v>42781.768055555556</v>
      </c>
      <c r="S211" s="14" t="s">
        <v>203</v>
      </c>
      <c r="T211" s="14" t="s">
        <v>203</v>
      </c>
      <c r="U211" s="14" t="s">
        <v>412</v>
      </c>
      <c r="V211" s="14"/>
      <c r="W211" s="14">
        <v>0</v>
      </c>
      <c r="X211" s="14">
        <v>0</v>
      </c>
      <c r="Y211" s="14"/>
      <c r="Z211" s="14"/>
      <c r="AA211" s="14"/>
      <c r="AB211" s="14"/>
      <c r="AC211" s="14"/>
      <c r="AD211" s="14"/>
      <c r="AE211" s="14"/>
      <c r="AF211" s="14"/>
      <c r="AG211" s="14" t="s">
        <v>1208</v>
      </c>
      <c r="AH211" s="14"/>
      <c r="AI211" s="14"/>
      <c r="AJ211" s="14"/>
      <c r="AK211" s="14"/>
      <c r="AL211" s="14"/>
      <c r="AM211" s="14"/>
      <c r="AN211" s="14" t="s">
        <v>99</v>
      </c>
      <c r="AO211" s="14" t="s">
        <v>1209</v>
      </c>
      <c r="AP211" s="14" t="s">
        <v>163</v>
      </c>
      <c r="AQ211" s="14"/>
      <c r="AR211" s="22"/>
      <c r="AS211" s="22" t="s">
        <v>89</v>
      </c>
      <c r="AT211" s="22" t="s">
        <v>90</v>
      </c>
      <c r="AU211" s="25" t="str">
        <f>VLOOKUP(O211,[1]Lookup!A:B,2,FALSE)</f>
        <v>Test-SIT</v>
      </c>
    </row>
    <row r="212" spans="1:47" ht="51.75" customHeight="1" x14ac:dyDescent="0.2">
      <c r="A212" s="27" t="s">
        <v>86</v>
      </c>
      <c r="B212" s="29" t="s">
        <v>1210</v>
      </c>
      <c r="C212" s="27" t="s">
        <v>1211</v>
      </c>
      <c r="D212" s="22" t="s">
        <v>89</v>
      </c>
      <c r="E212" s="22" t="s">
        <v>1055</v>
      </c>
      <c r="F212" s="37" t="s">
        <v>104</v>
      </c>
      <c r="G212" s="37"/>
      <c r="H212" s="37"/>
      <c r="I212" s="37" t="s">
        <v>553</v>
      </c>
      <c r="J212" s="14" t="s">
        <v>91</v>
      </c>
      <c r="K212" s="14" t="s">
        <v>59</v>
      </c>
      <c r="L212" s="14" t="s">
        <v>124</v>
      </c>
      <c r="M212" s="14" t="s">
        <v>132</v>
      </c>
      <c r="N212" s="18" t="s">
        <v>21</v>
      </c>
      <c r="O212" s="14" t="s">
        <v>21</v>
      </c>
      <c r="P212" s="19">
        <v>42776.4</v>
      </c>
      <c r="Q212" s="19">
        <v>42797.385416666664</v>
      </c>
      <c r="R212" s="19">
        <v>42797.385416666664</v>
      </c>
      <c r="S212" s="14" t="s">
        <v>203</v>
      </c>
      <c r="T212" s="14" t="s">
        <v>528</v>
      </c>
      <c r="U212" s="14" t="s">
        <v>412</v>
      </c>
      <c r="V212" s="14"/>
      <c r="W212" s="14">
        <v>0</v>
      </c>
      <c r="X212" s="14">
        <v>0</v>
      </c>
      <c r="Y212" s="14"/>
      <c r="Z212" s="14"/>
      <c r="AA212" s="14"/>
      <c r="AB212" s="14"/>
      <c r="AC212" s="14"/>
      <c r="AD212" s="14"/>
      <c r="AE212" s="14"/>
      <c r="AF212" s="14"/>
      <c r="AG212" s="14" t="s">
        <v>1212</v>
      </c>
      <c r="AH212" s="14"/>
      <c r="AI212" s="14"/>
      <c r="AJ212" s="14"/>
      <c r="AK212" s="14"/>
      <c r="AL212" s="14"/>
      <c r="AM212" s="14"/>
      <c r="AN212" s="14" t="s">
        <v>99</v>
      </c>
      <c r="AO212" s="14" t="s">
        <v>1213</v>
      </c>
      <c r="AP212" s="14"/>
      <c r="AQ212" s="14"/>
      <c r="AR212" s="22"/>
      <c r="AS212" s="22" t="s">
        <v>89</v>
      </c>
      <c r="AT212" s="22" t="s">
        <v>1055</v>
      </c>
      <c r="AU212" s="25" t="str">
        <f>VLOOKUP(O212,[1]Lookup!A:B,2,FALSE)</f>
        <v>Test-SIT</v>
      </c>
    </row>
    <row r="213" spans="1:47" ht="51.75" customHeight="1" x14ac:dyDescent="0.2">
      <c r="A213" s="27" t="s">
        <v>86</v>
      </c>
      <c r="B213" s="29" t="s">
        <v>1214</v>
      </c>
      <c r="C213" s="27" t="s">
        <v>1215</v>
      </c>
      <c r="D213" s="22" t="s">
        <v>241</v>
      </c>
      <c r="E213" s="22" t="s">
        <v>792</v>
      </c>
      <c r="F213" s="27"/>
      <c r="G213" s="27" t="s">
        <v>510</v>
      </c>
      <c r="H213" s="27"/>
      <c r="I213" s="27"/>
      <c r="J213" s="14" t="s">
        <v>91</v>
      </c>
      <c r="K213" s="14" t="s">
        <v>59</v>
      </c>
      <c r="L213" s="14" t="s">
        <v>93</v>
      </c>
      <c r="M213" s="14" t="s">
        <v>132</v>
      </c>
      <c r="N213" s="18" t="s">
        <v>30</v>
      </c>
      <c r="O213" s="14" t="s">
        <v>30</v>
      </c>
      <c r="P213" s="19">
        <v>42775.874305555553</v>
      </c>
      <c r="Q213" s="19">
        <v>42788.72152777778</v>
      </c>
      <c r="R213" s="19">
        <v>42788.72152777778</v>
      </c>
      <c r="S213" s="14" t="s">
        <v>660</v>
      </c>
      <c r="T213" s="14" t="s">
        <v>510</v>
      </c>
      <c r="U213" s="14" t="s">
        <v>96</v>
      </c>
      <c r="V213" s="14"/>
      <c r="W213" s="14">
        <v>0</v>
      </c>
      <c r="X213" s="14">
        <v>0</v>
      </c>
      <c r="Y213" s="14"/>
      <c r="Z213" s="14"/>
      <c r="AA213" s="14"/>
      <c r="AB213" s="14"/>
      <c r="AC213" s="14"/>
      <c r="AD213" s="14"/>
      <c r="AE213" s="14"/>
      <c r="AF213" s="14" t="s">
        <v>907</v>
      </c>
      <c r="AG213" s="14" t="s">
        <v>1216</v>
      </c>
      <c r="AH213" s="14"/>
      <c r="AI213" s="14"/>
      <c r="AJ213" s="14"/>
      <c r="AK213" s="14"/>
      <c r="AL213" s="14"/>
      <c r="AM213" s="14"/>
      <c r="AN213" s="14" t="s">
        <v>909</v>
      </c>
      <c r="AO213" s="14" t="s">
        <v>1217</v>
      </c>
      <c r="AP213" s="14"/>
      <c r="AQ213" s="14"/>
      <c r="AR213" s="22"/>
      <c r="AS213" s="22" t="s">
        <v>241</v>
      </c>
      <c r="AT213" s="22" t="s">
        <v>792</v>
      </c>
      <c r="AU213" s="25" t="str">
        <f>VLOOKUP(O213,[1]Lookup!A:B,2,FALSE)</f>
        <v>Test-SIT</v>
      </c>
    </row>
    <row r="214" spans="1:47" ht="51.75" customHeight="1" x14ac:dyDescent="0.2">
      <c r="A214" s="27" t="s">
        <v>86</v>
      </c>
      <c r="B214" s="29" t="s">
        <v>1218</v>
      </c>
      <c r="C214" s="27" t="s">
        <v>1219</v>
      </c>
      <c r="D214" s="22" t="s">
        <v>241</v>
      </c>
      <c r="E214" s="22" t="s">
        <v>792</v>
      </c>
      <c r="F214" s="27"/>
      <c r="G214" s="27" t="s">
        <v>510</v>
      </c>
      <c r="H214" s="27"/>
      <c r="I214" s="27"/>
      <c r="J214" s="14" t="s">
        <v>91</v>
      </c>
      <c r="K214" s="14" t="s">
        <v>59</v>
      </c>
      <c r="L214" s="14" t="s">
        <v>93</v>
      </c>
      <c r="M214" s="14" t="s">
        <v>132</v>
      </c>
      <c r="N214" s="18" t="s">
        <v>30</v>
      </c>
      <c r="O214" s="14" t="s">
        <v>30</v>
      </c>
      <c r="P214" s="19">
        <v>42775.87222222222</v>
      </c>
      <c r="Q214" s="19">
        <v>42787.656944444447</v>
      </c>
      <c r="R214" s="19">
        <v>42787.656944444447</v>
      </c>
      <c r="S214" s="14" t="s">
        <v>660</v>
      </c>
      <c r="T214" s="14" t="s">
        <v>510</v>
      </c>
      <c r="U214" s="14" t="s">
        <v>96</v>
      </c>
      <c r="V214" s="14"/>
      <c r="W214" s="14">
        <v>0</v>
      </c>
      <c r="X214" s="14">
        <v>0</v>
      </c>
      <c r="Y214" s="14"/>
      <c r="Z214" s="14"/>
      <c r="AA214" s="14"/>
      <c r="AB214" s="14"/>
      <c r="AC214" s="14"/>
      <c r="AD214" s="14"/>
      <c r="AE214" s="14"/>
      <c r="AF214" s="14" t="s">
        <v>907</v>
      </c>
      <c r="AG214" s="14" t="s">
        <v>1220</v>
      </c>
      <c r="AH214" s="14"/>
      <c r="AI214" s="14"/>
      <c r="AJ214" s="14"/>
      <c r="AK214" s="14"/>
      <c r="AL214" s="14"/>
      <c r="AM214" s="14"/>
      <c r="AN214" s="14" t="s">
        <v>909</v>
      </c>
      <c r="AO214" s="14" t="s">
        <v>1002</v>
      </c>
      <c r="AP214" s="14"/>
      <c r="AQ214" s="14"/>
      <c r="AR214" s="22"/>
      <c r="AS214" s="22" t="s">
        <v>241</v>
      </c>
      <c r="AT214" s="22" t="s">
        <v>792</v>
      </c>
      <c r="AU214" s="25" t="str">
        <f>VLOOKUP(O214,[1]Lookup!A:B,2,FALSE)</f>
        <v>Test-SIT</v>
      </c>
    </row>
    <row r="215" spans="1:47" ht="51.75" customHeight="1" x14ac:dyDescent="0.2">
      <c r="A215" s="27" t="s">
        <v>86</v>
      </c>
      <c r="B215" s="29" t="s">
        <v>1221</v>
      </c>
      <c r="C215" s="27" t="s">
        <v>1222</v>
      </c>
      <c r="D215" s="22" t="s">
        <v>241</v>
      </c>
      <c r="E215" s="22" t="s">
        <v>792</v>
      </c>
      <c r="F215" s="27"/>
      <c r="G215" s="27" t="s">
        <v>510</v>
      </c>
      <c r="H215" s="27"/>
      <c r="I215" s="27"/>
      <c r="J215" s="14" t="s">
        <v>91</v>
      </c>
      <c r="K215" s="14" t="s">
        <v>59</v>
      </c>
      <c r="L215" s="14" t="s">
        <v>93</v>
      </c>
      <c r="M215" s="14" t="s">
        <v>132</v>
      </c>
      <c r="N215" s="18" t="s">
        <v>30</v>
      </c>
      <c r="O215" s="14" t="s">
        <v>30</v>
      </c>
      <c r="P215" s="19">
        <v>42775.870833333334</v>
      </c>
      <c r="Q215" s="19">
        <v>42787.65625</v>
      </c>
      <c r="R215" s="19">
        <v>42787.65625</v>
      </c>
      <c r="S215" s="14" t="s">
        <v>660</v>
      </c>
      <c r="T215" s="14" t="s">
        <v>510</v>
      </c>
      <c r="U215" s="14" t="s">
        <v>96</v>
      </c>
      <c r="V215" s="14"/>
      <c r="W215" s="14">
        <v>0</v>
      </c>
      <c r="X215" s="14">
        <v>0</v>
      </c>
      <c r="Y215" s="14"/>
      <c r="Z215" s="14"/>
      <c r="AA215" s="14"/>
      <c r="AB215" s="14"/>
      <c r="AC215" s="14"/>
      <c r="AD215" s="14"/>
      <c r="AE215" s="14"/>
      <c r="AF215" s="14" t="s">
        <v>907</v>
      </c>
      <c r="AG215" s="14" t="s">
        <v>1223</v>
      </c>
      <c r="AH215" s="14"/>
      <c r="AI215" s="14"/>
      <c r="AJ215" s="14"/>
      <c r="AK215" s="14"/>
      <c r="AL215" s="14"/>
      <c r="AM215" s="14"/>
      <c r="AN215" s="14" t="s">
        <v>909</v>
      </c>
      <c r="AO215" s="14" t="s">
        <v>1002</v>
      </c>
      <c r="AP215" s="14"/>
      <c r="AQ215" s="14"/>
      <c r="AR215" s="22"/>
      <c r="AS215" s="22" t="s">
        <v>241</v>
      </c>
      <c r="AT215" s="22" t="s">
        <v>792</v>
      </c>
      <c r="AU215" s="25" t="str">
        <f>VLOOKUP(O215,[1]Lookup!A:B,2,FALSE)</f>
        <v>Test-SIT</v>
      </c>
    </row>
    <row r="216" spans="1:47" ht="51.75" customHeight="1" x14ac:dyDescent="0.2">
      <c r="A216" s="27" t="s">
        <v>86</v>
      </c>
      <c r="B216" s="29" t="s">
        <v>1224</v>
      </c>
      <c r="C216" s="27" t="s">
        <v>1225</v>
      </c>
      <c r="D216" s="22" t="s">
        <v>241</v>
      </c>
      <c r="E216" s="22" t="s">
        <v>792</v>
      </c>
      <c r="F216" s="27"/>
      <c r="G216" s="27" t="s">
        <v>510</v>
      </c>
      <c r="H216" s="27"/>
      <c r="I216" s="27"/>
      <c r="J216" s="14" t="s">
        <v>91</v>
      </c>
      <c r="K216" s="14" t="s">
        <v>59</v>
      </c>
      <c r="L216" s="14" t="s">
        <v>93</v>
      </c>
      <c r="M216" s="14" t="s">
        <v>132</v>
      </c>
      <c r="N216" s="18" t="s">
        <v>30</v>
      </c>
      <c r="O216" s="14" t="s">
        <v>30</v>
      </c>
      <c r="P216" s="19">
        <v>42775.864583333336</v>
      </c>
      <c r="Q216" s="19">
        <v>42787.65625</v>
      </c>
      <c r="R216" s="19">
        <v>42787.65625</v>
      </c>
      <c r="S216" s="14" t="s">
        <v>660</v>
      </c>
      <c r="T216" s="14" t="s">
        <v>510</v>
      </c>
      <c r="U216" s="14" t="s">
        <v>96</v>
      </c>
      <c r="V216" s="14"/>
      <c r="W216" s="14">
        <v>0</v>
      </c>
      <c r="X216" s="14">
        <v>0</v>
      </c>
      <c r="Y216" s="14"/>
      <c r="Z216" s="14"/>
      <c r="AA216" s="14"/>
      <c r="AB216" s="14"/>
      <c r="AC216" s="14"/>
      <c r="AD216" s="14"/>
      <c r="AE216" s="14"/>
      <c r="AF216" s="14" t="s">
        <v>907</v>
      </c>
      <c r="AG216" s="14" t="s">
        <v>1226</v>
      </c>
      <c r="AH216" s="14"/>
      <c r="AI216" s="14"/>
      <c r="AJ216" s="14"/>
      <c r="AK216" s="14"/>
      <c r="AL216" s="14"/>
      <c r="AM216" s="14"/>
      <c r="AN216" s="14" t="s">
        <v>1142</v>
      </c>
      <c r="AO216" s="14" t="s">
        <v>1002</v>
      </c>
      <c r="AP216" s="14"/>
      <c r="AQ216" s="14"/>
      <c r="AR216" s="22"/>
      <c r="AS216" s="22" t="s">
        <v>241</v>
      </c>
      <c r="AT216" s="22" t="s">
        <v>792</v>
      </c>
      <c r="AU216" s="25" t="str">
        <f>VLOOKUP(O216,[1]Lookup!A:B,2,FALSE)</f>
        <v>Test-SIT</v>
      </c>
    </row>
    <row r="217" spans="1:47" ht="51.75" customHeight="1" x14ac:dyDescent="0.2">
      <c r="A217" s="27" t="s">
        <v>86</v>
      </c>
      <c r="B217" s="29" t="s">
        <v>1227</v>
      </c>
      <c r="C217" s="27" t="s">
        <v>1228</v>
      </c>
      <c r="D217" s="22" t="s">
        <v>96</v>
      </c>
      <c r="E217" s="22" t="s">
        <v>166</v>
      </c>
      <c r="F217" s="27"/>
      <c r="G217" s="27" t="s">
        <v>510</v>
      </c>
      <c r="H217" s="27"/>
      <c r="I217" s="27"/>
      <c r="J217" s="14" t="s">
        <v>91</v>
      </c>
      <c r="K217" s="14" t="s">
        <v>59</v>
      </c>
      <c r="L217" s="14" t="s">
        <v>167</v>
      </c>
      <c r="M217" s="14" t="s">
        <v>132</v>
      </c>
      <c r="N217" s="18" t="s">
        <v>30</v>
      </c>
      <c r="O217" s="14" t="s">
        <v>30</v>
      </c>
      <c r="P217" s="19">
        <v>42775.863194444442</v>
      </c>
      <c r="Q217" s="19">
        <v>42787.65625</v>
      </c>
      <c r="R217" s="19">
        <v>42787.65625</v>
      </c>
      <c r="S217" s="14" t="s">
        <v>660</v>
      </c>
      <c r="T217" s="14" t="s">
        <v>510</v>
      </c>
      <c r="U217" s="14" t="s">
        <v>96</v>
      </c>
      <c r="V217" s="14"/>
      <c r="W217" s="14">
        <v>0</v>
      </c>
      <c r="X217" s="14">
        <v>0</v>
      </c>
      <c r="Y217" s="14"/>
      <c r="Z217" s="14"/>
      <c r="AA217" s="14"/>
      <c r="AB217" s="14"/>
      <c r="AC217" s="14"/>
      <c r="AD217" s="14"/>
      <c r="AE217" s="14"/>
      <c r="AF217" s="14" t="s">
        <v>907</v>
      </c>
      <c r="AG217" s="14" t="s">
        <v>1229</v>
      </c>
      <c r="AH217" s="14"/>
      <c r="AI217" s="14"/>
      <c r="AJ217" s="14"/>
      <c r="AK217" s="14"/>
      <c r="AL217" s="14"/>
      <c r="AM217" s="14"/>
      <c r="AN217" s="14" t="s">
        <v>1142</v>
      </c>
      <c r="AO217" s="14" t="s">
        <v>1002</v>
      </c>
      <c r="AP217" s="14"/>
      <c r="AQ217" s="14"/>
      <c r="AR217" s="22"/>
      <c r="AS217" s="22" t="s">
        <v>96</v>
      </c>
      <c r="AT217" s="22" t="s">
        <v>166</v>
      </c>
      <c r="AU217" s="25" t="str">
        <f>VLOOKUP(O217,[1]Lookup!A:B,2,FALSE)</f>
        <v>Test-SIT</v>
      </c>
    </row>
    <row r="218" spans="1:47" ht="51.75" customHeight="1" x14ac:dyDescent="0.2">
      <c r="A218" s="27" t="s">
        <v>86</v>
      </c>
      <c r="B218" s="29" t="s">
        <v>1230</v>
      </c>
      <c r="C218" s="27" t="s">
        <v>1231</v>
      </c>
      <c r="D218" s="22" t="s">
        <v>241</v>
      </c>
      <c r="E218" s="22" t="s">
        <v>792</v>
      </c>
      <c r="F218" s="27"/>
      <c r="G218" s="27" t="s">
        <v>510</v>
      </c>
      <c r="H218" s="27"/>
      <c r="I218" s="27"/>
      <c r="J218" s="14" t="s">
        <v>91</v>
      </c>
      <c r="K218" s="14" t="s">
        <v>59</v>
      </c>
      <c r="L218" s="14" t="s">
        <v>93</v>
      </c>
      <c r="M218" s="14" t="s">
        <v>132</v>
      </c>
      <c r="N218" s="18" t="s">
        <v>30</v>
      </c>
      <c r="O218" s="14" t="s">
        <v>30</v>
      </c>
      <c r="P218" s="19">
        <v>42775.861805555556</v>
      </c>
      <c r="Q218" s="19">
        <v>42787.65625</v>
      </c>
      <c r="R218" s="19">
        <v>42787.65625</v>
      </c>
      <c r="S218" s="14" t="s">
        <v>660</v>
      </c>
      <c r="T218" s="14" t="s">
        <v>510</v>
      </c>
      <c r="U218" s="14" t="s">
        <v>96</v>
      </c>
      <c r="V218" s="14"/>
      <c r="W218" s="14">
        <v>0</v>
      </c>
      <c r="X218" s="14">
        <v>0</v>
      </c>
      <c r="Y218" s="14"/>
      <c r="Z218" s="14"/>
      <c r="AA218" s="14"/>
      <c r="AB218" s="14"/>
      <c r="AC218" s="14"/>
      <c r="AD218" s="14"/>
      <c r="AE218" s="14"/>
      <c r="AF218" s="14" t="s">
        <v>907</v>
      </c>
      <c r="AG218" s="14" t="s">
        <v>1232</v>
      </c>
      <c r="AH218" s="14"/>
      <c r="AI218" s="14"/>
      <c r="AJ218" s="14"/>
      <c r="AK218" s="14"/>
      <c r="AL218" s="14"/>
      <c r="AM218" s="14"/>
      <c r="AN218" s="14" t="s">
        <v>1142</v>
      </c>
      <c r="AO218" s="14" t="s">
        <v>1002</v>
      </c>
      <c r="AP218" s="14"/>
      <c r="AQ218" s="14"/>
      <c r="AR218" s="22"/>
      <c r="AS218" s="22" t="s">
        <v>241</v>
      </c>
      <c r="AT218" s="22" t="s">
        <v>792</v>
      </c>
      <c r="AU218" s="25" t="str">
        <f>VLOOKUP(O218,[1]Lookup!A:B,2,FALSE)</f>
        <v>Test-SIT</v>
      </c>
    </row>
    <row r="219" spans="1:47" ht="51.75" customHeight="1" x14ac:dyDescent="0.2">
      <c r="A219" s="27" t="s">
        <v>86</v>
      </c>
      <c r="B219" s="29" t="s">
        <v>1233</v>
      </c>
      <c r="C219" s="27" t="s">
        <v>1234</v>
      </c>
      <c r="D219" s="22" t="s">
        <v>241</v>
      </c>
      <c r="E219" s="22" t="s">
        <v>792</v>
      </c>
      <c r="F219" s="27"/>
      <c r="G219" s="27" t="s">
        <v>510</v>
      </c>
      <c r="H219" s="27"/>
      <c r="I219" s="27"/>
      <c r="J219" s="14" t="s">
        <v>91</v>
      </c>
      <c r="K219" s="14" t="s">
        <v>59</v>
      </c>
      <c r="L219" s="14" t="s">
        <v>93</v>
      </c>
      <c r="M219" s="14" t="s">
        <v>132</v>
      </c>
      <c r="N219" s="18" t="s">
        <v>30</v>
      </c>
      <c r="O219" s="14" t="s">
        <v>30</v>
      </c>
      <c r="P219" s="19">
        <v>42775.859722222223</v>
      </c>
      <c r="Q219" s="19">
        <v>42787.65625</v>
      </c>
      <c r="R219" s="19">
        <v>42787.65625</v>
      </c>
      <c r="S219" s="14" t="s">
        <v>660</v>
      </c>
      <c r="T219" s="14" t="s">
        <v>510</v>
      </c>
      <c r="U219" s="14" t="s">
        <v>96</v>
      </c>
      <c r="V219" s="14"/>
      <c r="W219" s="14">
        <v>0</v>
      </c>
      <c r="X219" s="14">
        <v>0</v>
      </c>
      <c r="Y219" s="14"/>
      <c r="Z219" s="14"/>
      <c r="AA219" s="14"/>
      <c r="AB219" s="14"/>
      <c r="AC219" s="14"/>
      <c r="AD219" s="14"/>
      <c r="AE219" s="14"/>
      <c r="AF219" s="14" t="s">
        <v>907</v>
      </c>
      <c r="AG219" s="14" t="s">
        <v>1235</v>
      </c>
      <c r="AH219" s="14"/>
      <c r="AI219" s="14"/>
      <c r="AJ219" s="14"/>
      <c r="AK219" s="14"/>
      <c r="AL219" s="14"/>
      <c r="AM219" s="14"/>
      <c r="AN219" s="14" t="s">
        <v>1142</v>
      </c>
      <c r="AO219" s="14" t="s">
        <v>1002</v>
      </c>
      <c r="AP219" s="14"/>
      <c r="AQ219" s="14"/>
      <c r="AR219" s="22"/>
      <c r="AS219" s="22" t="s">
        <v>241</v>
      </c>
      <c r="AT219" s="22" t="s">
        <v>792</v>
      </c>
      <c r="AU219" s="25" t="str">
        <f>VLOOKUP(O219,[1]Lookup!A:B,2,FALSE)</f>
        <v>Test-SIT</v>
      </c>
    </row>
    <row r="220" spans="1:47" ht="51.75" customHeight="1" x14ac:dyDescent="0.2">
      <c r="A220" s="27" t="s">
        <v>86</v>
      </c>
      <c r="B220" s="29" t="s">
        <v>1236</v>
      </c>
      <c r="C220" s="27" t="s">
        <v>1237</v>
      </c>
      <c r="D220" s="22" t="s">
        <v>241</v>
      </c>
      <c r="E220" s="22" t="s">
        <v>792</v>
      </c>
      <c r="F220" s="27"/>
      <c r="G220" s="27" t="s">
        <v>660</v>
      </c>
      <c r="H220" s="27"/>
      <c r="I220" s="27"/>
      <c r="J220" s="14" t="s">
        <v>91</v>
      </c>
      <c r="K220" s="14" t="s">
        <v>59</v>
      </c>
      <c r="L220" s="14" t="s">
        <v>93</v>
      </c>
      <c r="M220" s="14" t="s">
        <v>132</v>
      </c>
      <c r="N220" s="18" t="s">
        <v>30</v>
      </c>
      <c r="O220" s="14" t="s">
        <v>30</v>
      </c>
      <c r="P220" s="19">
        <v>42775.856944444444</v>
      </c>
      <c r="Q220" s="19">
        <v>42779.823611111111</v>
      </c>
      <c r="R220" s="19">
        <v>42779.823611111111</v>
      </c>
      <c r="S220" s="14" t="s">
        <v>660</v>
      </c>
      <c r="T220" s="14" t="s">
        <v>660</v>
      </c>
      <c r="U220" s="14" t="s">
        <v>96</v>
      </c>
      <c r="V220" s="14"/>
      <c r="W220" s="14">
        <v>0</v>
      </c>
      <c r="X220" s="14">
        <v>0</v>
      </c>
      <c r="Y220" s="14"/>
      <c r="Z220" s="14"/>
      <c r="AA220" s="14"/>
      <c r="AB220" s="14"/>
      <c r="AC220" s="14"/>
      <c r="AD220" s="14"/>
      <c r="AE220" s="14"/>
      <c r="AF220" s="14" t="s">
        <v>907</v>
      </c>
      <c r="AG220" s="14" t="s">
        <v>1238</v>
      </c>
      <c r="AH220" s="14"/>
      <c r="AI220" s="14"/>
      <c r="AJ220" s="14"/>
      <c r="AK220" s="14"/>
      <c r="AL220" s="14"/>
      <c r="AM220" s="14"/>
      <c r="AN220" s="14" t="s">
        <v>1142</v>
      </c>
      <c r="AO220" s="14" t="s">
        <v>1239</v>
      </c>
      <c r="AP220" s="14"/>
      <c r="AQ220" s="14"/>
      <c r="AR220" s="22"/>
      <c r="AS220" s="22" t="s">
        <v>241</v>
      </c>
      <c r="AT220" s="22" t="s">
        <v>792</v>
      </c>
      <c r="AU220" s="25" t="str">
        <f>VLOOKUP(O220,[1]Lookup!A:B,2,FALSE)</f>
        <v>Test-SIT</v>
      </c>
    </row>
    <row r="221" spans="1:47" ht="51.75" customHeight="1" x14ac:dyDescent="0.2">
      <c r="A221" s="27" t="s">
        <v>86</v>
      </c>
      <c r="B221" s="29" t="s">
        <v>1240</v>
      </c>
      <c r="C221" s="27" t="s">
        <v>1241</v>
      </c>
      <c r="D221" s="22" t="s">
        <v>241</v>
      </c>
      <c r="E221" s="22" t="s">
        <v>792</v>
      </c>
      <c r="F221" s="27"/>
      <c r="G221" s="27" t="s">
        <v>510</v>
      </c>
      <c r="H221" s="27"/>
      <c r="I221" s="27"/>
      <c r="J221" s="14" t="s">
        <v>91</v>
      </c>
      <c r="K221" s="14" t="s">
        <v>59</v>
      </c>
      <c r="L221" s="14" t="s">
        <v>93</v>
      </c>
      <c r="M221" s="14" t="s">
        <v>132</v>
      </c>
      <c r="N221" s="18" t="s">
        <v>30</v>
      </c>
      <c r="O221" s="14" t="s">
        <v>30</v>
      </c>
      <c r="P221" s="19">
        <v>42775.854166666664</v>
      </c>
      <c r="Q221" s="19">
        <v>42787.655555555553</v>
      </c>
      <c r="R221" s="19">
        <v>42787.655555555553</v>
      </c>
      <c r="S221" s="14" t="s">
        <v>660</v>
      </c>
      <c r="T221" s="14" t="s">
        <v>510</v>
      </c>
      <c r="U221" s="14" t="s">
        <v>96</v>
      </c>
      <c r="V221" s="14"/>
      <c r="W221" s="14">
        <v>0</v>
      </c>
      <c r="X221" s="14">
        <v>0</v>
      </c>
      <c r="Y221" s="14"/>
      <c r="Z221" s="14"/>
      <c r="AA221" s="14"/>
      <c r="AB221" s="14"/>
      <c r="AC221" s="14"/>
      <c r="AD221" s="14"/>
      <c r="AE221" s="14"/>
      <c r="AF221" s="14" t="s">
        <v>907</v>
      </c>
      <c r="AG221" s="14" t="s">
        <v>1242</v>
      </c>
      <c r="AH221" s="14"/>
      <c r="AI221" s="14"/>
      <c r="AJ221" s="14"/>
      <c r="AK221" s="14"/>
      <c r="AL221" s="14"/>
      <c r="AM221" s="14"/>
      <c r="AN221" s="14" t="s">
        <v>1142</v>
      </c>
      <c r="AO221" s="14" t="s">
        <v>1002</v>
      </c>
      <c r="AP221" s="14"/>
      <c r="AQ221" s="14"/>
      <c r="AR221" s="22"/>
      <c r="AS221" s="22" t="s">
        <v>241</v>
      </c>
      <c r="AT221" s="22" t="s">
        <v>792</v>
      </c>
      <c r="AU221" s="25" t="str">
        <f>VLOOKUP(O221,[1]Lookup!A:B,2,FALSE)</f>
        <v>Test-SIT</v>
      </c>
    </row>
    <row r="222" spans="1:47" ht="51.75" customHeight="1" x14ac:dyDescent="0.2">
      <c r="A222" s="27" t="s">
        <v>86</v>
      </c>
      <c r="B222" s="29" t="s">
        <v>1243</v>
      </c>
      <c r="C222" s="27" t="s">
        <v>1244</v>
      </c>
      <c r="D222" s="22" t="s">
        <v>241</v>
      </c>
      <c r="E222" s="22" t="s">
        <v>792</v>
      </c>
      <c r="F222" s="27"/>
      <c r="G222" s="27" t="s">
        <v>510</v>
      </c>
      <c r="H222" s="27"/>
      <c r="I222" s="27"/>
      <c r="J222" s="14" t="s">
        <v>91</v>
      </c>
      <c r="K222" s="14" t="s">
        <v>59</v>
      </c>
      <c r="L222" s="14" t="s">
        <v>93</v>
      </c>
      <c r="M222" s="14" t="s">
        <v>132</v>
      </c>
      <c r="N222" s="18" t="s">
        <v>30</v>
      </c>
      <c r="O222" s="14" t="s">
        <v>30</v>
      </c>
      <c r="P222" s="19">
        <v>42775.850694444445</v>
      </c>
      <c r="Q222" s="19">
        <v>42788.724305555559</v>
      </c>
      <c r="R222" s="19">
        <v>42788.724305555559</v>
      </c>
      <c r="S222" s="14" t="s">
        <v>660</v>
      </c>
      <c r="T222" s="14" t="s">
        <v>510</v>
      </c>
      <c r="U222" s="14" t="s">
        <v>96</v>
      </c>
      <c r="V222" s="14"/>
      <c r="W222" s="14">
        <v>0</v>
      </c>
      <c r="X222" s="14">
        <v>0</v>
      </c>
      <c r="Y222" s="14"/>
      <c r="Z222" s="14"/>
      <c r="AA222" s="14"/>
      <c r="AB222" s="14"/>
      <c r="AC222" s="14"/>
      <c r="AD222" s="14"/>
      <c r="AE222" s="14"/>
      <c r="AF222" s="14" t="s">
        <v>907</v>
      </c>
      <c r="AG222" s="14" t="s">
        <v>1245</v>
      </c>
      <c r="AH222" s="14"/>
      <c r="AI222" s="14"/>
      <c r="AJ222" s="14"/>
      <c r="AK222" s="14"/>
      <c r="AL222" s="14"/>
      <c r="AM222" s="14"/>
      <c r="AN222" s="14" t="s">
        <v>1142</v>
      </c>
      <c r="AO222" s="14" t="s">
        <v>1002</v>
      </c>
      <c r="AP222" s="14"/>
      <c r="AQ222" s="14"/>
      <c r="AR222" s="22"/>
      <c r="AS222" s="22" t="s">
        <v>241</v>
      </c>
      <c r="AT222" s="22" t="s">
        <v>792</v>
      </c>
      <c r="AU222" s="25" t="str">
        <f>VLOOKUP(O222,[1]Lookup!A:B,2,FALSE)</f>
        <v>Test-SIT</v>
      </c>
    </row>
    <row r="223" spans="1:47" ht="51.75" customHeight="1" x14ac:dyDescent="0.2">
      <c r="A223" s="27" t="s">
        <v>86</v>
      </c>
      <c r="B223" s="29" t="s">
        <v>1246</v>
      </c>
      <c r="C223" s="27" t="s">
        <v>1247</v>
      </c>
      <c r="D223" s="22" t="s">
        <v>241</v>
      </c>
      <c r="E223" s="22" t="s">
        <v>792</v>
      </c>
      <c r="F223" s="27"/>
      <c r="G223" s="27" t="s">
        <v>510</v>
      </c>
      <c r="H223" s="27"/>
      <c r="I223" s="27"/>
      <c r="J223" s="14" t="s">
        <v>91</v>
      </c>
      <c r="K223" s="14" t="s">
        <v>59</v>
      </c>
      <c r="L223" s="14" t="s">
        <v>93</v>
      </c>
      <c r="M223" s="14" t="s">
        <v>132</v>
      </c>
      <c r="N223" s="18" t="s">
        <v>30</v>
      </c>
      <c r="O223" s="14" t="s">
        <v>30</v>
      </c>
      <c r="P223" s="19">
        <v>42775.848611111112</v>
      </c>
      <c r="Q223" s="19">
        <v>42787.654861111114</v>
      </c>
      <c r="R223" s="19">
        <v>42787.654861111114</v>
      </c>
      <c r="S223" s="14" t="s">
        <v>660</v>
      </c>
      <c r="T223" s="14" t="s">
        <v>510</v>
      </c>
      <c r="U223" s="14" t="s">
        <v>96</v>
      </c>
      <c r="V223" s="14"/>
      <c r="W223" s="14">
        <v>0</v>
      </c>
      <c r="X223" s="14">
        <v>0</v>
      </c>
      <c r="Y223" s="14"/>
      <c r="Z223" s="14"/>
      <c r="AA223" s="14"/>
      <c r="AB223" s="14"/>
      <c r="AC223" s="14"/>
      <c r="AD223" s="14"/>
      <c r="AE223" s="14"/>
      <c r="AF223" s="14" t="s">
        <v>1248</v>
      </c>
      <c r="AG223" s="14" t="s">
        <v>1249</v>
      </c>
      <c r="AH223" s="14"/>
      <c r="AI223" s="14"/>
      <c r="AJ223" s="14"/>
      <c r="AK223" s="14"/>
      <c r="AL223" s="14"/>
      <c r="AM223" s="14"/>
      <c r="AN223" s="14" t="s">
        <v>788</v>
      </c>
      <c r="AO223" s="14" t="s">
        <v>1002</v>
      </c>
      <c r="AP223" s="14"/>
      <c r="AQ223" s="14"/>
      <c r="AR223" s="22"/>
      <c r="AS223" s="22" t="s">
        <v>241</v>
      </c>
      <c r="AT223" s="22" t="s">
        <v>792</v>
      </c>
      <c r="AU223" s="25" t="str">
        <f>VLOOKUP(O223,[1]Lookup!A:B,2,FALSE)</f>
        <v>Test-SIT</v>
      </c>
    </row>
    <row r="224" spans="1:47" ht="51.75" customHeight="1" x14ac:dyDescent="0.2">
      <c r="A224" s="27" t="s">
        <v>86</v>
      </c>
      <c r="B224" s="29" t="s">
        <v>1250</v>
      </c>
      <c r="C224" s="27" t="s">
        <v>1251</v>
      </c>
      <c r="D224" s="22" t="s">
        <v>241</v>
      </c>
      <c r="E224" s="22" t="s">
        <v>792</v>
      </c>
      <c r="F224" s="27"/>
      <c r="G224" s="27" t="s">
        <v>510</v>
      </c>
      <c r="H224" s="27"/>
      <c r="I224" s="27"/>
      <c r="J224" s="14" t="s">
        <v>91</v>
      </c>
      <c r="K224" s="14" t="s">
        <v>59</v>
      </c>
      <c r="L224" s="14" t="s">
        <v>93</v>
      </c>
      <c r="M224" s="14" t="s">
        <v>132</v>
      </c>
      <c r="N224" s="18" t="s">
        <v>30</v>
      </c>
      <c r="O224" s="14" t="s">
        <v>30</v>
      </c>
      <c r="P224" s="19">
        <v>42775.837500000001</v>
      </c>
      <c r="Q224" s="19">
        <v>42787.654166666667</v>
      </c>
      <c r="R224" s="19">
        <v>42787.654166666667</v>
      </c>
      <c r="S224" s="14" t="s">
        <v>660</v>
      </c>
      <c r="T224" s="14" t="s">
        <v>510</v>
      </c>
      <c r="U224" s="14" t="s">
        <v>96</v>
      </c>
      <c r="V224" s="14"/>
      <c r="W224" s="14">
        <v>0</v>
      </c>
      <c r="X224" s="14">
        <v>0</v>
      </c>
      <c r="Y224" s="14"/>
      <c r="Z224" s="14"/>
      <c r="AA224" s="14"/>
      <c r="AB224" s="14"/>
      <c r="AC224" s="14"/>
      <c r="AD224" s="14"/>
      <c r="AE224" s="14" t="s">
        <v>374</v>
      </c>
      <c r="AF224" s="14" t="s">
        <v>1248</v>
      </c>
      <c r="AG224" s="14" t="s">
        <v>1252</v>
      </c>
      <c r="AH224" s="14"/>
      <c r="AI224" s="14"/>
      <c r="AJ224" s="14"/>
      <c r="AK224" s="14"/>
      <c r="AL224" s="14"/>
      <c r="AM224" s="14"/>
      <c r="AN224" s="14" t="s">
        <v>909</v>
      </c>
      <c r="AO224" s="14" t="s">
        <v>1002</v>
      </c>
      <c r="AP224" s="14"/>
      <c r="AQ224" s="14"/>
      <c r="AR224" s="22"/>
      <c r="AS224" s="22" t="s">
        <v>241</v>
      </c>
      <c r="AT224" s="22" t="s">
        <v>792</v>
      </c>
      <c r="AU224" s="25" t="str">
        <f>VLOOKUP(O224,[1]Lookup!A:B,2,FALSE)</f>
        <v>Test-SIT</v>
      </c>
    </row>
    <row r="225" spans="1:47" ht="51.75" customHeight="1" x14ac:dyDescent="0.2">
      <c r="A225" s="27" t="s">
        <v>86</v>
      </c>
      <c r="B225" s="29" t="s">
        <v>1253</v>
      </c>
      <c r="C225" s="27" t="s">
        <v>1254</v>
      </c>
      <c r="D225" s="22" t="s">
        <v>229</v>
      </c>
      <c r="E225" s="22" t="s">
        <v>229</v>
      </c>
      <c r="F225" s="27"/>
      <c r="G225" s="27" t="s">
        <v>204</v>
      </c>
      <c r="H225" s="27"/>
      <c r="I225" s="27"/>
      <c r="J225" s="14" t="s">
        <v>91</v>
      </c>
      <c r="K225" s="14" t="s">
        <v>59</v>
      </c>
      <c r="L225" s="14" t="s">
        <v>93</v>
      </c>
      <c r="M225" s="14" t="s">
        <v>201</v>
      </c>
      <c r="N225" s="18" t="s">
        <v>38</v>
      </c>
      <c r="O225" s="14" t="s">
        <v>38</v>
      </c>
      <c r="P225" s="19">
        <v>42775.826388888891</v>
      </c>
      <c r="Q225" s="19">
        <v>42787.647222222222</v>
      </c>
      <c r="R225" s="19">
        <v>42787.646527777775</v>
      </c>
      <c r="S225" s="14" t="s">
        <v>203</v>
      </c>
      <c r="T225" s="14" t="s">
        <v>204</v>
      </c>
      <c r="U225" s="14" t="s">
        <v>96</v>
      </c>
      <c r="V225" s="14"/>
      <c r="W225" s="14">
        <v>0</v>
      </c>
      <c r="X225" s="14">
        <v>0</v>
      </c>
      <c r="Y225" s="14"/>
      <c r="Z225" s="14"/>
      <c r="AA225" s="14"/>
      <c r="AB225" s="14"/>
      <c r="AC225" s="14"/>
      <c r="AD225" s="14"/>
      <c r="AE225" s="14"/>
      <c r="AF225" s="14" t="s">
        <v>126</v>
      </c>
      <c r="AG225" s="14" t="s">
        <v>1255</v>
      </c>
      <c r="AH225" s="14"/>
      <c r="AI225" s="14"/>
      <c r="AJ225" s="14"/>
      <c r="AK225" s="14"/>
      <c r="AL225" s="14"/>
      <c r="AM225" s="14"/>
      <c r="AN225" s="14" t="s">
        <v>229</v>
      </c>
      <c r="AO225" s="14" t="s">
        <v>229</v>
      </c>
      <c r="AP225" s="14" t="s">
        <v>146</v>
      </c>
      <c r="AQ225" s="14"/>
      <c r="AR225" s="22"/>
      <c r="AS225" s="22" t="s">
        <v>241</v>
      </c>
      <c r="AT225" s="22" t="s">
        <v>229</v>
      </c>
      <c r="AU225" s="25" t="str">
        <f>VLOOKUP(O225,[1]Lookup!A:B,2,FALSE)</f>
        <v>DMO</v>
      </c>
    </row>
    <row r="226" spans="1:47" ht="51.75" customHeight="1" x14ac:dyDescent="0.2">
      <c r="A226" s="27" t="s">
        <v>86</v>
      </c>
      <c r="B226" s="29" t="s">
        <v>1256</v>
      </c>
      <c r="C226" s="27" t="s">
        <v>1257</v>
      </c>
      <c r="D226" s="22" t="s">
        <v>241</v>
      </c>
      <c r="E226" s="22" t="s">
        <v>792</v>
      </c>
      <c r="F226" s="27"/>
      <c r="G226" s="27" t="s">
        <v>510</v>
      </c>
      <c r="H226" s="27"/>
      <c r="I226" s="27"/>
      <c r="J226" s="14" t="s">
        <v>91</v>
      </c>
      <c r="K226" s="14" t="s">
        <v>59</v>
      </c>
      <c r="L226" s="14" t="s">
        <v>93</v>
      </c>
      <c r="M226" s="14" t="s">
        <v>132</v>
      </c>
      <c r="N226" s="18" t="s">
        <v>30</v>
      </c>
      <c r="O226" s="14" t="s">
        <v>30</v>
      </c>
      <c r="P226" s="19">
        <v>42775.818055555559</v>
      </c>
      <c r="Q226" s="19">
        <v>42787.65347222222</v>
      </c>
      <c r="R226" s="19">
        <v>42787.65347222222</v>
      </c>
      <c r="S226" s="14" t="s">
        <v>660</v>
      </c>
      <c r="T226" s="14" t="s">
        <v>510</v>
      </c>
      <c r="U226" s="14" t="s">
        <v>96</v>
      </c>
      <c r="V226" s="14"/>
      <c r="W226" s="14">
        <v>0</v>
      </c>
      <c r="X226" s="14">
        <v>0</v>
      </c>
      <c r="Y226" s="14"/>
      <c r="Z226" s="14"/>
      <c r="AA226" s="14"/>
      <c r="AB226" s="14"/>
      <c r="AC226" s="14"/>
      <c r="AD226" s="14"/>
      <c r="AE226" s="14"/>
      <c r="AF226" s="14" t="s">
        <v>907</v>
      </c>
      <c r="AG226" s="14" t="s">
        <v>1258</v>
      </c>
      <c r="AH226" s="14"/>
      <c r="AI226" s="14"/>
      <c r="AJ226" s="14"/>
      <c r="AK226" s="14"/>
      <c r="AL226" s="14"/>
      <c r="AM226" s="14"/>
      <c r="AN226" s="14" t="s">
        <v>1142</v>
      </c>
      <c r="AO226" s="14" t="s">
        <v>1259</v>
      </c>
      <c r="AP226" s="14"/>
      <c r="AQ226" s="14"/>
      <c r="AR226" s="22"/>
      <c r="AS226" s="22" t="s">
        <v>241</v>
      </c>
      <c r="AT226" s="22" t="s">
        <v>792</v>
      </c>
      <c r="AU226" s="25" t="str">
        <f>VLOOKUP(O226,[1]Lookup!A:B,2,FALSE)</f>
        <v>Test-SIT</v>
      </c>
    </row>
    <row r="227" spans="1:47" ht="51.75" customHeight="1" x14ac:dyDescent="0.2">
      <c r="A227" s="27" t="s">
        <v>86</v>
      </c>
      <c r="B227" s="29" t="s">
        <v>1260</v>
      </c>
      <c r="C227" s="27" t="s">
        <v>1261</v>
      </c>
      <c r="D227" s="22" t="s">
        <v>241</v>
      </c>
      <c r="E227" s="22" t="s">
        <v>1262</v>
      </c>
      <c r="F227" s="30" t="s">
        <v>1158</v>
      </c>
      <c r="G227" s="30" t="s">
        <v>510</v>
      </c>
      <c r="H227" s="30"/>
      <c r="I227" s="30" t="s">
        <v>1263</v>
      </c>
      <c r="J227" s="14" t="s">
        <v>91</v>
      </c>
      <c r="K227" s="14" t="s">
        <v>59</v>
      </c>
      <c r="L227" s="14" t="s">
        <v>93</v>
      </c>
      <c r="M227" s="14" t="s">
        <v>132</v>
      </c>
      <c r="N227" s="18" t="s">
        <v>30</v>
      </c>
      <c r="O227" s="14" t="s">
        <v>30</v>
      </c>
      <c r="P227" s="19">
        <v>42775.811111111114</v>
      </c>
      <c r="Q227" s="19">
        <v>42799.709722222222</v>
      </c>
      <c r="R227" s="19">
        <v>42799.709722222222</v>
      </c>
      <c r="S227" s="14" t="s">
        <v>660</v>
      </c>
      <c r="T227" s="14" t="s">
        <v>451</v>
      </c>
      <c r="U227" s="14" t="s">
        <v>96</v>
      </c>
      <c r="V227" s="14"/>
      <c r="W227" s="14">
        <v>0</v>
      </c>
      <c r="X227" s="14">
        <v>0</v>
      </c>
      <c r="Y227" s="14"/>
      <c r="Z227" s="14"/>
      <c r="AA227" s="14"/>
      <c r="AB227" s="14"/>
      <c r="AC227" s="14"/>
      <c r="AD227" s="14"/>
      <c r="AE227" s="14"/>
      <c r="AF227" s="14" t="s">
        <v>1264</v>
      </c>
      <c r="AG227" s="14" t="s">
        <v>1265</v>
      </c>
      <c r="AH227" s="14"/>
      <c r="AI227" s="14"/>
      <c r="AJ227" s="14"/>
      <c r="AK227" s="14"/>
      <c r="AL227" s="14"/>
      <c r="AM227" s="14"/>
      <c r="AN227" s="14" t="s">
        <v>1266</v>
      </c>
      <c r="AO227" s="14" t="s">
        <v>1267</v>
      </c>
      <c r="AP227" s="14"/>
      <c r="AQ227" s="14"/>
      <c r="AR227" s="22"/>
      <c r="AS227" s="22" t="s">
        <v>241</v>
      </c>
      <c r="AT227" s="22" t="s">
        <v>1262</v>
      </c>
      <c r="AU227" s="25" t="str">
        <f>VLOOKUP(O227,[1]Lookup!A:B,2,FALSE)</f>
        <v>Test-SIT</v>
      </c>
    </row>
    <row r="228" spans="1:47" ht="51.75" customHeight="1" x14ac:dyDescent="0.2">
      <c r="A228" s="27" t="s">
        <v>86</v>
      </c>
      <c r="B228" s="29" t="s">
        <v>1268</v>
      </c>
      <c r="C228" s="27" t="s">
        <v>1269</v>
      </c>
      <c r="D228" s="22" t="s">
        <v>96</v>
      </c>
      <c r="E228" s="22" t="s">
        <v>166</v>
      </c>
      <c r="F228" s="27"/>
      <c r="G228" s="27" t="s">
        <v>203</v>
      </c>
      <c r="H228" s="27"/>
      <c r="I228" s="27"/>
      <c r="J228" s="14" t="s">
        <v>91</v>
      </c>
      <c r="K228" s="14" t="s">
        <v>59</v>
      </c>
      <c r="L228" s="14" t="s">
        <v>103</v>
      </c>
      <c r="M228" s="14" t="s">
        <v>132</v>
      </c>
      <c r="N228" s="18" t="s">
        <v>39</v>
      </c>
      <c r="O228" s="14" t="s">
        <v>39</v>
      </c>
      <c r="P228" s="19">
        <v>42775.734027777777</v>
      </c>
      <c r="Q228" s="19">
        <v>42781.956250000003</v>
      </c>
      <c r="R228" s="19">
        <v>42781.590277777781</v>
      </c>
      <c r="S228" s="14" t="s">
        <v>203</v>
      </c>
      <c r="T228" s="14" t="s">
        <v>203</v>
      </c>
      <c r="U228" s="14" t="s">
        <v>96</v>
      </c>
      <c r="V228" s="14"/>
      <c r="W228" s="14">
        <v>0</v>
      </c>
      <c r="X228" s="14">
        <v>0</v>
      </c>
      <c r="Y228" s="20" t="s">
        <v>1270</v>
      </c>
      <c r="Z228" s="14"/>
      <c r="AA228" s="14"/>
      <c r="AB228" s="14"/>
      <c r="AC228" s="14"/>
      <c r="AD228" s="14"/>
      <c r="AE228" s="14"/>
      <c r="AF228" s="14" t="s">
        <v>851</v>
      </c>
      <c r="AG228" s="14" t="s">
        <v>1271</v>
      </c>
      <c r="AH228" s="14"/>
      <c r="AI228" s="14"/>
      <c r="AJ228" s="14"/>
      <c r="AK228" s="14"/>
      <c r="AL228" s="14"/>
      <c r="AM228" s="14"/>
      <c r="AN228" s="14" t="s">
        <v>1272</v>
      </c>
      <c r="AO228" s="14" t="s">
        <v>1273</v>
      </c>
      <c r="AP228" s="14" t="s">
        <v>146</v>
      </c>
      <c r="AQ228" s="14"/>
      <c r="AR228" s="22"/>
      <c r="AS228" s="22" t="s">
        <v>96</v>
      </c>
      <c r="AT228" s="22" t="s">
        <v>166</v>
      </c>
      <c r="AU228" s="25" t="str">
        <f>VLOOKUP(O228,[1]Lookup!A:B,2,FALSE)</f>
        <v>DMO</v>
      </c>
    </row>
    <row r="229" spans="1:47" ht="51.75" customHeight="1" x14ac:dyDescent="0.2">
      <c r="A229" s="27" t="s">
        <v>86</v>
      </c>
      <c r="B229" s="29" t="s">
        <v>1274</v>
      </c>
      <c r="C229" s="27" t="s">
        <v>1275</v>
      </c>
      <c r="D229" s="22" t="s">
        <v>89</v>
      </c>
      <c r="E229" s="22" t="s">
        <v>507</v>
      </c>
      <c r="F229" s="26" t="s">
        <v>1276</v>
      </c>
      <c r="G229" s="30" t="s">
        <v>174</v>
      </c>
      <c r="H229" s="40" t="s">
        <v>1277</v>
      </c>
      <c r="I229" s="26" t="s">
        <v>1278</v>
      </c>
      <c r="J229" s="14" t="s">
        <v>91</v>
      </c>
      <c r="K229" s="14" t="s">
        <v>59</v>
      </c>
      <c r="L229" s="14" t="s">
        <v>103</v>
      </c>
      <c r="M229" s="14" t="s">
        <v>1129</v>
      </c>
      <c r="N229" s="18" t="s">
        <v>37</v>
      </c>
      <c r="O229" s="14" t="s">
        <v>37</v>
      </c>
      <c r="P229" s="19">
        <v>42775.693055555559</v>
      </c>
      <c r="Q229" s="19">
        <v>42804.738194444442</v>
      </c>
      <c r="R229" s="19">
        <v>42804.73541666667</v>
      </c>
      <c r="S229" s="14" t="s">
        <v>203</v>
      </c>
      <c r="T229" s="14" t="s">
        <v>104</v>
      </c>
      <c r="U229" s="14" t="s">
        <v>242</v>
      </c>
      <c r="V229" s="14"/>
      <c r="W229" s="14">
        <v>0</v>
      </c>
      <c r="X229" s="14">
        <v>1</v>
      </c>
      <c r="Y229" s="20" t="s">
        <v>1279</v>
      </c>
      <c r="Z229" s="14"/>
      <c r="AA229" s="14"/>
      <c r="AB229" s="14"/>
      <c r="AC229" s="14"/>
      <c r="AD229" s="14"/>
      <c r="AE229" s="14"/>
      <c r="AF229" s="14" t="s">
        <v>126</v>
      </c>
      <c r="AG229" s="14" t="s">
        <v>1280</v>
      </c>
      <c r="AH229" s="14"/>
      <c r="AI229" s="14"/>
      <c r="AJ229" s="14"/>
      <c r="AK229" s="14"/>
      <c r="AL229" s="14"/>
      <c r="AM229" s="14"/>
      <c r="AN229" s="14" t="s">
        <v>1092</v>
      </c>
      <c r="AO229" s="14" t="s">
        <v>1281</v>
      </c>
      <c r="AP229" s="14" t="s">
        <v>146</v>
      </c>
      <c r="AQ229" s="14"/>
      <c r="AR229" s="22"/>
      <c r="AS229" s="22" t="s">
        <v>89</v>
      </c>
      <c r="AT229" s="22" t="s">
        <v>513</v>
      </c>
      <c r="AU229" s="25" t="str">
        <f>VLOOKUP(O229,[1]Lookup!A:B,2,FALSE)</f>
        <v>DMO</v>
      </c>
    </row>
    <row r="230" spans="1:47" ht="51.75" customHeight="1" x14ac:dyDescent="0.2">
      <c r="A230" s="27" t="s">
        <v>86</v>
      </c>
      <c r="B230" s="29" t="s">
        <v>1282</v>
      </c>
      <c r="C230" s="27" t="s">
        <v>1283</v>
      </c>
      <c r="D230" s="22" t="s">
        <v>229</v>
      </c>
      <c r="E230" s="22" t="s">
        <v>229</v>
      </c>
      <c r="F230" s="27"/>
      <c r="G230" s="27" t="s">
        <v>204</v>
      </c>
      <c r="H230" s="27"/>
      <c r="I230" s="27"/>
      <c r="J230" s="14" t="s">
        <v>91</v>
      </c>
      <c r="K230" s="14" t="s">
        <v>59</v>
      </c>
      <c r="L230" s="14" t="s">
        <v>167</v>
      </c>
      <c r="M230" s="14" t="s">
        <v>132</v>
      </c>
      <c r="N230" s="18" t="s">
        <v>202</v>
      </c>
      <c r="O230" s="14" t="s">
        <v>36</v>
      </c>
      <c r="P230" s="19">
        <v>42775.67083333333</v>
      </c>
      <c r="Q230" s="19">
        <v>42786.401388888888</v>
      </c>
      <c r="R230" s="19">
        <v>42786.401388888888</v>
      </c>
      <c r="S230" s="14" t="s">
        <v>203</v>
      </c>
      <c r="T230" s="14" t="s">
        <v>204</v>
      </c>
      <c r="U230" s="14" t="s">
        <v>96</v>
      </c>
      <c r="V230" s="14"/>
      <c r="W230" s="14">
        <v>0</v>
      </c>
      <c r="X230" s="14">
        <v>0</v>
      </c>
      <c r="Y230" s="20" t="s">
        <v>1284</v>
      </c>
      <c r="Z230" s="14"/>
      <c r="AA230" s="14"/>
      <c r="AB230" s="14"/>
      <c r="AC230" s="14"/>
      <c r="AD230" s="14"/>
      <c r="AE230" s="14" t="s">
        <v>1285</v>
      </c>
      <c r="AF230" s="14" t="s">
        <v>126</v>
      </c>
      <c r="AG230" s="14" t="s">
        <v>1286</v>
      </c>
      <c r="AH230" s="14"/>
      <c r="AI230" s="14"/>
      <c r="AJ230" s="14"/>
      <c r="AK230" s="14"/>
      <c r="AL230" s="14"/>
      <c r="AM230" s="14"/>
      <c r="AN230" s="14" t="s">
        <v>229</v>
      </c>
      <c r="AO230" s="14" t="s">
        <v>381</v>
      </c>
      <c r="AP230" s="14" t="s">
        <v>146</v>
      </c>
      <c r="AQ230" s="14"/>
      <c r="AR230" s="22"/>
      <c r="AS230" s="22" t="s">
        <v>96</v>
      </c>
      <c r="AT230" s="22" t="s">
        <v>381</v>
      </c>
      <c r="AU230" s="25" t="str">
        <f>VLOOKUP(O230,[1]Lookup!A:B,2,FALSE)</f>
        <v>DMO</v>
      </c>
    </row>
    <row r="231" spans="1:47" ht="51.75" customHeight="1" x14ac:dyDescent="0.2">
      <c r="A231" s="27" t="s">
        <v>86</v>
      </c>
      <c r="B231" s="29" t="s">
        <v>1287</v>
      </c>
      <c r="C231" s="27" t="s">
        <v>1288</v>
      </c>
      <c r="D231" s="22" t="s">
        <v>241</v>
      </c>
      <c r="E231" s="22" t="s">
        <v>890</v>
      </c>
      <c r="F231" s="27"/>
      <c r="G231" s="27" t="s">
        <v>104</v>
      </c>
      <c r="H231" s="27"/>
      <c r="I231" s="27"/>
      <c r="J231" s="14" t="s">
        <v>91</v>
      </c>
      <c r="K231" s="14" t="s">
        <v>59</v>
      </c>
      <c r="L231" s="14" t="s">
        <v>103</v>
      </c>
      <c r="M231" s="14" t="s">
        <v>132</v>
      </c>
      <c r="N231" s="18" t="s">
        <v>202</v>
      </c>
      <c r="O231" s="14" t="s">
        <v>37</v>
      </c>
      <c r="P231" s="19">
        <v>42775.491666666669</v>
      </c>
      <c r="Q231" s="19">
        <v>42790.490277777775</v>
      </c>
      <c r="R231" s="19">
        <v>42790.490277777775</v>
      </c>
      <c r="S231" s="14" t="s">
        <v>203</v>
      </c>
      <c r="T231" s="14" t="s">
        <v>104</v>
      </c>
      <c r="U231" s="14" t="s">
        <v>242</v>
      </c>
      <c r="V231" s="14"/>
      <c r="W231" s="14">
        <v>0</v>
      </c>
      <c r="X231" s="14">
        <v>0</v>
      </c>
      <c r="Y231" s="14" t="s">
        <v>1289</v>
      </c>
      <c r="Z231" s="14"/>
      <c r="AA231" s="14"/>
      <c r="AB231" s="14"/>
      <c r="AC231" s="14"/>
      <c r="AD231" s="14"/>
      <c r="AE231" s="14"/>
      <c r="AF231" s="14" t="s">
        <v>126</v>
      </c>
      <c r="AG231" s="14" t="s">
        <v>1290</v>
      </c>
      <c r="AH231" s="14"/>
      <c r="AI231" s="14"/>
      <c r="AJ231" s="14"/>
      <c r="AK231" s="14"/>
      <c r="AL231" s="14"/>
      <c r="AM231" s="14"/>
      <c r="AN231" s="14"/>
      <c r="AO231" s="14" t="s">
        <v>1291</v>
      </c>
      <c r="AP231" s="14" t="s">
        <v>146</v>
      </c>
      <c r="AQ231" s="14"/>
      <c r="AR231" s="22"/>
      <c r="AS231" s="22" t="s">
        <v>241</v>
      </c>
      <c r="AT231" s="22" t="s">
        <v>890</v>
      </c>
      <c r="AU231" s="25" t="str">
        <f>VLOOKUP(O231,[1]Lookup!A:B,2,FALSE)</f>
        <v>DMO</v>
      </c>
    </row>
    <row r="232" spans="1:47" ht="51.75" customHeight="1" x14ac:dyDescent="0.2">
      <c r="A232" s="27" t="s">
        <v>86</v>
      </c>
      <c r="B232" s="29" t="s">
        <v>1292</v>
      </c>
      <c r="C232" s="27" t="s">
        <v>1293</v>
      </c>
      <c r="D232" s="22" t="s">
        <v>241</v>
      </c>
      <c r="E232" s="22" t="s">
        <v>890</v>
      </c>
      <c r="F232" s="27"/>
      <c r="G232" s="27" t="s">
        <v>203</v>
      </c>
      <c r="H232" s="27"/>
      <c r="I232" s="27"/>
      <c r="J232" s="14" t="s">
        <v>91</v>
      </c>
      <c r="K232" s="14" t="s">
        <v>59</v>
      </c>
      <c r="L232" s="14" t="s">
        <v>93</v>
      </c>
      <c r="M232" s="14" t="s">
        <v>132</v>
      </c>
      <c r="N232" s="18" t="s">
        <v>202</v>
      </c>
      <c r="O232" s="14" t="s">
        <v>37</v>
      </c>
      <c r="P232" s="19">
        <v>42775.486805555556</v>
      </c>
      <c r="Q232" s="19">
        <v>42788.927083333336</v>
      </c>
      <c r="R232" s="19">
        <v>42776.633333333331</v>
      </c>
      <c r="S232" s="14" t="s">
        <v>203</v>
      </c>
      <c r="T232" s="14" t="s">
        <v>203</v>
      </c>
      <c r="U232" s="14" t="s">
        <v>96</v>
      </c>
      <c r="V232" s="14"/>
      <c r="W232" s="14">
        <v>0</v>
      </c>
      <c r="X232" s="14">
        <v>0</v>
      </c>
      <c r="Y232" s="20" t="s">
        <v>1294</v>
      </c>
      <c r="Z232" s="14"/>
      <c r="AA232" s="14"/>
      <c r="AB232" s="14"/>
      <c r="AC232" s="14"/>
      <c r="AD232" s="14"/>
      <c r="AE232" s="14"/>
      <c r="AF232" s="14" t="s">
        <v>126</v>
      </c>
      <c r="AG232" s="14" t="s">
        <v>1295</v>
      </c>
      <c r="AH232" s="14"/>
      <c r="AI232" s="14"/>
      <c r="AJ232" s="14"/>
      <c r="AK232" s="14"/>
      <c r="AL232" s="14"/>
      <c r="AM232" s="14"/>
      <c r="AN232" s="14" t="s">
        <v>229</v>
      </c>
      <c r="AO232" s="14" t="s">
        <v>381</v>
      </c>
      <c r="AP232" s="14" t="s">
        <v>146</v>
      </c>
      <c r="AQ232" s="14"/>
      <c r="AR232" s="22"/>
      <c r="AS232" s="22" t="s">
        <v>241</v>
      </c>
      <c r="AT232" s="22" t="s">
        <v>890</v>
      </c>
      <c r="AU232" s="25" t="str">
        <f>VLOOKUP(O232,[1]Lookup!A:B,2,FALSE)</f>
        <v>DMO</v>
      </c>
    </row>
    <row r="233" spans="1:47" ht="51.75" customHeight="1" x14ac:dyDescent="0.2">
      <c r="A233" s="27" t="s">
        <v>86</v>
      </c>
      <c r="B233" s="29" t="s">
        <v>1296</v>
      </c>
      <c r="C233" s="27" t="s">
        <v>1297</v>
      </c>
      <c r="D233" s="22" t="s">
        <v>241</v>
      </c>
      <c r="E233" s="22" t="s">
        <v>890</v>
      </c>
      <c r="F233" s="27"/>
      <c r="G233" s="27"/>
      <c r="H233" s="27"/>
      <c r="I233" s="27"/>
      <c r="J233" s="14" t="s">
        <v>91</v>
      </c>
      <c r="K233" s="14" t="s">
        <v>59</v>
      </c>
      <c r="L233" s="14" t="s">
        <v>93</v>
      </c>
      <c r="M233" s="14" t="s">
        <v>132</v>
      </c>
      <c r="N233" s="18" t="s">
        <v>19</v>
      </c>
      <c r="O233" s="14" t="s">
        <v>22</v>
      </c>
      <c r="P233" s="19">
        <v>42774.881944444445</v>
      </c>
      <c r="Q233" s="19">
        <v>42781.711805555555</v>
      </c>
      <c r="R233" s="19">
        <v>42781.711805555555</v>
      </c>
      <c r="S233" s="14" t="s">
        <v>660</v>
      </c>
      <c r="T233" s="14"/>
      <c r="U233" s="14" t="s">
        <v>96</v>
      </c>
      <c r="V233" s="14"/>
      <c r="W233" s="14">
        <v>0</v>
      </c>
      <c r="X233" s="14">
        <v>0</v>
      </c>
      <c r="Y233" s="14"/>
      <c r="Z233" s="14"/>
      <c r="AA233" s="14"/>
      <c r="AB233" s="14"/>
      <c r="AC233" s="14"/>
      <c r="AD233" s="14"/>
      <c r="AE233" s="14"/>
      <c r="AF233" s="14"/>
      <c r="AG233" s="14" t="s">
        <v>1298</v>
      </c>
      <c r="AH233" s="14"/>
      <c r="AI233" s="14"/>
      <c r="AJ233" s="14"/>
      <c r="AK233" s="14"/>
      <c r="AL233" s="14"/>
      <c r="AM233" s="14"/>
      <c r="AN233" s="14" t="s">
        <v>966</v>
      </c>
      <c r="AO233" s="14" t="s">
        <v>1299</v>
      </c>
      <c r="AP233" s="14"/>
      <c r="AQ233" s="14"/>
      <c r="AR233" s="22"/>
      <c r="AS233" s="22" t="s">
        <v>241</v>
      </c>
      <c r="AT233" s="22" t="s">
        <v>890</v>
      </c>
      <c r="AU233" s="25" t="str">
        <f>VLOOKUP(O233,[1]Lookup!A:B,2,FALSE)</f>
        <v>Test-SIT</v>
      </c>
    </row>
    <row r="234" spans="1:47" ht="51.75" customHeight="1" x14ac:dyDescent="0.2">
      <c r="A234" s="27" t="s">
        <v>86</v>
      </c>
      <c r="B234" s="29" t="s">
        <v>1300</v>
      </c>
      <c r="C234" s="27" t="s">
        <v>1301</v>
      </c>
      <c r="D234" s="22" t="s">
        <v>117</v>
      </c>
      <c r="E234" s="22" t="s">
        <v>381</v>
      </c>
      <c r="F234" s="27"/>
      <c r="G234" s="27" t="s">
        <v>204</v>
      </c>
      <c r="H234" s="27"/>
      <c r="I234" s="27"/>
      <c r="J234" s="14" t="s">
        <v>91</v>
      </c>
      <c r="K234" s="14" t="s">
        <v>59</v>
      </c>
      <c r="L234" s="14" t="s">
        <v>167</v>
      </c>
      <c r="M234" s="14" t="s">
        <v>132</v>
      </c>
      <c r="N234" s="18" t="s">
        <v>23</v>
      </c>
      <c r="O234" s="14" t="s">
        <v>23</v>
      </c>
      <c r="P234" s="19">
        <v>42774.829861111109</v>
      </c>
      <c r="Q234" s="19">
        <v>42776.049305555556</v>
      </c>
      <c r="R234" s="19">
        <v>42775.670138888891</v>
      </c>
      <c r="S234" s="14" t="s">
        <v>139</v>
      </c>
      <c r="T234" s="14" t="s">
        <v>204</v>
      </c>
      <c r="U234" s="14" t="s">
        <v>117</v>
      </c>
      <c r="V234" s="14"/>
      <c r="W234" s="14">
        <v>0</v>
      </c>
      <c r="X234" s="14">
        <v>0</v>
      </c>
      <c r="Y234" s="14"/>
      <c r="Z234" s="14"/>
      <c r="AA234" s="14"/>
      <c r="AB234" s="14"/>
      <c r="AC234" s="14"/>
      <c r="AD234" s="14"/>
      <c r="AE234" s="14"/>
      <c r="AF234" s="14" t="s">
        <v>117</v>
      </c>
      <c r="AG234" s="14" t="s">
        <v>1302</v>
      </c>
      <c r="AH234" s="14"/>
      <c r="AI234" s="14"/>
      <c r="AJ234" s="14"/>
      <c r="AK234" s="14"/>
      <c r="AL234" s="14"/>
      <c r="AM234" s="14"/>
      <c r="AN234" s="14" t="s">
        <v>261</v>
      </c>
      <c r="AO234" s="14"/>
      <c r="AP234" s="14"/>
      <c r="AQ234" s="14"/>
      <c r="AR234" s="22"/>
      <c r="AS234" s="22" t="s">
        <v>117</v>
      </c>
      <c r="AT234" s="22" t="s">
        <v>381</v>
      </c>
      <c r="AU234" s="25" t="str">
        <f>VLOOKUP(O234,[1]Lookup!A:B,2,FALSE)</f>
        <v>Test-SIT</v>
      </c>
    </row>
    <row r="235" spans="1:47" ht="51.75" customHeight="1" x14ac:dyDescent="0.2">
      <c r="A235" s="27" t="s">
        <v>86</v>
      </c>
      <c r="B235" s="29" t="s">
        <v>1303</v>
      </c>
      <c r="C235" s="27" t="s">
        <v>1304</v>
      </c>
      <c r="D235" s="22" t="s">
        <v>96</v>
      </c>
      <c r="E235" s="22" t="s">
        <v>166</v>
      </c>
      <c r="F235" s="27"/>
      <c r="G235" s="27" t="s">
        <v>203</v>
      </c>
      <c r="H235" s="27"/>
      <c r="I235" s="27"/>
      <c r="J235" s="14" t="s">
        <v>91</v>
      </c>
      <c r="K235" s="14" t="s">
        <v>59</v>
      </c>
      <c r="L235" s="14" t="s">
        <v>93</v>
      </c>
      <c r="M235" s="14" t="s">
        <v>132</v>
      </c>
      <c r="N235" s="18" t="s">
        <v>202</v>
      </c>
      <c r="O235" s="14" t="s">
        <v>36</v>
      </c>
      <c r="P235" s="19">
        <v>42774.722222222219</v>
      </c>
      <c r="Q235" s="19">
        <v>42790.494444444441</v>
      </c>
      <c r="R235" s="19">
        <v>42790.494444444441</v>
      </c>
      <c r="S235" s="14" t="s">
        <v>203</v>
      </c>
      <c r="T235" s="14" t="s">
        <v>203</v>
      </c>
      <c r="U235" s="14" t="s">
        <v>242</v>
      </c>
      <c r="V235" s="14"/>
      <c r="W235" s="14">
        <v>0</v>
      </c>
      <c r="X235" s="14">
        <v>0</v>
      </c>
      <c r="Y235" s="14" t="s">
        <v>1305</v>
      </c>
      <c r="Z235" s="14"/>
      <c r="AA235" s="14"/>
      <c r="AB235" s="14"/>
      <c r="AC235" s="14"/>
      <c r="AD235" s="14"/>
      <c r="AE235" s="14"/>
      <c r="AF235" s="14" t="s">
        <v>126</v>
      </c>
      <c r="AG235" s="14" t="s">
        <v>1306</v>
      </c>
      <c r="AH235" s="14"/>
      <c r="AI235" s="14"/>
      <c r="AJ235" s="14"/>
      <c r="AK235" s="14"/>
      <c r="AL235" s="14"/>
      <c r="AM235" s="14"/>
      <c r="AN235" s="14" t="s">
        <v>235</v>
      </c>
      <c r="AO235" s="14" t="s">
        <v>1307</v>
      </c>
      <c r="AP235" s="14"/>
      <c r="AQ235" s="14"/>
      <c r="AR235" s="22"/>
      <c r="AS235" s="22" t="s">
        <v>96</v>
      </c>
      <c r="AT235" s="22" t="s">
        <v>166</v>
      </c>
      <c r="AU235" s="25" t="str">
        <f>VLOOKUP(O235,[1]Lookup!A:B,2,FALSE)</f>
        <v>DMO</v>
      </c>
    </row>
    <row r="236" spans="1:47" ht="51.75" customHeight="1" x14ac:dyDescent="0.2">
      <c r="A236" s="27" t="s">
        <v>86</v>
      </c>
      <c r="B236" s="29" t="s">
        <v>1308</v>
      </c>
      <c r="C236" s="27" t="s">
        <v>1309</v>
      </c>
      <c r="D236" s="22" t="s">
        <v>241</v>
      </c>
      <c r="E236" s="22" t="s">
        <v>123</v>
      </c>
      <c r="F236" s="27"/>
      <c r="G236" s="27" t="s">
        <v>204</v>
      </c>
      <c r="H236" s="27"/>
      <c r="I236" s="27"/>
      <c r="J236" s="14" t="s">
        <v>91</v>
      </c>
      <c r="K236" s="14" t="s">
        <v>59</v>
      </c>
      <c r="L236" s="14" t="s">
        <v>93</v>
      </c>
      <c r="M236" s="14" t="s">
        <v>132</v>
      </c>
      <c r="N236" s="18" t="s">
        <v>202</v>
      </c>
      <c r="O236" s="14" t="s">
        <v>36</v>
      </c>
      <c r="P236" s="19">
        <v>42774.661805555559</v>
      </c>
      <c r="Q236" s="19">
        <v>42793.675000000003</v>
      </c>
      <c r="R236" s="19">
        <v>42793.675000000003</v>
      </c>
      <c r="S236" s="14" t="s">
        <v>203</v>
      </c>
      <c r="T236" s="14" t="s">
        <v>204</v>
      </c>
      <c r="U236" s="14" t="s">
        <v>242</v>
      </c>
      <c r="V236" s="14"/>
      <c r="W236" s="14">
        <v>0</v>
      </c>
      <c r="X236" s="14">
        <v>0</v>
      </c>
      <c r="Y236" s="20" t="s">
        <v>1310</v>
      </c>
      <c r="Z236" s="14"/>
      <c r="AA236" s="14"/>
      <c r="AB236" s="14"/>
      <c r="AC236" s="14"/>
      <c r="AD236" s="14"/>
      <c r="AE236" s="14"/>
      <c r="AF236" s="14" t="s">
        <v>126</v>
      </c>
      <c r="AG236" s="14" t="s">
        <v>1311</v>
      </c>
      <c r="AH236" s="14"/>
      <c r="AI236" s="14"/>
      <c r="AJ236" s="14"/>
      <c r="AK236" s="14"/>
      <c r="AL236" s="14"/>
      <c r="AM236" s="14"/>
      <c r="AN236" s="14" t="s">
        <v>123</v>
      </c>
      <c r="AO236" s="14" t="s">
        <v>1312</v>
      </c>
      <c r="AP236" s="14" t="s">
        <v>146</v>
      </c>
      <c r="AQ236" s="14"/>
      <c r="AR236" s="22"/>
      <c r="AS236" s="22" t="s">
        <v>241</v>
      </c>
      <c r="AT236" s="22" t="s">
        <v>123</v>
      </c>
      <c r="AU236" s="25" t="str">
        <f>VLOOKUP(O236,[1]Lookup!A:B,2,FALSE)</f>
        <v>DMO</v>
      </c>
    </row>
    <row r="237" spans="1:47" ht="51.75" customHeight="1" x14ac:dyDescent="0.2">
      <c r="A237" s="27" t="s">
        <v>86</v>
      </c>
      <c r="B237" s="29" t="s">
        <v>1313</v>
      </c>
      <c r="C237" s="27" t="s">
        <v>1314</v>
      </c>
      <c r="D237" s="22" t="s">
        <v>229</v>
      </c>
      <c r="E237" s="22" t="s">
        <v>229</v>
      </c>
      <c r="F237" s="27"/>
      <c r="G237" s="27" t="s">
        <v>204</v>
      </c>
      <c r="H237" s="27"/>
      <c r="I237" s="27"/>
      <c r="J237" s="14" t="s">
        <v>91</v>
      </c>
      <c r="K237" s="14" t="s">
        <v>59</v>
      </c>
      <c r="L237" s="14" t="s">
        <v>93</v>
      </c>
      <c r="M237" s="14" t="s">
        <v>132</v>
      </c>
      <c r="N237" s="18" t="s">
        <v>202</v>
      </c>
      <c r="O237" s="14" t="s">
        <v>37</v>
      </c>
      <c r="P237" s="19">
        <v>42774.648611111108</v>
      </c>
      <c r="Q237" s="19">
        <v>42799.829861111109</v>
      </c>
      <c r="R237" s="19">
        <v>42779.677777777775</v>
      </c>
      <c r="S237" s="14" t="s">
        <v>203</v>
      </c>
      <c r="T237" s="14" t="s">
        <v>204</v>
      </c>
      <c r="U237" s="14" t="s">
        <v>96</v>
      </c>
      <c r="V237" s="14"/>
      <c r="W237" s="14">
        <v>0</v>
      </c>
      <c r="X237" s="14">
        <v>0</v>
      </c>
      <c r="Y237" s="14" t="s">
        <v>1315</v>
      </c>
      <c r="Z237" s="14"/>
      <c r="AA237" s="14"/>
      <c r="AB237" s="14"/>
      <c r="AC237" s="14"/>
      <c r="AD237" s="14"/>
      <c r="AE237" s="14"/>
      <c r="AF237" s="14" t="s">
        <v>126</v>
      </c>
      <c r="AG237" s="14" t="s">
        <v>1316</v>
      </c>
      <c r="AH237" s="14"/>
      <c r="AI237" s="14"/>
      <c r="AJ237" s="14"/>
      <c r="AK237" s="14"/>
      <c r="AL237" s="14"/>
      <c r="AM237" s="14"/>
      <c r="AN237" s="14" t="s">
        <v>283</v>
      </c>
      <c r="AO237" s="14" t="s">
        <v>1317</v>
      </c>
      <c r="AP237" s="14" t="s">
        <v>146</v>
      </c>
      <c r="AQ237" s="14"/>
      <c r="AR237" s="22"/>
      <c r="AS237" s="22" t="s">
        <v>96</v>
      </c>
      <c r="AT237" s="22" t="s">
        <v>1272</v>
      </c>
      <c r="AU237" s="25" t="str">
        <f>VLOOKUP(O237,[1]Lookup!A:B,2,FALSE)</f>
        <v>DMO</v>
      </c>
    </row>
    <row r="238" spans="1:47" ht="51.75" customHeight="1" x14ac:dyDescent="0.2">
      <c r="A238" s="27" t="s">
        <v>86</v>
      </c>
      <c r="B238" s="29" t="s">
        <v>1318</v>
      </c>
      <c r="C238" s="27" t="s">
        <v>1319</v>
      </c>
      <c r="D238" s="22" t="s">
        <v>89</v>
      </c>
      <c r="E238" s="22" t="s">
        <v>1055</v>
      </c>
      <c r="F238" s="37" t="s">
        <v>104</v>
      </c>
      <c r="G238" s="37" t="s">
        <v>174</v>
      </c>
      <c r="H238" s="44" t="s">
        <v>104</v>
      </c>
      <c r="I238" s="37" t="s">
        <v>553</v>
      </c>
      <c r="J238" s="14" t="s">
        <v>91</v>
      </c>
      <c r="K238" s="14" t="s">
        <v>59</v>
      </c>
      <c r="L238" s="14" t="s">
        <v>93</v>
      </c>
      <c r="M238" s="14" t="s">
        <v>132</v>
      </c>
      <c r="N238" s="18" t="s">
        <v>36</v>
      </c>
      <c r="O238" s="14" t="s">
        <v>36</v>
      </c>
      <c r="P238" s="19">
        <v>42774.476388888892</v>
      </c>
      <c r="Q238" s="19">
        <v>42803.729166666664</v>
      </c>
      <c r="R238" s="19">
        <v>42803.729166666664</v>
      </c>
      <c r="S238" s="14" t="s">
        <v>203</v>
      </c>
      <c r="T238" s="14" t="s">
        <v>924</v>
      </c>
      <c r="U238" s="14" t="s">
        <v>96</v>
      </c>
      <c r="V238" s="14"/>
      <c r="W238" s="14">
        <v>0</v>
      </c>
      <c r="X238" s="14">
        <v>0</v>
      </c>
      <c r="Y238" s="20" t="s">
        <v>1320</v>
      </c>
      <c r="Z238" s="14"/>
      <c r="AA238" s="14"/>
      <c r="AB238" s="14"/>
      <c r="AC238" s="14"/>
      <c r="AD238" s="14"/>
      <c r="AE238" s="14"/>
      <c r="AF238" s="14" t="s">
        <v>126</v>
      </c>
      <c r="AG238" s="14" t="s">
        <v>1321</v>
      </c>
      <c r="AH238" s="14"/>
      <c r="AI238" s="14"/>
      <c r="AJ238" s="14"/>
      <c r="AK238" s="14"/>
      <c r="AL238" s="14"/>
      <c r="AM238" s="14"/>
      <c r="AN238" s="14" t="s">
        <v>99</v>
      </c>
      <c r="AO238" s="14" t="s">
        <v>1322</v>
      </c>
      <c r="AP238" s="14" t="s">
        <v>146</v>
      </c>
      <c r="AQ238" s="14"/>
      <c r="AR238" s="22"/>
      <c r="AS238" s="22" t="s">
        <v>89</v>
      </c>
      <c r="AT238" s="22" t="s">
        <v>1055</v>
      </c>
      <c r="AU238" s="25" t="str">
        <f>VLOOKUP(O238,[1]Lookup!A:B,2,FALSE)</f>
        <v>DMO</v>
      </c>
    </row>
    <row r="239" spans="1:47" ht="51.75" customHeight="1" x14ac:dyDescent="0.2">
      <c r="A239" s="27" t="s">
        <v>86</v>
      </c>
      <c r="B239" s="29" t="s">
        <v>1323</v>
      </c>
      <c r="C239" s="27" t="s">
        <v>1324</v>
      </c>
      <c r="D239" s="22" t="s">
        <v>130</v>
      </c>
      <c r="E239" s="22" t="s">
        <v>1325</v>
      </c>
      <c r="F239" s="27"/>
      <c r="G239" s="27" t="s">
        <v>203</v>
      </c>
      <c r="H239" s="27"/>
      <c r="I239" s="27"/>
      <c r="J239" s="14" t="s">
        <v>91</v>
      </c>
      <c r="K239" s="14" t="s">
        <v>59</v>
      </c>
      <c r="L239" s="14" t="s">
        <v>93</v>
      </c>
      <c r="M239" s="14" t="s">
        <v>1326</v>
      </c>
      <c r="N239" s="18" t="s">
        <v>202</v>
      </c>
      <c r="O239" s="14" t="s">
        <v>37</v>
      </c>
      <c r="P239" s="19">
        <v>42774.42083333333</v>
      </c>
      <c r="Q239" s="19">
        <v>42781.953472222223</v>
      </c>
      <c r="R239" s="19">
        <v>42781.762499999997</v>
      </c>
      <c r="S239" s="14" t="s">
        <v>203</v>
      </c>
      <c r="T239" s="14" t="s">
        <v>203</v>
      </c>
      <c r="U239" s="14" t="s">
        <v>96</v>
      </c>
      <c r="V239" s="14"/>
      <c r="W239" s="14">
        <v>0</v>
      </c>
      <c r="X239" s="14">
        <v>0</v>
      </c>
      <c r="Y239" s="20" t="s">
        <v>1327</v>
      </c>
      <c r="Z239" s="14"/>
      <c r="AA239" s="14"/>
      <c r="AB239" s="14"/>
      <c r="AC239" s="14"/>
      <c r="AD239" s="14"/>
      <c r="AE239" s="14"/>
      <c r="AF239" s="14" t="s">
        <v>1026</v>
      </c>
      <c r="AG239" s="14" t="s">
        <v>1328</v>
      </c>
      <c r="AH239" s="14"/>
      <c r="AI239" s="14"/>
      <c r="AJ239" s="14"/>
      <c r="AK239" s="14"/>
      <c r="AL239" s="14"/>
      <c r="AM239" s="14"/>
      <c r="AN239" s="14" t="s">
        <v>408</v>
      </c>
      <c r="AO239" s="14" t="s">
        <v>381</v>
      </c>
      <c r="AP239" s="14" t="s">
        <v>146</v>
      </c>
      <c r="AQ239" s="14"/>
      <c r="AR239" s="22"/>
      <c r="AS239" s="22" t="s">
        <v>130</v>
      </c>
      <c r="AT239" s="22" t="s">
        <v>1325</v>
      </c>
      <c r="AU239" s="25" t="str">
        <f>VLOOKUP(O239,[1]Lookup!A:B,2,FALSE)</f>
        <v>DMO</v>
      </c>
    </row>
    <row r="240" spans="1:47" ht="51.75" customHeight="1" x14ac:dyDescent="0.2">
      <c r="A240" s="27" t="s">
        <v>86</v>
      </c>
      <c r="B240" s="29" t="s">
        <v>1329</v>
      </c>
      <c r="C240" s="27" t="s">
        <v>1330</v>
      </c>
      <c r="D240" s="22" t="s">
        <v>89</v>
      </c>
      <c r="E240" s="22" t="s">
        <v>424</v>
      </c>
      <c r="F240" s="26" t="s">
        <v>1276</v>
      </c>
      <c r="G240" s="27" t="s">
        <v>155</v>
      </c>
      <c r="H240" s="27"/>
      <c r="I240" s="27"/>
      <c r="J240" s="14" t="s">
        <v>91</v>
      </c>
      <c r="K240" s="14" t="s">
        <v>59</v>
      </c>
      <c r="L240" s="14" t="s">
        <v>93</v>
      </c>
      <c r="M240" s="14" t="s">
        <v>1129</v>
      </c>
      <c r="N240" s="18" t="s">
        <v>202</v>
      </c>
      <c r="O240" s="14" t="s">
        <v>37</v>
      </c>
      <c r="P240" s="19">
        <v>42773.696527777778</v>
      </c>
      <c r="Q240" s="19">
        <v>42807.702777777777</v>
      </c>
      <c r="R240" s="19">
        <v>42790.745138888888</v>
      </c>
      <c r="S240" s="14" t="s">
        <v>203</v>
      </c>
      <c r="T240" s="14" t="s">
        <v>203</v>
      </c>
      <c r="U240" s="14" t="s">
        <v>96</v>
      </c>
      <c r="V240" s="14"/>
      <c r="W240" s="14">
        <v>0</v>
      </c>
      <c r="X240" s="14">
        <v>0</v>
      </c>
      <c r="Y240" s="20" t="s">
        <v>1331</v>
      </c>
      <c r="Z240" s="14"/>
      <c r="AA240" s="14"/>
      <c r="AB240" s="14"/>
      <c r="AC240" s="14"/>
      <c r="AD240" s="14"/>
      <c r="AE240" s="14" t="s">
        <v>1332</v>
      </c>
      <c r="AF240" s="14" t="s">
        <v>1333</v>
      </c>
      <c r="AG240" s="14" t="s">
        <v>1334</v>
      </c>
      <c r="AH240" s="14"/>
      <c r="AI240" s="14"/>
      <c r="AJ240" s="14"/>
      <c r="AK240" s="14"/>
      <c r="AL240" s="14"/>
      <c r="AM240" s="14"/>
      <c r="AN240" s="14" t="s">
        <v>149</v>
      </c>
      <c r="AO240" s="14" t="s">
        <v>1281</v>
      </c>
      <c r="AP240" s="14" t="s">
        <v>146</v>
      </c>
      <c r="AQ240" s="14"/>
      <c r="AR240" s="22"/>
      <c r="AS240" s="22" t="s">
        <v>89</v>
      </c>
      <c r="AT240" s="22" t="s">
        <v>424</v>
      </c>
      <c r="AU240" s="25" t="str">
        <f>VLOOKUP(O240,[1]Lookup!A:B,2,FALSE)</f>
        <v>DMO</v>
      </c>
    </row>
    <row r="241" spans="1:47" ht="51.75" customHeight="1" x14ac:dyDescent="0.2">
      <c r="A241" s="27" t="s">
        <v>86</v>
      </c>
      <c r="B241" s="29" t="s">
        <v>1335</v>
      </c>
      <c r="C241" s="27" t="s">
        <v>1336</v>
      </c>
      <c r="D241" s="22" t="s">
        <v>229</v>
      </c>
      <c r="E241" s="22" t="s">
        <v>229</v>
      </c>
      <c r="F241" s="27"/>
      <c r="G241" s="27" t="s">
        <v>204</v>
      </c>
      <c r="H241" s="27"/>
      <c r="I241" s="27"/>
      <c r="J241" s="14" t="s">
        <v>91</v>
      </c>
      <c r="K241" s="14" t="s">
        <v>59</v>
      </c>
      <c r="L241" s="14" t="s">
        <v>93</v>
      </c>
      <c r="M241" s="14" t="s">
        <v>132</v>
      </c>
      <c r="N241" s="18" t="s">
        <v>202</v>
      </c>
      <c r="O241" s="14" t="s">
        <v>37</v>
      </c>
      <c r="P241" s="19">
        <v>42773.635416666664</v>
      </c>
      <c r="Q241" s="19">
        <v>42799.829861111109</v>
      </c>
      <c r="R241" s="19">
        <v>42775.65625</v>
      </c>
      <c r="S241" s="14" t="s">
        <v>203</v>
      </c>
      <c r="T241" s="14" t="s">
        <v>204</v>
      </c>
      <c r="U241" s="14" t="s">
        <v>96</v>
      </c>
      <c r="V241" s="14"/>
      <c r="W241" s="14">
        <v>0</v>
      </c>
      <c r="X241" s="14">
        <v>0</v>
      </c>
      <c r="Y241" s="14"/>
      <c r="Z241" s="14"/>
      <c r="AA241" s="14"/>
      <c r="AB241" s="14"/>
      <c r="AC241" s="14"/>
      <c r="AD241" s="14"/>
      <c r="AE241" s="14"/>
      <c r="AF241" s="14" t="s">
        <v>851</v>
      </c>
      <c r="AG241" s="14" t="s">
        <v>1337</v>
      </c>
      <c r="AH241" s="14"/>
      <c r="AI241" s="14"/>
      <c r="AJ241" s="14"/>
      <c r="AK241" s="14"/>
      <c r="AL241" s="14"/>
      <c r="AM241" s="14"/>
      <c r="AN241" s="14" t="s">
        <v>283</v>
      </c>
      <c r="AO241" s="14" t="s">
        <v>1338</v>
      </c>
      <c r="AP241" s="14" t="s">
        <v>146</v>
      </c>
      <c r="AQ241" s="14"/>
      <c r="AR241" s="22"/>
      <c r="AS241" s="22" t="s">
        <v>96</v>
      </c>
      <c r="AT241" s="22" t="s">
        <v>1272</v>
      </c>
      <c r="AU241" s="25" t="str">
        <f>VLOOKUP(O241,[1]Lookup!A:B,2,FALSE)</f>
        <v>DMO</v>
      </c>
    </row>
    <row r="242" spans="1:47" ht="51.75" customHeight="1" x14ac:dyDescent="0.2">
      <c r="A242" s="27" t="s">
        <v>86</v>
      </c>
      <c r="B242" s="29" t="s">
        <v>1339</v>
      </c>
      <c r="C242" s="27" t="s">
        <v>1340</v>
      </c>
      <c r="D242" s="22" t="s">
        <v>89</v>
      </c>
      <c r="E242" s="22" t="s">
        <v>193</v>
      </c>
      <c r="F242" s="30" t="s">
        <v>516</v>
      </c>
      <c r="G242" s="26" t="s">
        <v>373</v>
      </c>
      <c r="H242" s="30" t="s">
        <v>104</v>
      </c>
      <c r="I242" s="30" t="s">
        <v>836</v>
      </c>
      <c r="J242" s="14" t="s">
        <v>91</v>
      </c>
      <c r="K242" s="14" t="s">
        <v>59</v>
      </c>
      <c r="L242" s="14" t="s">
        <v>167</v>
      </c>
      <c r="M242" s="14" t="s">
        <v>132</v>
      </c>
      <c r="N242" s="18" t="s">
        <v>36</v>
      </c>
      <c r="O242" s="14" t="s">
        <v>36</v>
      </c>
      <c r="P242" s="19">
        <v>42773.62777777778</v>
      </c>
      <c r="Q242" s="19">
        <v>42808.632638888892</v>
      </c>
      <c r="R242" s="19">
        <v>42808.632638888892</v>
      </c>
      <c r="S242" s="14" t="s">
        <v>203</v>
      </c>
      <c r="T242" s="14" t="s">
        <v>438</v>
      </c>
      <c r="U242" s="14" t="s">
        <v>96</v>
      </c>
      <c r="V242" s="14"/>
      <c r="W242" s="14">
        <v>0</v>
      </c>
      <c r="X242" s="14">
        <v>0</v>
      </c>
      <c r="Y242" s="20" t="s">
        <v>1341</v>
      </c>
      <c r="Z242" s="14"/>
      <c r="AA242" s="14"/>
      <c r="AB242" s="14"/>
      <c r="AC242" s="14"/>
      <c r="AD242" s="14"/>
      <c r="AE242" s="14"/>
      <c r="AF242" s="14" t="s">
        <v>126</v>
      </c>
      <c r="AG242" s="14" t="s">
        <v>1342</v>
      </c>
      <c r="AH242" s="14"/>
      <c r="AI242" s="14"/>
      <c r="AJ242" s="14"/>
      <c r="AK242" s="14"/>
      <c r="AL242" s="14"/>
      <c r="AM242" s="14"/>
      <c r="AN242" s="14" t="s">
        <v>1343</v>
      </c>
      <c r="AO242" s="14" t="s">
        <v>1046</v>
      </c>
      <c r="AP242" s="14" t="s">
        <v>146</v>
      </c>
      <c r="AQ242" s="14"/>
      <c r="AR242" s="22"/>
      <c r="AS242" s="22" t="s">
        <v>89</v>
      </c>
      <c r="AT242" s="22" t="s">
        <v>193</v>
      </c>
      <c r="AU242" s="25" t="str">
        <f>VLOOKUP(O242,[1]Lookup!A:B,2,FALSE)</f>
        <v>DMO</v>
      </c>
    </row>
    <row r="243" spans="1:47" ht="51.75" customHeight="1" x14ac:dyDescent="0.2">
      <c r="A243" s="27" t="s">
        <v>86</v>
      </c>
      <c r="B243" s="29" t="s">
        <v>1344</v>
      </c>
      <c r="C243" s="26" t="s">
        <v>1345</v>
      </c>
      <c r="D243" s="22" t="s">
        <v>89</v>
      </c>
      <c r="E243" s="22" t="s">
        <v>261</v>
      </c>
      <c r="F243" s="26" t="s">
        <v>678</v>
      </c>
      <c r="G243" s="27" t="s">
        <v>261</v>
      </c>
      <c r="H243" s="26" t="s">
        <v>679</v>
      </c>
      <c r="I243" s="26" t="s">
        <v>527</v>
      </c>
      <c r="J243" s="14" t="s">
        <v>91</v>
      </c>
      <c r="K243" s="14" t="s">
        <v>110</v>
      </c>
      <c r="L243" s="14" t="s">
        <v>103</v>
      </c>
      <c r="M243" s="17" t="s">
        <v>94</v>
      </c>
      <c r="N243" s="18" t="s">
        <v>29</v>
      </c>
      <c r="O243" s="14" t="s">
        <v>29</v>
      </c>
      <c r="P243" s="19">
        <v>42773.586111111108</v>
      </c>
      <c r="Q243" s="19">
        <v>42809.495833333334</v>
      </c>
      <c r="R243" s="14"/>
      <c r="S243" s="14" t="s">
        <v>1346</v>
      </c>
      <c r="T243" s="14" t="s">
        <v>155</v>
      </c>
      <c r="U243" s="14" t="s">
        <v>89</v>
      </c>
      <c r="V243" s="14"/>
      <c r="W243" s="14">
        <v>0</v>
      </c>
      <c r="X243" s="14">
        <v>0</v>
      </c>
      <c r="Y243" s="14"/>
      <c r="Z243" s="14"/>
      <c r="AA243" s="14"/>
      <c r="AB243" s="14"/>
      <c r="AC243" s="14"/>
      <c r="AD243" s="14"/>
      <c r="AE243" s="14"/>
      <c r="AF243" s="14" t="s">
        <v>1347</v>
      </c>
      <c r="AG243" s="14" t="s">
        <v>1348</v>
      </c>
      <c r="AH243" s="14"/>
      <c r="AI243" s="14"/>
      <c r="AJ243" s="14"/>
      <c r="AK243" s="14"/>
      <c r="AL243" s="14"/>
      <c r="AM243" s="14"/>
      <c r="AN243" s="14" t="s">
        <v>261</v>
      </c>
      <c r="AO243" s="14"/>
      <c r="AP243" s="14" t="s">
        <v>146</v>
      </c>
      <c r="AQ243" s="14"/>
      <c r="AR243" s="22"/>
      <c r="AS243" s="22" t="s">
        <v>89</v>
      </c>
      <c r="AT243" s="22" t="s">
        <v>677</v>
      </c>
      <c r="AU243" s="25" t="str">
        <f>VLOOKUP(O243,[1]Lookup!A:B,2,FALSE)</f>
        <v>BTS-Platform</v>
      </c>
    </row>
    <row r="244" spans="1:47" ht="51.75" customHeight="1" x14ac:dyDescent="0.2">
      <c r="A244" s="27" t="s">
        <v>86</v>
      </c>
      <c r="B244" s="29" t="s">
        <v>1349</v>
      </c>
      <c r="C244" s="27" t="s">
        <v>1350</v>
      </c>
      <c r="D244" s="22" t="s">
        <v>130</v>
      </c>
      <c r="E244" s="22" t="s">
        <v>692</v>
      </c>
      <c r="F244" s="27"/>
      <c r="G244" s="27" t="s">
        <v>660</v>
      </c>
      <c r="H244" s="27"/>
      <c r="I244" s="27"/>
      <c r="J244" s="14" t="s">
        <v>91</v>
      </c>
      <c r="K244" s="14" t="s">
        <v>59</v>
      </c>
      <c r="L244" s="14" t="s">
        <v>93</v>
      </c>
      <c r="M244" s="14" t="s">
        <v>132</v>
      </c>
      <c r="N244" s="18" t="s">
        <v>21</v>
      </c>
      <c r="O244" s="14" t="s">
        <v>21</v>
      </c>
      <c r="P244" s="19">
        <v>42773.581944444442</v>
      </c>
      <c r="Q244" s="19">
        <v>42778.783333333333</v>
      </c>
      <c r="R244" s="19">
        <v>42778.783333333333</v>
      </c>
      <c r="S244" s="14" t="s">
        <v>139</v>
      </c>
      <c r="T244" s="14" t="s">
        <v>660</v>
      </c>
      <c r="U244" s="14" t="s">
        <v>130</v>
      </c>
      <c r="V244" s="28">
        <v>42773</v>
      </c>
      <c r="W244" s="14">
        <v>0</v>
      </c>
      <c r="X244" s="14">
        <v>0</v>
      </c>
      <c r="Y244" s="14"/>
      <c r="Z244" s="14"/>
      <c r="AA244" s="14"/>
      <c r="AB244" s="14"/>
      <c r="AC244" s="14"/>
      <c r="AD244" s="14"/>
      <c r="AE244" s="14"/>
      <c r="AF244" s="14" t="s">
        <v>258</v>
      </c>
      <c r="AG244" s="14" t="s">
        <v>1351</v>
      </c>
      <c r="AH244" s="14"/>
      <c r="AI244" s="14"/>
      <c r="AJ244" s="14"/>
      <c r="AK244" s="14"/>
      <c r="AL244" s="14"/>
      <c r="AM244" s="14"/>
      <c r="AN244" s="14"/>
      <c r="AO244" s="14" t="s">
        <v>1352</v>
      </c>
      <c r="AP244" s="14"/>
      <c r="AQ244" s="14"/>
      <c r="AR244" s="22"/>
      <c r="AS244" s="22" t="s">
        <v>130</v>
      </c>
      <c r="AT244" s="22" t="s">
        <v>692</v>
      </c>
      <c r="AU244" s="25" t="str">
        <f>VLOOKUP(O244,[1]Lookup!A:B,2,FALSE)</f>
        <v>Test-SIT</v>
      </c>
    </row>
    <row r="245" spans="1:47" ht="51.75" customHeight="1" x14ac:dyDescent="0.2">
      <c r="A245" s="27" t="s">
        <v>86</v>
      </c>
      <c r="B245" s="29" t="s">
        <v>1353</v>
      </c>
      <c r="C245" s="27" t="s">
        <v>1354</v>
      </c>
      <c r="D245" s="22" t="s">
        <v>117</v>
      </c>
      <c r="E245" s="22" t="s">
        <v>398</v>
      </c>
      <c r="F245" s="27"/>
      <c r="G245" s="27" t="s">
        <v>139</v>
      </c>
      <c r="H245" s="27"/>
      <c r="I245" s="27"/>
      <c r="J245" s="14" t="s">
        <v>91</v>
      </c>
      <c r="K245" s="14" t="s">
        <v>59</v>
      </c>
      <c r="L245" s="14" t="s">
        <v>93</v>
      </c>
      <c r="M245" s="14" t="s">
        <v>132</v>
      </c>
      <c r="N245" s="18" t="s">
        <v>23</v>
      </c>
      <c r="O245" s="14" t="s">
        <v>24</v>
      </c>
      <c r="P245" s="19">
        <v>42773.581250000003</v>
      </c>
      <c r="Q245" s="19">
        <v>42775.688888888886</v>
      </c>
      <c r="R245" s="19">
        <v>42775.688888888886</v>
      </c>
      <c r="S245" s="14" t="s">
        <v>139</v>
      </c>
      <c r="T245" s="14" t="s">
        <v>139</v>
      </c>
      <c r="U245" s="14" t="s">
        <v>117</v>
      </c>
      <c r="V245" s="14"/>
      <c r="W245" s="14">
        <v>0</v>
      </c>
      <c r="X245" s="14">
        <v>0</v>
      </c>
      <c r="Y245" s="14"/>
      <c r="Z245" s="14"/>
      <c r="AA245" s="14"/>
      <c r="AB245" s="14"/>
      <c r="AC245" s="14"/>
      <c r="AD245" s="14"/>
      <c r="AE245" s="14"/>
      <c r="AF245" s="14" t="s">
        <v>143</v>
      </c>
      <c r="AG245" s="14" t="s">
        <v>1355</v>
      </c>
      <c r="AH245" s="14"/>
      <c r="AI245" s="14"/>
      <c r="AJ245" s="14"/>
      <c r="AK245" s="14"/>
      <c r="AL245" s="14"/>
      <c r="AM245" s="14"/>
      <c r="AN245" s="14" t="s">
        <v>362</v>
      </c>
      <c r="AO245" s="14"/>
      <c r="AP245" s="14"/>
      <c r="AQ245" s="14"/>
      <c r="AR245" s="22"/>
      <c r="AS245" s="22" t="s">
        <v>117</v>
      </c>
      <c r="AT245" s="22" t="s">
        <v>398</v>
      </c>
      <c r="AU245" s="25" t="str">
        <f>VLOOKUP(O245,[1]Lookup!A:B,2,FALSE)</f>
        <v>Test-SIT</v>
      </c>
    </row>
    <row r="246" spans="1:47" ht="51.75" customHeight="1" x14ac:dyDescent="0.2">
      <c r="A246" s="27" t="s">
        <v>86</v>
      </c>
      <c r="B246" s="29" t="s">
        <v>1356</v>
      </c>
      <c r="C246" s="27" t="s">
        <v>1357</v>
      </c>
      <c r="D246" s="22" t="s">
        <v>89</v>
      </c>
      <c r="E246" s="22" t="s">
        <v>1055</v>
      </c>
      <c r="F246" s="37" t="s">
        <v>104</v>
      </c>
      <c r="G246" s="37" t="s">
        <v>528</v>
      </c>
      <c r="H246" s="37" t="s">
        <v>104</v>
      </c>
      <c r="I246" s="37" t="s">
        <v>553</v>
      </c>
      <c r="J246" s="14" t="s">
        <v>91</v>
      </c>
      <c r="K246" s="14" t="s">
        <v>59</v>
      </c>
      <c r="L246" s="14" t="s">
        <v>93</v>
      </c>
      <c r="M246" s="14" t="s">
        <v>132</v>
      </c>
      <c r="N246" s="18" t="s">
        <v>202</v>
      </c>
      <c r="O246" s="14" t="s">
        <v>37</v>
      </c>
      <c r="P246" s="19">
        <v>42773.57708333333</v>
      </c>
      <c r="Q246" s="19">
        <v>42796.478472222225</v>
      </c>
      <c r="R246" s="19">
        <v>42796.478472222225</v>
      </c>
      <c r="S246" s="14" t="s">
        <v>203</v>
      </c>
      <c r="T246" s="14" t="s">
        <v>528</v>
      </c>
      <c r="U246" s="14" t="s">
        <v>96</v>
      </c>
      <c r="V246" s="14"/>
      <c r="W246" s="14">
        <v>0</v>
      </c>
      <c r="X246" s="14">
        <v>0</v>
      </c>
      <c r="Y246" s="14" t="s">
        <v>1358</v>
      </c>
      <c r="Z246" s="14"/>
      <c r="AA246" s="14"/>
      <c r="AB246" s="14"/>
      <c r="AC246" s="14"/>
      <c r="AD246" s="14"/>
      <c r="AE246" s="14"/>
      <c r="AF246" s="14" t="s">
        <v>851</v>
      </c>
      <c r="AG246" s="14" t="s">
        <v>1359</v>
      </c>
      <c r="AH246" s="14"/>
      <c r="AI246" s="14"/>
      <c r="AJ246" s="14"/>
      <c r="AK246" s="14"/>
      <c r="AL246" s="14"/>
      <c r="AM246" s="14"/>
      <c r="AN246" s="14" t="s">
        <v>594</v>
      </c>
      <c r="AO246" s="14" t="s">
        <v>1360</v>
      </c>
      <c r="AP246" s="14" t="s">
        <v>146</v>
      </c>
      <c r="AQ246" s="14"/>
      <c r="AR246" s="22"/>
      <c r="AS246" s="22" t="s">
        <v>89</v>
      </c>
      <c r="AT246" s="22" t="s">
        <v>1055</v>
      </c>
      <c r="AU246" s="25" t="str">
        <f>VLOOKUP(O246,[1]Lookup!A:B,2,FALSE)</f>
        <v>DMO</v>
      </c>
    </row>
    <row r="247" spans="1:47" ht="51.75" customHeight="1" x14ac:dyDescent="0.2">
      <c r="A247" s="27" t="s">
        <v>86</v>
      </c>
      <c r="B247" s="29" t="s">
        <v>1361</v>
      </c>
      <c r="C247" s="27" t="s">
        <v>1362</v>
      </c>
      <c r="D247" s="22" t="s">
        <v>117</v>
      </c>
      <c r="E247" s="22" t="s">
        <v>261</v>
      </c>
      <c r="F247" s="27"/>
      <c r="G247" s="27" t="s">
        <v>518</v>
      </c>
      <c r="H247" s="27"/>
      <c r="I247" s="27"/>
      <c r="J247" s="14" t="s">
        <v>91</v>
      </c>
      <c r="K247" s="14" t="s">
        <v>59</v>
      </c>
      <c r="L247" s="14" t="s">
        <v>167</v>
      </c>
      <c r="M247" s="14" t="s">
        <v>132</v>
      </c>
      <c r="N247" s="18" t="s">
        <v>23</v>
      </c>
      <c r="O247" s="14" t="s">
        <v>24</v>
      </c>
      <c r="P247" s="19">
        <v>42773.482638888891</v>
      </c>
      <c r="Q247" s="19">
        <v>42800.61041666667</v>
      </c>
      <c r="R247" s="19">
        <v>42780.40347222222</v>
      </c>
      <c r="S247" s="14" t="s">
        <v>139</v>
      </c>
      <c r="T247" s="14" t="s">
        <v>660</v>
      </c>
      <c r="U247" s="14" t="s">
        <v>117</v>
      </c>
      <c r="V247" s="14"/>
      <c r="W247" s="14">
        <v>0</v>
      </c>
      <c r="X247" s="14">
        <v>0</v>
      </c>
      <c r="Y247" s="14"/>
      <c r="Z247" s="14"/>
      <c r="AA247" s="14"/>
      <c r="AB247" s="14"/>
      <c r="AC247" s="14"/>
      <c r="AD247" s="14"/>
      <c r="AE247" s="14"/>
      <c r="AF247" s="14" t="s">
        <v>156</v>
      </c>
      <c r="AG247" s="14" t="s">
        <v>1363</v>
      </c>
      <c r="AH247" s="14"/>
      <c r="AI247" s="14"/>
      <c r="AJ247" s="14"/>
      <c r="AK247" s="14"/>
      <c r="AL247" s="14"/>
      <c r="AM247" s="14"/>
      <c r="AN247" s="14" t="s">
        <v>261</v>
      </c>
      <c r="AO247" s="14" t="s">
        <v>1364</v>
      </c>
      <c r="AP247" s="14"/>
      <c r="AQ247" s="14"/>
      <c r="AR247" s="22"/>
      <c r="AS247" s="22" t="s">
        <v>117</v>
      </c>
      <c r="AT247" s="22" t="s">
        <v>261</v>
      </c>
      <c r="AU247" s="25" t="str">
        <f>VLOOKUP(O247,[1]Lookup!A:B,2,FALSE)</f>
        <v>Test-SIT</v>
      </c>
    </row>
    <row r="248" spans="1:47" ht="51.75" customHeight="1" x14ac:dyDescent="0.2">
      <c r="A248" s="27" t="s">
        <v>86</v>
      </c>
      <c r="B248" s="29" t="s">
        <v>1365</v>
      </c>
      <c r="C248" s="27" t="s">
        <v>1366</v>
      </c>
      <c r="D248" s="22" t="s">
        <v>89</v>
      </c>
      <c r="E248" s="22" t="s">
        <v>1367</v>
      </c>
      <c r="F248" s="37" t="s">
        <v>104</v>
      </c>
      <c r="G248" s="26" t="s">
        <v>312</v>
      </c>
      <c r="H248" s="37" t="s">
        <v>104</v>
      </c>
      <c r="I248" s="37" t="s">
        <v>553</v>
      </c>
      <c r="J248" s="14" t="s">
        <v>91</v>
      </c>
      <c r="K248" s="14" t="s">
        <v>59</v>
      </c>
      <c r="L248" s="14" t="s">
        <v>93</v>
      </c>
      <c r="M248" s="14" t="s">
        <v>132</v>
      </c>
      <c r="N248" s="18" t="s">
        <v>36</v>
      </c>
      <c r="O248" s="14" t="s">
        <v>36</v>
      </c>
      <c r="P248" s="19">
        <v>42773.477777777778</v>
      </c>
      <c r="Q248" s="19">
        <v>42804.772916666669</v>
      </c>
      <c r="R248" s="19">
        <v>42804.772916666669</v>
      </c>
      <c r="S248" s="14" t="s">
        <v>203</v>
      </c>
      <c r="T248" s="14" t="s">
        <v>528</v>
      </c>
      <c r="U248" s="14" t="s">
        <v>96</v>
      </c>
      <c r="V248" s="14"/>
      <c r="W248" s="14">
        <v>0</v>
      </c>
      <c r="X248" s="14">
        <v>0</v>
      </c>
      <c r="Y248" s="14" t="s">
        <v>1368</v>
      </c>
      <c r="Z248" s="14"/>
      <c r="AA248" s="14"/>
      <c r="AB248" s="14"/>
      <c r="AC248" s="14"/>
      <c r="AD248" s="14"/>
      <c r="AE248" s="14"/>
      <c r="AF248" s="14" t="s">
        <v>126</v>
      </c>
      <c r="AG248" s="14" t="s">
        <v>1369</v>
      </c>
      <c r="AH248" s="14"/>
      <c r="AI248" s="14"/>
      <c r="AJ248" s="14"/>
      <c r="AK248" s="14"/>
      <c r="AL248" s="14"/>
      <c r="AM248" s="14"/>
      <c r="AN248" s="14" t="s">
        <v>1370</v>
      </c>
      <c r="AO248" s="14" t="s">
        <v>381</v>
      </c>
      <c r="AP248" s="14" t="s">
        <v>146</v>
      </c>
      <c r="AQ248" s="14"/>
      <c r="AR248" s="22"/>
      <c r="AS248" s="22" t="s">
        <v>89</v>
      </c>
      <c r="AT248" s="22" t="s">
        <v>1371</v>
      </c>
      <c r="AU248" s="25" t="str">
        <f>VLOOKUP(O248,[1]Lookup!A:B,2,FALSE)</f>
        <v>DMO</v>
      </c>
    </row>
    <row r="249" spans="1:47" ht="51.75" customHeight="1" x14ac:dyDescent="0.2">
      <c r="A249" s="27" t="s">
        <v>86</v>
      </c>
      <c r="B249" s="29" t="s">
        <v>1372</v>
      </c>
      <c r="C249" s="27" t="s">
        <v>1373</v>
      </c>
      <c r="D249" s="22" t="s">
        <v>89</v>
      </c>
      <c r="E249" s="22" t="s">
        <v>611</v>
      </c>
      <c r="F249" s="27"/>
      <c r="G249" s="27" t="s">
        <v>660</v>
      </c>
      <c r="H249" s="27"/>
      <c r="I249" s="27"/>
      <c r="J249" s="14" t="s">
        <v>91</v>
      </c>
      <c r="K249" s="14" t="s">
        <v>59</v>
      </c>
      <c r="L249" s="14" t="s">
        <v>93</v>
      </c>
      <c r="M249" s="14" t="s">
        <v>132</v>
      </c>
      <c r="N249" s="18" t="s">
        <v>22</v>
      </c>
      <c r="O249" s="14" t="s">
        <v>21</v>
      </c>
      <c r="P249" s="19">
        <v>42773.45208333333</v>
      </c>
      <c r="Q249" s="19">
        <v>42779.382638888892</v>
      </c>
      <c r="R249" s="19">
        <v>42779.382638888892</v>
      </c>
      <c r="S249" s="14" t="s">
        <v>139</v>
      </c>
      <c r="T249" s="14" t="s">
        <v>660</v>
      </c>
      <c r="U249" s="14" t="s">
        <v>96</v>
      </c>
      <c r="V249" s="14"/>
      <c r="W249" s="14">
        <v>0</v>
      </c>
      <c r="X249" s="14">
        <v>0</v>
      </c>
      <c r="Y249" s="14"/>
      <c r="Z249" s="14"/>
      <c r="AA249" s="14"/>
      <c r="AB249" s="14"/>
      <c r="AC249" s="14"/>
      <c r="AD249" s="14"/>
      <c r="AE249" s="14" t="s">
        <v>931</v>
      </c>
      <c r="AF249" s="14" t="s">
        <v>1374</v>
      </c>
      <c r="AG249" s="14" t="s">
        <v>1375</v>
      </c>
      <c r="AH249" s="14"/>
      <c r="AI249" s="14"/>
      <c r="AJ249" s="14"/>
      <c r="AK249" s="14"/>
      <c r="AL249" s="14"/>
      <c r="AM249" s="14"/>
      <c r="AN249" s="14"/>
      <c r="AO249" s="14" t="s">
        <v>1376</v>
      </c>
      <c r="AP249" s="14"/>
      <c r="AQ249" s="14"/>
      <c r="AR249" s="22"/>
      <c r="AS249" s="22" t="s">
        <v>89</v>
      </c>
      <c r="AT249" s="22" t="s">
        <v>611</v>
      </c>
      <c r="AU249" s="25" t="str">
        <f>VLOOKUP(O249,[1]Lookup!A:B,2,FALSE)</f>
        <v>Test-SIT</v>
      </c>
    </row>
    <row r="250" spans="1:47" ht="51.75" customHeight="1" x14ac:dyDescent="0.2">
      <c r="A250" s="27" t="s">
        <v>86</v>
      </c>
      <c r="B250" s="29" t="s">
        <v>1377</v>
      </c>
      <c r="C250" s="27" t="s">
        <v>1378</v>
      </c>
      <c r="D250" s="22" t="s">
        <v>89</v>
      </c>
      <c r="E250" s="22" t="s">
        <v>477</v>
      </c>
      <c r="F250" s="26" t="s">
        <v>1379</v>
      </c>
      <c r="G250" s="26" t="s">
        <v>312</v>
      </c>
      <c r="H250" s="26"/>
      <c r="I250" s="26" t="s">
        <v>527</v>
      </c>
      <c r="J250" s="14" t="s">
        <v>91</v>
      </c>
      <c r="K250" s="14" t="s">
        <v>110</v>
      </c>
      <c r="L250" s="14" t="s">
        <v>103</v>
      </c>
      <c r="M250" s="17" t="s">
        <v>94</v>
      </c>
      <c r="N250" s="18" t="s">
        <v>29</v>
      </c>
      <c r="O250" s="14" t="s">
        <v>29</v>
      </c>
      <c r="P250" s="19">
        <v>42773.418749999997</v>
      </c>
      <c r="Q250" s="19">
        <v>42812.844444444447</v>
      </c>
      <c r="R250" s="14"/>
      <c r="S250" s="14" t="s">
        <v>1346</v>
      </c>
      <c r="T250" s="14" t="s">
        <v>312</v>
      </c>
      <c r="U250" s="14" t="s">
        <v>89</v>
      </c>
      <c r="V250" s="14"/>
      <c r="W250" s="14">
        <v>0</v>
      </c>
      <c r="X250" s="14">
        <v>0</v>
      </c>
      <c r="Y250" s="14"/>
      <c r="Z250" s="14"/>
      <c r="AA250" s="14"/>
      <c r="AB250" s="14"/>
      <c r="AC250" s="14"/>
      <c r="AD250" s="14"/>
      <c r="AE250" s="14" t="s">
        <v>1380</v>
      </c>
      <c r="AF250" s="14" t="s">
        <v>480</v>
      </c>
      <c r="AG250" s="14" t="s">
        <v>1381</v>
      </c>
      <c r="AH250" s="14"/>
      <c r="AI250" s="14"/>
      <c r="AJ250" s="14"/>
      <c r="AK250" s="14"/>
      <c r="AL250" s="14"/>
      <c r="AM250" s="14"/>
      <c r="AN250" s="14" t="s">
        <v>408</v>
      </c>
      <c r="AO250" s="14"/>
      <c r="AP250" s="14" t="s">
        <v>146</v>
      </c>
      <c r="AQ250" s="14"/>
      <c r="AR250" s="22"/>
      <c r="AS250" s="22" t="s">
        <v>89</v>
      </c>
      <c r="AT250" s="22" t="s">
        <v>477</v>
      </c>
      <c r="AU250" s="25" t="str">
        <f>VLOOKUP(O250,[1]Lookup!A:B,2,FALSE)</f>
        <v>BTS-Platform</v>
      </c>
    </row>
    <row r="251" spans="1:47" ht="51.75" customHeight="1" x14ac:dyDescent="0.2">
      <c r="A251" s="27" t="s">
        <v>86</v>
      </c>
      <c r="B251" s="29" t="s">
        <v>1382</v>
      </c>
      <c r="C251" s="27" t="s">
        <v>1383</v>
      </c>
      <c r="D251" s="22" t="s">
        <v>241</v>
      </c>
      <c r="E251" s="22" t="s">
        <v>792</v>
      </c>
      <c r="F251" s="27"/>
      <c r="G251" s="27" t="s">
        <v>660</v>
      </c>
      <c r="H251" s="27"/>
      <c r="I251" s="27"/>
      <c r="J251" s="14" t="s">
        <v>91</v>
      </c>
      <c r="K251" s="14" t="s">
        <v>59</v>
      </c>
      <c r="L251" s="14" t="s">
        <v>103</v>
      </c>
      <c r="M251" s="14" t="s">
        <v>132</v>
      </c>
      <c r="N251" s="18" t="s">
        <v>22</v>
      </c>
      <c r="O251" s="14" t="s">
        <v>27</v>
      </c>
      <c r="P251" s="19">
        <v>42772.861805555556</v>
      </c>
      <c r="Q251" s="19">
        <v>42778.617361111108</v>
      </c>
      <c r="R251" s="19">
        <v>42778.617361111108</v>
      </c>
      <c r="S251" s="14" t="s">
        <v>139</v>
      </c>
      <c r="T251" s="14" t="s">
        <v>660</v>
      </c>
      <c r="U251" s="14" t="s">
        <v>241</v>
      </c>
      <c r="V251" s="14"/>
      <c r="W251" s="14">
        <v>0</v>
      </c>
      <c r="X251" s="14">
        <v>0</v>
      </c>
      <c r="Y251" s="14"/>
      <c r="Z251" s="14"/>
      <c r="AA251" s="14"/>
      <c r="AB251" s="14"/>
      <c r="AC251" s="14"/>
      <c r="AD251" s="14"/>
      <c r="AE251" s="14"/>
      <c r="AF251" s="14" t="s">
        <v>1384</v>
      </c>
      <c r="AG251" s="14" t="s">
        <v>1385</v>
      </c>
      <c r="AH251" s="14"/>
      <c r="AI251" s="14"/>
      <c r="AJ251" s="14"/>
      <c r="AK251" s="14"/>
      <c r="AL251" s="14"/>
      <c r="AM251" s="14"/>
      <c r="AN251" s="14"/>
      <c r="AO251" s="14" t="s">
        <v>1386</v>
      </c>
      <c r="AP251" s="14" t="s">
        <v>146</v>
      </c>
      <c r="AQ251" s="14"/>
      <c r="AR251" s="22"/>
      <c r="AS251" s="22" t="s">
        <v>241</v>
      </c>
      <c r="AT251" s="22" t="s">
        <v>792</v>
      </c>
      <c r="AU251" s="25" t="str">
        <f>VLOOKUP(O251,[1]Lookup!A:B,2,FALSE)</f>
        <v>BTS-Dev</v>
      </c>
    </row>
    <row r="252" spans="1:47" ht="51.75" customHeight="1" x14ac:dyDescent="0.2">
      <c r="A252" s="27" t="s">
        <v>86</v>
      </c>
      <c r="B252" s="29" t="s">
        <v>1387</v>
      </c>
      <c r="C252" s="27" t="s">
        <v>1388</v>
      </c>
      <c r="D252" s="22" t="s">
        <v>117</v>
      </c>
      <c r="E252" s="22" t="s">
        <v>381</v>
      </c>
      <c r="F252" s="27"/>
      <c r="G252" s="27" t="s">
        <v>104</v>
      </c>
      <c r="H252" s="27"/>
      <c r="I252" s="27"/>
      <c r="J252" s="14" t="s">
        <v>91</v>
      </c>
      <c r="K252" s="14" t="s">
        <v>59</v>
      </c>
      <c r="L252" s="14" t="s">
        <v>167</v>
      </c>
      <c r="M252" s="14" t="s">
        <v>132</v>
      </c>
      <c r="N252" s="18" t="s">
        <v>23</v>
      </c>
      <c r="O252" s="14" t="s">
        <v>23</v>
      </c>
      <c r="P252" s="19">
        <v>42772.775694444441</v>
      </c>
      <c r="Q252" s="19">
        <v>42811.48541666667</v>
      </c>
      <c r="R252" s="19">
        <v>42773.814583333333</v>
      </c>
      <c r="S252" s="14" t="s">
        <v>518</v>
      </c>
      <c r="T252" s="14" t="s">
        <v>104</v>
      </c>
      <c r="U252" s="14" t="s">
        <v>117</v>
      </c>
      <c r="V252" s="14"/>
      <c r="W252" s="14">
        <v>0</v>
      </c>
      <c r="X252" s="14">
        <v>0</v>
      </c>
      <c r="Y252" s="14"/>
      <c r="Z252" s="14"/>
      <c r="AA252" s="14"/>
      <c r="AB252" s="14"/>
      <c r="AC252" s="14"/>
      <c r="AD252" s="14"/>
      <c r="AE252" s="14"/>
      <c r="AF252" s="14"/>
      <c r="AG252" s="14" t="s">
        <v>1389</v>
      </c>
      <c r="AH252" s="14"/>
      <c r="AI252" s="14"/>
      <c r="AJ252" s="14"/>
      <c r="AK252" s="14"/>
      <c r="AL252" s="14"/>
      <c r="AM252" s="14"/>
      <c r="AN252" s="14" t="s">
        <v>1390</v>
      </c>
      <c r="AO252" s="14" t="s">
        <v>1391</v>
      </c>
      <c r="AP252" s="14"/>
      <c r="AQ252" s="14"/>
      <c r="AR252" s="22"/>
      <c r="AS252" s="22" t="s">
        <v>117</v>
      </c>
      <c r="AT252" s="22" t="s">
        <v>381</v>
      </c>
      <c r="AU252" s="25" t="str">
        <f>VLOOKUP(O252,[1]Lookup!A:B,2,FALSE)</f>
        <v>Test-SIT</v>
      </c>
    </row>
    <row r="253" spans="1:47" ht="51.75" customHeight="1" x14ac:dyDescent="0.2">
      <c r="A253" s="27" t="s">
        <v>86</v>
      </c>
      <c r="B253" s="29" t="s">
        <v>1392</v>
      </c>
      <c r="C253" s="27" t="s">
        <v>1393</v>
      </c>
      <c r="D253" s="22" t="s">
        <v>96</v>
      </c>
      <c r="E253" s="22" t="s">
        <v>166</v>
      </c>
      <c r="F253" s="37" t="s">
        <v>104</v>
      </c>
      <c r="G253" s="37" t="s">
        <v>174</v>
      </c>
      <c r="H253" s="44" t="s">
        <v>104</v>
      </c>
      <c r="I253" s="37" t="s">
        <v>553</v>
      </c>
      <c r="J253" s="14" t="s">
        <v>91</v>
      </c>
      <c r="K253" s="14" t="s">
        <v>59</v>
      </c>
      <c r="L253" s="14" t="s">
        <v>93</v>
      </c>
      <c r="M253" s="14" t="s">
        <v>132</v>
      </c>
      <c r="N253" s="18" t="s">
        <v>202</v>
      </c>
      <c r="O253" s="14" t="s">
        <v>37</v>
      </c>
      <c r="P253" s="19">
        <v>42772.763888888891</v>
      </c>
      <c r="Q253" s="19">
        <v>42807.38958333333</v>
      </c>
      <c r="R253" s="19">
        <v>42807.388888888891</v>
      </c>
      <c r="S253" s="14" t="s">
        <v>203</v>
      </c>
      <c r="T253" s="14" t="s">
        <v>104</v>
      </c>
      <c r="U253" s="14" t="s">
        <v>96</v>
      </c>
      <c r="V253" s="14"/>
      <c r="W253" s="14">
        <v>0</v>
      </c>
      <c r="X253" s="14">
        <v>0</v>
      </c>
      <c r="Y253" s="20" t="s">
        <v>1394</v>
      </c>
      <c r="Z253" s="14"/>
      <c r="AA253" s="14"/>
      <c r="AB253" s="14"/>
      <c r="AC253" s="14"/>
      <c r="AD253" s="14"/>
      <c r="AE253" s="14"/>
      <c r="AF253" s="14" t="s">
        <v>1395</v>
      </c>
      <c r="AG253" s="14" t="s">
        <v>1396</v>
      </c>
      <c r="AH253" s="14"/>
      <c r="AI253" s="14"/>
      <c r="AJ253" s="14"/>
      <c r="AK253" s="14"/>
      <c r="AL253" s="14"/>
      <c r="AM253" s="14"/>
      <c r="AN253" s="14" t="s">
        <v>235</v>
      </c>
      <c r="AO253" s="14" t="s">
        <v>1397</v>
      </c>
      <c r="AP253" s="14" t="s">
        <v>146</v>
      </c>
      <c r="AQ253" s="14"/>
      <c r="AR253" s="22"/>
      <c r="AS253" s="22" t="s">
        <v>96</v>
      </c>
      <c r="AT253" s="22" t="s">
        <v>959</v>
      </c>
      <c r="AU253" s="25" t="str">
        <f>VLOOKUP(O253,[1]Lookup!A:B,2,FALSE)</f>
        <v>DMO</v>
      </c>
    </row>
    <row r="254" spans="1:47" ht="51.75" customHeight="1" x14ac:dyDescent="0.2">
      <c r="A254" s="27" t="s">
        <v>86</v>
      </c>
      <c r="B254" s="29" t="s">
        <v>1398</v>
      </c>
      <c r="C254" s="27" t="s">
        <v>1399</v>
      </c>
      <c r="D254" s="22" t="s">
        <v>241</v>
      </c>
      <c r="E254" s="22" t="s">
        <v>890</v>
      </c>
      <c r="F254" s="27"/>
      <c r="G254" s="27"/>
      <c r="H254" s="27"/>
      <c r="I254" s="27"/>
      <c r="J254" s="14" t="s">
        <v>91</v>
      </c>
      <c r="K254" s="14" t="s">
        <v>59</v>
      </c>
      <c r="L254" s="14" t="s">
        <v>103</v>
      </c>
      <c r="M254" s="14" t="s">
        <v>132</v>
      </c>
      <c r="N254" s="18" t="s">
        <v>202</v>
      </c>
      <c r="O254" s="14" t="s">
        <v>39</v>
      </c>
      <c r="P254" s="19">
        <v>42772.762499999997</v>
      </c>
      <c r="Q254" s="19">
        <v>42781.947916666664</v>
      </c>
      <c r="R254" s="19">
        <v>42779.564583333333</v>
      </c>
      <c r="S254" s="14" t="s">
        <v>203</v>
      </c>
      <c r="T254" s="14"/>
      <c r="U254" s="14" t="s">
        <v>96</v>
      </c>
      <c r="V254" s="14"/>
      <c r="W254" s="14">
        <v>0</v>
      </c>
      <c r="X254" s="14">
        <v>0</v>
      </c>
      <c r="Y254" s="20" t="s">
        <v>1400</v>
      </c>
      <c r="Z254" s="14"/>
      <c r="AA254" s="14"/>
      <c r="AB254" s="14"/>
      <c r="AC254" s="14"/>
      <c r="AD254" s="14"/>
      <c r="AE254" s="14"/>
      <c r="AF254" s="14" t="s">
        <v>851</v>
      </c>
      <c r="AG254" s="14" t="s">
        <v>1401</v>
      </c>
      <c r="AH254" s="14"/>
      <c r="AI254" s="14"/>
      <c r="AJ254" s="14"/>
      <c r="AK254" s="14"/>
      <c r="AL254" s="14"/>
      <c r="AM254" s="14"/>
      <c r="AN254" s="14" t="s">
        <v>1092</v>
      </c>
      <c r="AO254" s="14" t="s">
        <v>1402</v>
      </c>
      <c r="AP254" s="14" t="s">
        <v>146</v>
      </c>
      <c r="AQ254" s="14"/>
      <c r="AR254" s="22"/>
      <c r="AS254" s="22" t="s">
        <v>241</v>
      </c>
      <c r="AT254" s="22" t="s">
        <v>890</v>
      </c>
      <c r="AU254" s="25" t="str">
        <f>VLOOKUP(O254,[1]Lookup!A:B,2,FALSE)</f>
        <v>DMO</v>
      </c>
    </row>
    <row r="255" spans="1:47" ht="51.75" customHeight="1" x14ac:dyDescent="0.2">
      <c r="A255" s="27" t="s">
        <v>86</v>
      </c>
      <c r="B255" s="29" t="s">
        <v>1403</v>
      </c>
      <c r="C255" s="27" t="s">
        <v>1404</v>
      </c>
      <c r="D255" s="22" t="s">
        <v>117</v>
      </c>
      <c r="E255" s="22" t="s">
        <v>381</v>
      </c>
      <c r="F255" s="27"/>
      <c r="G255" s="27" t="s">
        <v>139</v>
      </c>
      <c r="H255" s="27"/>
      <c r="I255" s="27"/>
      <c r="J255" s="14" t="s">
        <v>91</v>
      </c>
      <c r="K255" s="14" t="s">
        <v>59</v>
      </c>
      <c r="L255" s="14" t="s">
        <v>167</v>
      </c>
      <c r="M255" s="14" t="s">
        <v>132</v>
      </c>
      <c r="N255" s="18" t="s">
        <v>23</v>
      </c>
      <c r="O255" s="14" t="s">
        <v>23</v>
      </c>
      <c r="P255" s="19">
        <v>42772.757638888892</v>
      </c>
      <c r="Q255" s="19">
        <v>42811.48541666667</v>
      </c>
      <c r="R255" s="19">
        <v>42773.81527777778</v>
      </c>
      <c r="S255" s="14" t="s">
        <v>518</v>
      </c>
      <c r="T255" s="14" t="s">
        <v>139</v>
      </c>
      <c r="U255" s="14" t="s">
        <v>117</v>
      </c>
      <c r="V255" s="14"/>
      <c r="W255" s="14">
        <v>0</v>
      </c>
      <c r="X255" s="14">
        <v>0</v>
      </c>
      <c r="Y255" s="14"/>
      <c r="Z255" s="14"/>
      <c r="AA255" s="14"/>
      <c r="AB255" s="14"/>
      <c r="AC255" s="14"/>
      <c r="AD255" s="14"/>
      <c r="AE255" s="14"/>
      <c r="AF255" s="14"/>
      <c r="AG255" s="14" t="s">
        <v>1405</v>
      </c>
      <c r="AH255" s="14"/>
      <c r="AI255" s="14"/>
      <c r="AJ255" s="14"/>
      <c r="AK255" s="14"/>
      <c r="AL255" s="14"/>
      <c r="AM255" s="14"/>
      <c r="AN255" s="14" t="s">
        <v>1390</v>
      </c>
      <c r="AO255" s="14" t="s">
        <v>1406</v>
      </c>
      <c r="AP255" s="14"/>
      <c r="AQ255" s="14"/>
      <c r="AR255" s="22"/>
      <c r="AS255" s="22" t="s">
        <v>117</v>
      </c>
      <c r="AT255" s="22" t="s">
        <v>381</v>
      </c>
      <c r="AU255" s="25" t="str">
        <f>VLOOKUP(O255,[1]Lookup!A:B,2,FALSE)</f>
        <v>Test-SIT</v>
      </c>
    </row>
    <row r="256" spans="1:47" ht="51.75" customHeight="1" x14ac:dyDescent="0.2">
      <c r="A256" s="27" t="s">
        <v>86</v>
      </c>
      <c r="B256" s="29" t="s">
        <v>1407</v>
      </c>
      <c r="C256" s="27" t="s">
        <v>1408</v>
      </c>
      <c r="D256" s="22" t="s">
        <v>96</v>
      </c>
      <c r="E256" s="22" t="s">
        <v>166</v>
      </c>
      <c r="F256" s="27"/>
      <c r="G256" s="27" t="s">
        <v>660</v>
      </c>
      <c r="H256" s="27"/>
      <c r="I256" s="27"/>
      <c r="J256" s="14" t="s">
        <v>91</v>
      </c>
      <c r="K256" s="14" t="s">
        <v>59</v>
      </c>
      <c r="L256" s="14" t="s">
        <v>167</v>
      </c>
      <c r="M256" s="14" t="s">
        <v>132</v>
      </c>
      <c r="N256" s="18" t="s">
        <v>38</v>
      </c>
      <c r="O256" s="14" t="s">
        <v>37</v>
      </c>
      <c r="P256" s="19">
        <v>42772.756249999999</v>
      </c>
      <c r="Q256" s="19">
        <v>42779.381944444445</v>
      </c>
      <c r="R256" s="19">
        <v>42779.381944444445</v>
      </c>
      <c r="S256" s="14" t="s">
        <v>203</v>
      </c>
      <c r="T256" s="14" t="s">
        <v>660</v>
      </c>
      <c r="U256" s="14" t="s">
        <v>96</v>
      </c>
      <c r="V256" s="14"/>
      <c r="W256" s="14">
        <v>0</v>
      </c>
      <c r="X256" s="14">
        <v>0</v>
      </c>
      <c r="Y256" s="14" t="s">
        <v>1409</v>
      </c>
      <c r="Z256" s="14"/>
      <c r="AA256" s="14"/>
      <c r="AB256" s="14"/>
      <c r="AC256" s="14"/>
      <c r="AD256" s="14"/>
      <c r="AE256" s="14"/>
      <c r="AF256" s="14"/>
      <c r="AG256" s="14" t="s">
        <v>1410</v>
      </c>
      <c r="AH256" s="14"/>
      <c r="AI256" s="14"/>
      <c r="AJ256" s="14"/>
      <c r="AK256" s="14"/>
      <c r="AL256" s="14"/>
      <c r="AM256" s="14"/>
      <c r="AN256" s="14" t="s">
        <v>261</v>
      </c>
      <c r="AO256" s="14" t="s">
        <v>1411</v>
      </c>
      <c r="AP256" s="14" t="s">
        <v>146</v>
      </c>
      <c r="AQ256" s="14"/>
      <c r="AR256" s="22"/>
      <c r="AS256" s="22" t="s">
        <v>96</v>
      </c>
      <c r="AT256" s="22" t="s">
        <v>166</v>
      </c>
      <c r="AU256" s="25" t="str">
        <f>VLOOKUP(O256,[1]Lookup!A:B,2,FALSE)</f>
        <v>DMO</v>
      </c>
    </row>
    <row r="257" spans="1:47" ht="51.75" customHeight="1" x14ac:dyDescent="0.2">
      <c r="A257" s="27" t="s">
        <v>86</v>
      </c>
      <c r="B257" s="29" t="s">
        <v>1412</v>
      </c>
      <c r="C257" s="27" t="s">
        <v>1413</v>
      </c>
      <c r="D257" s="22" t="s">
        <v>117</v>
      </c>
      <c r="E257" s="22" t="s">
        <v>381</v>
      </c>
      <c r="F257" s="27"/>
      <c r="G257" s="27" t="s">
        <v>139</v>
      </c>
      <c r="H257" s="27"/>
      <c r="I257" s="27"/>
      <c r="J257" s="14" t="s">
        <v>91</v>
      </c>
      <c r="K257" s="14" t="s">
        <v>59</v>
      </c>
      <c r="L257" s="14" t="s">
        <v>167</v>
      </c>
      <c r="M257" s="14" t="s">
        <v>132</v>
      </c>
      <c r="N257" s="18" t="s">
        <v>23</v>
      </c>
      <c r="O257" s="14" t="s">
        <v>23</v>
      </c>
      <c r="P257" s="19">
        <v>42772.747916666667</v>
      </c>
      <c r="Q257" s="19">
        <v>42811.484722222223</v>
      </c>
      <c r="R257" s="19">
        <v>42773.814583333333</v>
      </c>
      <c r="S257" s="14" t="s">
        <v>518</v>
      </c>
      <c r="T257" s="14" t="s">
        <v>139</v>
      </c>
      <c r="U257" s="14" t="s">
        <v>117</v>
      </c>
      <c r="V257" s="28">
        <v>42773</v>
      </c>
      <c r="W257" s="14">
        <v>0</v>
      </c>
      <c r="X257" s="14">
        <v>0</v>
      </c>
      <c r="Y257" s="14"/>
      <c r="Z257" s="14"/>
      <c r="AA257" s="14"/>
      <c r="AB257" s="14"/>
      <c r="AC257" s="14"/>
      <c r="AD257" s="14"/>
      <c r="AE257" s="14"/>
      <c r="AF257" s="14" t="s">
        <v>117</v>
      </c>
      <c r="AG257" s="14" t="s">
        <v>1414</v>
      </c>
      <c r="AH257" s="14"/>
      <c r="AI257" s="14"/>
      <c r="AJ257" s="14"/>
      <c r="AK257" s="14"/>
      <c r="AL257" s="14"/>
      <c r="AM257" s="14"/>
      <c r="AN257" s="14" t="s">
        <v>1390</v>
      </c>
      <c r="AO257" s="14" t="s">
        <v>1415</v>
      </c>
      <c r="AP257" s="14"/>
      <c r="AQ257" s="14"/>
      <c r="AR257" s="22"/>
      <c r="AS257" s="22" t="s">
        <v>117</v>
      </c>
      <c r="AT257" s="22" t="s">
        <v>1416</v>
      </c>
      <c r="AU257" s="25" t="str">
        <f>VLOOKUP(O257,[1]Lookup!A:B,2,FALSE)</f>
        <v>Test-SIT</v>
      </c>
    </row>
    <row r="258" spans="1:47" ht="51.75" customHeight="1" x14ac:dyDescent="0.2">
      <c r="A258" s="27" t="s">
        <v>86</v>
      </c>
      <c r="B258" s="29" t="s">
        <v>1417</v>
      </c>
      <c r="C258" s="27" t="s">
        <v>1418</v>
      </c>
      <c r="D258" s="22" t="s">
        <v>117</v>
      </c>
      <c r="E258" s="22" t="s">
        <v>381</v>
      </c>
      <c r="F258" s="27"/>
      <c r="G258" s="27" t="s">
        <v>139</v>
      </c>
      <c r="H258" s="27"/>
      <c r="I258" s="27"/>
      <c r="J258" s="14" t="s">
        <v>91</v>
      </c>
      <c r="K258" s="14" t="s">
        <v>59</v>
      </c>
      <c r="L258" s="14" t="s">
        <v>167</v>
      </c>
      <c r="M258" s="14" t="s">
        <v>132</v>
      </c>
      <c r="N258" s="18" t="s">
        <v>23</v>
      </c>
      <c r="O258" s="14" t="s">
        <v>23</v>
      </c>
      <c r="P258" s="19">
        <v>42772.719444444447</v>
      </c>
      <c r="Q258" s="19">
        <v>42811.486111111109</v>
      </c>
      <c r="R258" s="19">
        <v>42773.81527777778</v>
      </c>
      <c r="S258" s="14" t="s">
        <v>518</v>
      </c>
      <c r="T258" s="14" t="s">
        <v>139</v>
      </c>
      <c r="U258" s="14" t="s">
        <v>117</v>
      </c>
      <c r="V258" s="14"/>
      <c r="W258" s="14">
        <v>0</v>
      </c>
      <c r="X258" s="14">
        <v>0</v>
      </c>
      <c r="Y258" s="14"/>
      <c r="Z258" s="14"/>
      <c r="AA258" s="14"/>
      <c r="AB258" s="14"/>
      <c r="AC258" s="14"/>
      <c r="AD258" s="14"/>
      <c r="AE258" s="14"/>
      <c r="AF258" s="14" t="s">
        <v>117</v>
      </c>
      <c r="AG258" s="14" t="s">
        <v>1419</v>
      </c>
      <c r="AH258" s="14"/>
      <c r="AI258" s="14"/>
      <c r="AJ258" s="14"/>
      <c r="AK258" s="14"/>
      <c r="AL258" s="14"/>
      <c r="AM258" s="14"/>
      <c r="AN258" s="14" t="s">
        <v>1390</v>
      </c>
      <c r="AO258" s="14" t="s">
        <v>1420</v>
      </c>
      <c r="AP258" s="14"/>
      <c r="AQ258" s="14"/>
      <c r="AR258" s="22"/>
      <c r="AS258" s="22" t="s">
        <v>117</v>
      </c>
      <c r="AT258" s="22" t="s">
        <v>381</v>
      </c>
      <c r="AU258" s="25" t="str">
        <f>VLOOKUP(O258,[1]Lookup!A:B,2,FALSE)</f>
        <v>Test-SIT</v>
      </c>
    </row>
    <row r="259" spans="1:47" ht="51.75" customHeight="1" x14ac:dyDescent="0.2">
      <c r="A259" s="27" t="s">
        <v>86</v>
      </c>
      <c r="B259" s="29" t="s">
        <v>1421</v>
      </c>
      <c r="C259" s="27" t="s">
        <v>1422</v>
      </c>
      <c r="D259" s="22" t="s">
        <v>229</v>
      </c>
      <c r="E259" s="22" t="s">
        <v>229</v>
      </c>
      <c r="F259" s="27"/>
      <c r="G259" s="27" t="s">
        <v>203</v>
      </c>
      <c r="H259" s="27"/>
      <c r="I259" s="27"/>
      <c r="J259" s="14" t="s">
        <v>91</v>
      </c>
      <c r="K259" s="14" t="s">
        <v>59</v>
      </c>
      <c r="L259" s="14" t="s">
        <v>93</v>
      </c>
      <c r="M259" s="14" t="s">
        <v>132</v>
      </c>
      <c r="N259" s="18" t="s">
        <v>202</v>
      </c>
      <c r="O259" s="14" t="s">
        <v>37</v>
      </c>
      <c r="P259" s="19">
        <v>42772.685416666667</v>
      </c>
      <c r="Q259" s="19">
        <v>42782.504861111112</v>
      </c>
      <c r="R259" s="19">
        <v>42774.412499999999</v>
      </c>
      <c r="S259" s="14" t="s">
        <v>203</v>
      </c>
      <c r="T259" s="14" t="s">
        <v>203</v>
      </c>
      <c r="U259" s="14" t="s">
        <v>96</v>
      </c>
      <c r="V259" s="14"/>
      <c r="W259" s="14">
        <v>0</v>
      </c>
      <c r="X259" s="14">
        <v>0</v>
      </c>
      <c r="Y259" s="20" t="s">
        <v>1423</v>
      </c>
      <c r="Z259" s="14"/>
      <c r="AA259" s="14"/>
      <c r="AB259" s="14"/>
      <c r="AC259" s="14"/>
      <c r="AD259" s="14"/>
      <c r="AE259" s="14" t="s">
        <v>1424</v>
      </c>
      <c r="AF259" s="14" t="s">
        <v>851</v>
      </c>
      <c r="AG259" s="14" t="s">
        <v>1425</v>
      </c>
      <c r="AH259" s="14"/>
      <c r="AI259" s="14"/>
      <c r="AJ259" s="14"/>
      <c r="AK259" s="14"/>
      <c r="AL259" s="14"/>
      <c r="AM259" s="14"/>
      <c r="AN259" s="14" t="s">
        <v>229</v>
      </c>
      <c r="AO259" s="14" t="s">
        <v>386</v>
      </c>
      <c r="AP259" s="14" t="s">
        <v>146</v>
      </c>
      <c r="AQ259" s="14" t="s">
        <v>1426</v>
      </c>
      <c r="AR259" s="22"/>
      <c r="AS259" s="22" t="s">
        <v>96</v>
      </c>
      <c r="AT259" s="27" t="s">
        <v>386</v>
      </c>
      <c r="AU259" s="25" t="str">
        <f>VLOOKUP(O259,[1]Lookup!A:B,2,FALSE)</f>
        <v>DMO</v>
      </c>
    </row>
    <row r="260" spans="1:47" ht="51.75" customHeight="1" x14ac:dyDescent="0.2">
      <c r="A260" s="27" t="s">
        <v>86</v>
      </c>
      <c r="B260" s="29" t="s">
        <v>1427</v>
      </c>
      <c r="C260" s="27" t="s">
        <v>1428</v>
      </c>
      <c r="D260" s="22" t="s">
        <v>229</v>
      </c>
      <c r="E260" s="22" t="s">
        <v>229</v>
      </c>
      <c r="F260" s="27"/>
      <c r="G260" s="27" t="s">
        <v>203</v>
      </c>
      <c r="H260" s="27"/>
      <c r="I260" s="27"/>
      <c r="J260" s="14" t="s">
        <v>91</v>
      </c>
      <c r="K260" s="14" t="s">
        <v>59</v>
      </c>
      <c r="L260" s="14" t="s">
        <v>93</v>
      </c>
      <c r="M260" s="14" t="s">
        <v>132</v>
      </c>
      <c r="N260" s="18" t="s">
        <v>202</v>
      </c>
      <c r="O260" s="14" t="s">
        <v>37</v>
      </c>
      <c r="P260" s="19">
        <v>42772.683333333334</v>
      </c>
      <c r="Q260" s="19">
        <v>42774.59652777778</v>
      </c>
      <c r="R260" s="19">
        <v>42774.411805555559</v>
      </c>
      <c r="S260" s="14" t="s">
        <v>203</v>
      </c>
      <c r="T260" s="14" t="s">
        <v>203</v>
      </c>
      <c r="U260" s="14" t="s">
        <v>96</v>
      </c>
      <c r="V260" s="14"/>
      <c r="W260" s="14">
        <v>0</v>
      </c>
      <c r="X260" s="14">
        <v>0</v>
      </c>
      <c r="Y260" s="14" t="s">
        <v>1429</v>
      </c>
      <c r="Z260" s="14"/>
      <c r="AA260" s="14"/>
      <c r="AB260" s="14"/>
      <c r="AC260" s="14"/>
      <c r="AD260" s="14"/>
      <c r="AE260" s="14"/>
      <c r="AF260" s="14" t="s">
        <v>851</v>
      </c>
      <c r="AG260" s="14" t="s">
        <v>1430</v>
      </c>
      <c r="AH260" s="14"/>
      <c r="AI260" s="14"/>
      <c r="AJ260" s="14"/>
      <c r="AK260" s="14"/>
      <c r="AL260" s="14"/>
      <c r="AM260" s="14"/>
      <c r="AN260" s="14" t="s">
        <v>229</v>
      </c>
      <c r="AO260" s="14" t="s">
        <v>1416</v>
      </c>
      <c r="AP260" s="14" t="s">
        <v>146</v>
      </c>
      <c r="AQ260" s="14">
        <v>142</v>
      </c>
      <c r="AR260" s="22"/>
      <c r="AS260" s="22" t="s">
        <v>96</v>
      </c>
      <c r="AT260" s="27" t="s">
        <v>1416</v>
      </c>
      <c r="AU260" s="25" t="str">
        <f>VLOOKUP(O260,[1]Lookup!A:B,2,FALSE)</f>
        <v>DMO</v>
      </c>
    </row>
    <row r="261" spans="1:47" ht="51.75" customHeight="1" x14ac:dyDescent="0.2">
      <c r="A261" s="27" t="s">
        <v>86</v>
      </c>
      <c r="B261" s="29" t="s">
        <v>1431</v>
      </c>
      <c r="C261" s="26" t="s">
        <v>1432</v>
      </c>
      <c r="D261" s="22" t="s">
        <v>89</v>
      </c>
      <c r="E261" s="22" t="s">
        <v>1433</v>
      </c>
      <c r="F261" s="26" t="s">
        <v>1434</v>
      </c>
      <c r="G261" s="26" t="s">
        <v>312</v>
      </c>
      <c r="H261" s="26" t="s">
        <v>526</v>
      </c>
      <c r="I261" s="26" t="s">
        <v>527</v>
      </c>
      <c r="J261" s="14" t="s">
        <v>91</v>
      </c>
      <c r="K261" s="14" t="s">
        <v>59</v>
      </c>
      <c r="L261" s="14" t="s">
        <v>93</v>
      </c>
      <c r="M261" s="14" t="s">
        <v>132</v>
      </c>
      <c r="N261" s="18" t="s">
        <v>36</v>
      </c>
      <c r="O261" s="14" t="s">
        <v>36</v>
      </c>
      <c r="P261" s="19">
        <v>42772.678472222222</v>
      </c>
      <c r="Q261" s="19">
        <v>42808.668749999997</v>
      </c>
      <c r="R261" s="19">
        <v>42808.668749999997</v>
      </c>
      <c r="S261" s="14" t="s">
        <v>203</v>
      </c>
      <c r="T261" s="14" t="s">
        <v>312</v>
      </c>
      <c r="U261" s="14" t="s">
        <v>89</v>
      </c>
      <c r="V261" s="14"/>
      <c r="W261" s="14">
        <v>0</v>
      </c>
      <c r="X261" s="14">
        <v>0</v>
      </c>
      <c r="Y261" s="14" t="s">
        <v>1435</v>
      </c>
      <c r="Z261" s="14"/>
      <c r="AA261" s="14"/>
      <c r="AB261" s="14"/>
      <c r="AC261" s="14"/>
      <c r="AD261" s="14"/>
      <c r="AE261" s="14"/>
      <c r="AF261" s="14" t="s">
        <v>126</v>
      </c>
      <c r="AG261" s="14" t="s">
        <v>1436</v>
      </c>
      <c r="AH261" s="14"/>
      <c r="AI261" s="14"/>
      <c r="AJ261" s="14"/>
      <c r="AK261" s="14"/>
      <c r="AL261" s="14"/>
      <c r="AM261" s="14"/>
      <c r="AN261" s="14" t="s">
        <v>1437</v>
      </c>
      <c r="AO261" s="14" t="s">
        <v>1438</v>
      </c>
      <c r="AP261" s="14" t="s">
        <v>146</v>
      </c>
      <c r="AQ261" s="14"/>
      <c r="AR261" s="22"/>
      <c r="AS261" s="22" t="s">
        <v>89</v>
      </c>
      <c r="AT261" s="22" t="s">
        <v>1433</v>
      </c>
      <c r="AU261" s="25" t="str">
        <f>VLOOKUP(O261,[1]Lookup!A:B,2,FALSE)</f>
        <v>DMO</v>
      </c>
    </row>
    <row r="262" spans="1:47" ht="51.75" customHeight="1" x14ac:dyDescent="0.2">
      <c r="A262" s="27" t="s">
        <v>86</v>
      </c>
      <c r="B262" s="29" t="s">
        <v>1439</v>
      </c>
      <c r="C262" s="27" t="s">
        <v>1440</v>
      </c>
      <c r="D262" s="22" t="s">
        <v>117</v>
      </c>
      <c r="E262" s="22" t="s">
        <v>792</v>
      </c>
      <c r="F262" s="27"/>
      <c r="G262" s="27"/>
      <c r="H262" s="27"/>
      <c r="I262" s="27"/>
      <c r="J262" s="14" t="s">
        <v>91</v>
      </c>
      <c r="K262" s="14" t="s">
        <v>59</v>
      </c>
      <c r="L262" s="14" t="s">
        <v>93</v>
      </c>
      <c r="M262" s="14" t="s">
        <v>132</v>
      </c>
      <c r="N262" s="18" t="s">
        <v>24</v>
      </c>
      <c r="O262" s="14" t="s">
        <v>24</v>
      </c>
      <c r="P262" s="19">
        <v>42772.660416666666</v>
      </c>
      <c r="Q262" s="19">
        <v>42811.438194444447</v>
      </c>
      <c r="R262" s="19">
        <v>42780.411805555559</v>
      </c>
      <c r="S262" s="14" t="s">
        <v>139</v>
      </c>
      <c r="T262" s="14" t="s">
        <v>139</v>
      </c>
      <c r="U262" s="14" t="s">
        <v>117</v>
      </c>
      <c r="V262" s="28">
        <v>42773</v>
      </c>
      <c r="W262" s="14">
        <v>0</v>
      </c>
      <c r="X262" s="14">
        <v>0</v>
      </c>
      <c r="Y262" s="14"/>
      <c r="Z262" s="14"/>
      <c r="AA262" s="14"/>
      <c r="AB262" s="14"/>
      <c r="AC262" s="14"/>
      <c r="AD262" s="14"/>
      <c r="AE262" s="14"/>
      <c r="AF262" s="14" t="s">
        <v>156</v>
      </c>
      <c r="AG262" s="14" t="s">
        <v>1441</v>
      </c>
      <c r="AH262" s="14"/>
      <c r="AI262" s="14"/>
      <c r="AJ262" s="14"/>
      <c r="AK262" s="14"/>
      <c r="AL262" s="14"/>
      <c r="AM262" s="14"/>
      <c r="AN262" s="14" t="s">
        <v>145</v>
      </c>
      <c r="AO262" s="14" t="s">
        <v>1442</v>
      </c>
      <c r="AP262" s="14"/>
      <c r="AQ262" s="14"/>
      <c r="AR262" s="22"/>
      <c r="AS262" s="22" t="s">
        <v>117</v>
      </c>
      <c r="AT262" s="22" t="s">
        <v>792</v>
      </c>
      <c r="AU262" s="25" t="str">
        <f>VLOOKUP(O262,[1]Lookup!A:B,2,FALSE)</f>
        <v>Test-SIT</v>
      </c>
    </row>
    <row r="263" spans="1:47" ht="51.75" customHeight="1" x14ac:dyDescent="0.2">
      <c r="A263" s="27" t="s">
        <v>86</v>
      </c>
      <c r="B263" s="29" t="s">
        <v>1443</v>
      </c>
      <c r="C263" s="27" t="s">
        <v>1444</v>
      </c>
      <c r="D263" s="22" t="s">
        <v>117</v>
      </c>
      <c r="E263" s="22" t="s">
        <v>381</v>
      </c>
      <c r="F263" s="27"/>
      <c r="G263" s="27" t="s">
        <v>139</v>
      </c>
      <c r="H263" s="27"/>
      <c r="I263" s="27"/>
      <c r="J263" s="14" t="s">
        <v>91</v>
      </c>
      <c r="K263" s="14" t="s">
        <v>59</v>
      </c>
      <c r="L263" s="14" t="s">
        <v>167</v>
      </c>
      <c r="M263" s="14" t="s">
        <v>132</v>
      </c>
      <c r="N263" s="18" t="s">
        <v>23</v>
      </c>
      <c r="O263" s="14" t="s">
        <v>23</v>
      </c>
      <c r="P263" s="19">
        <v>42772.65902777778</v>
      </c>
      <c r="Q263" s="19">
        <v>42811.484722222223</v>
      </c>
      <c r="R263" s="19">
        <v>42773.813194444447</v>
      </c>
      <c r="S263" s="14" t="s">
        <v>518</v>
      </c>
      <c r="T263" s="14" t="s">
        <v>139</v>
      </c>
      <c r="U263" s="14" t="s">
        <v>117</v>
      </c>
      <c r="V263" s="28">
        <v>42773</v>
      </c>
      <c r="W263" s="14">
        <v>0</v>
      </c>
      <c r="X263" s="14">
        <v>0</v>
      </c>
      <c r="Y263" s="14"/>
      <c r="Z263" s="14"/>
      <c r="AA263" s="14"/>
      <c r="AB263" s="14"/>
      <c r="AC263" s="14"/>
      <c r="AD263" s="14"/>
      <c r="AE263" s="14"/>
      <c r="AF263" s="14" t="s">
        <v>117</v>
      </c>
      <c r="AG263" s="14" t="s">
        <v>1445</v>
      </c>
      <c r="AH263" s="14"/>
      <c r="AI263" s="14"/>
      <c r="AJ263" s="14"/>
      <c r="AK263" s="14"/>
      <c r="AL263" s="14"/>
      <c r="AM263" s="14"/>
      <c r="AN263" s="14" t="s">
        <v>1390</v>
      </c>
      <c r="AO263" s="14" t="s">
        <v>1446</v>
      </c>
      <c r="AP263" s="14"/>
      <c r="AQ263" s="14"/>
      <c r="AR263" s="22"/>
      <c r="AS263" s="22" t="s">
        <v>117</v>
      </c>
      <c r="AT263" s="22" t="s">
        <v>381</v>
      </c>
      <c r="AU263" s="25" t="str">
        <f>VLOOKUP(O263,[1]Lookup!A:B,2,FALSE)</f>
        <v>Test-SIT</v>
      </c>
    </row>
    <row r="264" spans="1:47" ht="51.75" customHeight="1" x14ac:dyDescent="0.2">
      <c r="A264" s="27" t="s">
        <v>86</v>
      </c>
      <c r="B264" s="29" t="s">
        <v>1424</v>
      </c>
      <c r="C264" s="27" t="s">
        <v>1447</v>
      </c>
      <c r="D264" s="22" t="s">
        <v>229</v>
      </c>
      <c r="E264" s="22" t="s">
        <v>229</v>
      </c>
      <c r="F264" s="27"/>
      <c r="G264" s="27"/>
      <c r="H264" s="27"/>
      <c r="I264" s="27"/>
      <c r="J264" s="14" t="s">
        <v>91</v>
      </c>
      <c r="K264" s="14" t="s">
        <v>59</v>
      </c>
      <c r="L264" s="14" t="s">
        <v>93</v>
      </c>
      <c r="M264" s="14" t="s">
        <v>132</v>
      </c>
      <c r="N264" s="18" t="s">
        <v>202</v>
      </c>
      <c r="O264" s="14" t="s">
        <v>35</v>
      </c>
      <c r="P264" s="19">
        <v>42772.629166666666</v>
      </c>
      <c r="Q264" s="19">
        <v>42786.396527777775</v>
      </c>
      <c r="R264" s="19">
        <v>42786.396527777775</v>
      </c>
      <c r="S264" s="14" t="s">
        <v>203</v>
      </c>
      <c r="T264" s="14"/>
      <c r="U264" s="14"/>
      <c r="V264" s="14"/>
      <c r="W264" s="14">
        <v>0</v>
      </c>
      <c r="X264" s="14">
        <v>0</v>
      </c>
      <c r="Y264" s="20" t="s">
        <v>1448</v>
      </c>
      <c r="Z264" s="14"/>
      <c r="AA264" s="14"/>
      <c r="AB264" s="14"/>
      <c r="AC264" s="14"/>
      <c r="AD264" s="14"/>
      <c r="AE264" s="14" t="s">
        <v>1421</v>
      </c>
      <c r="AF264" s="14" t="s">
        <v>851</v>
      </c>
      <c r="AG264" s="14" t="s">
        <v>1449</v>
      </c>
      <c r="AH264" s="14"/>
      <c r="AI264" s="14"/>
      <c r="AJ264" s="14"/>
      <c r="AK264" s="14"/>
      <c r="AL264" s="14"/>
      <c r="AM264" s="14"/>
      <c r="AN264" s="14" t="s">
        <v>229</v>
      </c>
      <c r="AO264" s="14" t="s">
        <v>1416</v>
      </c>
      <c r="AP264" s="14" t="s">
        <v>146</v>
      </c>
      <c r="AQ264" s="14"/>
      <c r="AR264" s="22"/>
      <c r="AS264" s="22" t="s">
        <v>96</v>
      </c>
      <c r="AT264" s="22" t="s">
        <v>381</v>
      </c>
      <c r="AU264" s="25" t="str">
        <f>VLOOKUP(O264,[1]Lookup!A:B,2,FALSE)</f>
        <v>DMO</v>
      </c>
    </row>
    <row r="265" spans="1:47" ht="51.75" customHeight="1" x14ac:dyDescent="0.2">
      <c r="A265" s="27" t="s">
        <v>86</v>
      </c>
      <c r="B265" s="29" t="s">
        <v>1450</v>
      </c>
      <c r="C265" s="27" t="s">
        <v>1451</v>
      </c>
      <c r="D265" s="22" t="s">
        <v>130</v>
      </c>
      <c r="E265" s="22" t="s">
        <v>658</v>
      </c>
      <c r="F265" s="27"/>
      <c r="G265" s="27" t="s">
        <v>203</v>
      </c>
      <c r="H265" s="27"/>
      <c r="I265" s="27"/>
      <c r="J265" s="14" t="s">
        <v>91</v>
      </c>
      <c r="K265" s="14" t="s">
        <v>59</v>
      </c>
      <c r="L265" s="14" t="s">
        <v>167</v>
      </c>
      <c r="M265" s="14" t="s">
        <v>132</v>
      </c>
      <c r="N265" s="18" t="s">
        <v>21</v>
      </c>
      <c r="O265" s="14" t="s">
        <v>39</v>
      </c>
      <c r="P265" s="19">
        <v>42772.629166666666</v>
      </c>
      <c r="Q265" s="19">
        <v>42799.830555555556</v>
      </c>
      <c r="R265" s="19">
        <v>42778.571527777778</v>
      </c>
      <c r="S265" s="14" t="s">
        <v>203</v>
      </c>
      <c r="T265" s="14" t="s">
        <v>203</v>
      </c>
      <c r="U265" s="14" t="s">
        <v>130</v>
      </c>
      <c r="V265" s="14"/>
      <c r="W265" s="14">
        <v>0</v>
      </c>
      <c r="X265" s="14">
        <v>0</v>
      </c>
      <c r="Y265" s="14" t="s">
        <v>1452</v>
      </c>
      <c r="Z265" s="14"/>
      <c r="AA265" s="14"/>
      <c r="AB265" s="14"/>
      <c r="AC265" s="14"/>
      <c r="AD265" s="14"/>
      <c r="AE265" s="14"/>
      <c r="AF265" s="14" t="s">
        <v>851</v>
      </c>
      <c r="AG265" s="14" t="s">
        <v>1453</v>
      </c>
      <c r="AH265" s="14"/>
      <c r="AI265" s="14"/>
      <c r="AJ265" s="14"/>
      <c r="AK265" s="14"/>
      <c r="AL265" s="14"/>
      <c r="AM265" s="14"/>
      <c r="AN265" s="14" t="s">
        <v>1454</v>
      </c>
      <c r="AO265" s="14"/>
      <c r="AP265" s="14" t="s">
        <v>146</v>
      </c>
      <c r="AQ265" s="14"/>
      <c r="AR265" s="22"/>
      <c r="AS265" s="22" t="s">
        <v>96</v>
      </c>
      <c r="AT265" s="22" t="s">
        <v>416</v>
      </c>
      <c r="AU265" s="25" t="str">
        <f>VLOOKUP(O265,[1]Lookup!A:B,2,FALSE)</f>
        <v>DMO</v>
      </c>
    </row>
    <row r="266" spans="1:47" ht="51.75" customHeight="1" x14ac:dyDescent="0.2">
      <c r="A266" s="27" t="s">
        <v>86</v>
      </c>
      <c r="B266" s="29" t="s">
        <v>1285</v>
      </c>
      <c r="C266" s="27" t="s">
        <v>1455</v>
      </c>
      <c r="D266" s="22" t="s">
        <v>96</v>
      </c>
      <c r="E266" s="22" t="s">
        <v>166</v>
      </c>
      <c r="F266" s="37" t="s">
        <v>104</v>
      </c>
      <c r="G266" s="37" t="s">
        <v>174</v>
      </c>
      <c r="H266" s="37" t="s">
        <v>104</v>
      </c>
      <c r="I266" s="37" t="s">
        <v>553</v>
      </c>
      <c r="J266" s="14" t="s">
        <v>91</v>
      </c>
      <c r="K266" s="14" t="s">
        <v>59</v>
      </c>
      <c r="L266" s="14" t="s">
        <v>93</v>
      </c>
      <c r="M266" s="14" t="s">
        <v>132</v>
      </c>
      <c r="N266" s="18" t="s">
        <v>39</v>
      </c>
      <c r="O266" s="14" t="s">
        <v>39</v>
      </c>
      <c r="P266" s="19">
        <v>42772.622916666667</v>
      </c>
      <c r="Q266" s="19">
        <v>42808.565972222219</v>
      </c>
      <c r="R266" s="19">
        <v>42808.565972222219</v>
      </c>
      <c r="S266" s="14" t="s">
        <v>203</v>
      </c>
      <c r="T266" s="14" t="s">
        <v>204</v>
      </c>
      <c r="U266" s="14" t="s">
        <v>89</v>
      </c>
      <c r="V266" s="14"/>
      <c r="W266" s="14">
        <v>0</v>
      </c>
      <c r="X266" s="14">
        <v>0</v>
      </c>
      <c r="Y266" s="20" t="s">
        <v>1456</v>
      </c>
      <c r="Z266" s="14"/>
      <c r="AA266" s="14"/>
      <c r="AB266" s="14"/>
      <c r="AC266" s="14"/>
      <c r="AD266" s="14"/>
      <c r="AE266" s="14" t="s">
        <v>1282</v>
      </c>
      <c r="AF266" s="14" t="s">
        <v>851</v>
      </c>
      <c r="AG266" s="14" t="s">
        <v>1457</v>
      </c>
      <c r="AH266" s="14"/>
      <c r="AI266" s="14"/>
      <c r="AJ266" s="14"/>
      <c r="AK266" s="14"/>
      <c r="AL266" s="14"/>
      <c r="AM266" s="14"/>
      <c r="AN266" s="14" t="s">
        <v>229</v>
      </c>
      <c r="AO266" s="14" t="s">
        <v>229</v>
      </c>
      <c r="AP266" s="14" t="s">
        <v>146</v>
      </c>
      <c r="AQ266" s="14"/>
      <c r="AR266" s="22"/>
      <c r="AS266" s="22" t="s">
        <v>89</v>
      </c>
      <c r="AT266" s="22" t="s">
        <v>166</v>
      </c>
      <c r="AU266" s="25" t="str">
        <f>VLOOKUP(O266,[1]Lookup!A:B,2,FALSE)</f>
        <v>DMO</v>
      </c>
    </row>
    <row r="267" spans="1:47" ht="51.75" customHeight="1" x14ac:dyDescent="0.2">
      <c r="A267" s="27" t="s">
        <v>86</v>
      </c>
      <c r="B267" s="29" t="s">
        <v>1458</v>
      </c>
      <c r="C267" s="27" t="s">
        <v>1459</v>
      </c>
      <c r="D267" s="22" t="s">
        <v>117</v>
      </c>
      <c r="E267" s="22" t="s">
        <v>261</v>
      </c>
      <c r="F267" s="27"/>
      <c r="G267" s="27" t="s">
        <v>139</v>
      </c>
      <c r="H267" s="27"/>
      <c r="I267" s="27"/>
      <c r="J267" s="14" t="s">
        <v>91</v>
      </c>
      <c r="K267" s="14" t="s">
        <v>59</v>
      </c>
      <c r="L267" s="14" t="s">
        <v>167</v>
      </c>
      <c r="M267" s="14" t="s">
        <v>132</v>
      </c>
      <c r="N267" s="18" t="s">
        <v>23</v>
      </c>
      <c r="O267" s="14" t="s">
        <v>23</v>
      </c>
      <c r="P267" s="19">
        <v>42772.613888888889</v>
      </c>
      <c r="Q267" s="19">
        <v>42811.476388888892</v>
      </c>
      <c r="R267" s="19">
        <v>42775.631944444445</v>
      </c>
      <c r="S267" s="14" t="s">
        <v>518</v>
      </c>
      <c r="T267" s="14" t="s">
        <v>139</v>
      </c>
      <c r="U267" s="14" t="s">
        <v>117</v>
      </c>
      <c r="V267" s="14"/>
      <c r="W267" s="14">
        <v>0</v>
      </c>
      <c r="X267" s="14">
        <v>0</v>
      </c>
      <c r="Y267" s="14"/>
      <c r="Z267" s="14"/>
      <c r="AA267" s="14"/>
      <c r="AB267" s="14"/>
      <c r="AC267" s="14"/>
      <c r="AD267" s="14"/>
      <c r="AE267" s="14"/>
      <c r="AF267" s="14" t="s">
        <v>117</v>
      </c>
      <c r="AG267" s="14" t="s">
        <v>1460</v>
      </c>
      <c r="AH267" s="14"/>
      <c r="AI267" s="14"/>
      <c r="AJ267" s="14"/>
      <c r="AK267" s="14"/>
      <c r="AL267" s="14"/>
      <c r="AM267" s="14"/>
      <c r="AN267" s="14" t="s">
        <v>362</v>
      </c>
      <c r="AO267" s="14" t="s">
        <v>1461</v>
      </c>
      <c r="AP267" s="14"/>
      <c r="AQ267" s="14"/>
      <c r="AR267" s="22"/>
      <c r="AS267" s="22" t="s">
        <v>117</v>
      </c>
      <c r="AT267" s="22" t="s">
        <v>261</v>
      </c>
      <c r="AU267" s="25" t="str">
        <f>VLOOKUP(O267,[1]Lookup!A:B,2,FALSE)</f>
        <v>Test-SIT</v>
      </c>
    </row>
    <row r="268" spans="1:47" ht="51.75" customHeight="1" x14ac:dyDescent="0.2">
      <c r="A268" s="27" t="s">
        <v>86</v>
      </c>
      <c r="B268" s="29" t="s">
        <v>1462</v>
      </c>
      <c r="C268" s="27" t="s">
        <v>1463</v>
      </c>
      <c r="D268" s="22" t="s">
        <v>89</v>
      </c>
      <c r="E268" s="22" t="s">
        <v>261</v>
      </c>
      <c r="F268" s="37" t="s">
        <v>1464</v>
      </c>
      <c r="G268" s="37" t="s">
        <v>174</v>
      </c>
      <c r="H268" s="44" t="s">
        <v>1464</v>
      </c>
      <c r="I268" s="45" t="s">
        <v>1465</v>
      </c>
      <c r="J268" s="14" t="s">
        <v>91</v>
      </c>
      <c r="K268" s="14" t="s">
        <v>59</v>
      </c>
      <c r="L268" s="14" t="s">
        <v>167</v>
      </c>
      <c r="M268" s="14" t="s">
        <v>132</v>
      </c>
      <c r="N268" s="18" t="s">
        <v>39</v>
      </c>
      <c r="O268" s="14" t="s">
        <v>39</v>
      </c>
      <c r="P268" s="19">
        <v>42772.604166666664</v>
      </c>
      <c r="Q268" s="19">
        <v>42807.628472222219</v>
      </c>
      <c r="R268" s="19">
        <v>42807.628472222219</v>
      </c>
      <c r="S268" s="14" t="s">
        <v>203</v>
      </c>
      <c r="T268" s="14" t="s">
        <v>104</v>
      </c>
      <c r="U268" s="14" t="s">
        <v>412</v>
      </c>
      <c r="V268" s="28">
        <v>42796</v>
      </c>
      <c r="W268" s="14">
        <v>0</v>
      </c>
      <c r="X268" s="14">
        <v>0</v>
      </c>
      <c r="Y268" s="14" t="s">
        <v>1466</v>
      </c>
      <c r="Z268" s="14"/>
      <c r="AA268" s="14"/>
      <c r="AB268" s="14"/>
      <c r="AC268" s="14"/>
      <c r="AD268" s="14"/>
      <c r="AE268" s="14"/>
      <c r="AF268" s="14" t="s">
        <v>851</v>
      </c>
      <c r="AG268" s="14" t="s">
        <v>1467</v>
      </c>
      <c r="AH268" s="14"/>
      <c r="AI268" s="14"/>
      <c r="AJ268" s="14"/>
      <c r="AK268" s="14"/>
      <c r="AL268" s="14"/>
      <c r="AM268" s="14"/>
      <c r="AN268" s="14" t="s">
        <v>235</v>
      </c>
      <c r="AO268" s="14" t="s">
        <v>370</v>
      </c>
      <c r="AP268" s="14" t="s">
        <v>146</v>
      </c>
      <c r="AQ268" s="14"/>
      <c r="AR268" s="22"/>
      <c r="AS268" s="22" t="s">
        <v>89</v>
      </c>
      <c r="AT268" s="22" t="s">
        <v>1468</v>
      </c>
      <c r="AU268" s="25" t="str">
        <f>VLOOKUP(O268,[1]Lookup!A:B,2,FALSE)</f>
        <v>DMO</v>
      </c>
    </row>
    <row r="269" spans="1:47" ht="51.75" customHeight="1" x14ac:dyDescent="0.2">
      <c r="A269" s="27" t="s">
        <v>86</v>
      </c>
      <c r="B269" s="29" t="s">
        <v>1469</v>
      </c>
      <c r="C269" s="27" t="s">
        <v>1470</v>
      </c>
      <c r="D269" s="22" t="s">
        <v>117</v>
      </c>
      <c r="E269" s="22" t="s">
        <v>261</v>
      </c>
      <c r="F269" s="27"/>
      <c r="G269" s="27"/>
      <c r="H269" s="27"/>
      <c r="I269" s="27"/>
      <c r="J269" s="14" t="s">
        <v>91</v>
      </c>
      <c r="K269" s="14" t="s">
        <v>59</v>
      </c>
      <c r="L269" s="14" t="s">
        <v>167</v>
      </c>
      <c r="M269" s="14" t="s">
        <v>132</v>
      </c>
      <c r="N269" s="18" t="s">
        <v>23</v>
      </c>
      <c r="O269" s="14" t="s">
        <v>23</v>
      </c>
      <c r="P269" s="19">
        <v>42772.592361111114</v>
      </c>
      <c r="Q269" s="19">
        <v>42811.436111111114</v>
      </c>
      <c r="R269" s="19">
        <v>42794.775000000001</v>
      </c>
      <c r="S269" s="14" t="s">
        <v>518</v>
      </c>
      <c r="T269" s="14" t="s">
        <v>518</v>
      </c>
      <c r="U269" s="14" t="s">
        <v>117</v>
      </c>
      <c r="V269" s="14"/>
      <c r="W269" s="14">
        <v>0</v>
      </c>
      <c r="X269" s="14">
        <v>0</v>
      </c>
      <c r="Y269" s="14"/>
      <c r="Z269" s="14"/>
      <c r="AA269" s="14"/>
      <c r="AB269" s="14"/>
      <c r="AC269" s="14"/>
      <c r="AD269" s="14"/>
      <c r="AE269" s="14"/>
      <c r="AF269" s="14" t="s">
        <v>117</v>
      </c>
      <c r="AG269" s="14" t="s">
        <v>1471</v>
      </c>
      <c r="AH269" s="14"/>
      <c r="AI269" s="14"/>
      <c r="AJ269" s="14"/>
      <c r="AK269" s="14"/>
      <c r="AL269" s="14"/>
      <c r="AM269" s="14"/>
      <c r="AN269" s="14" t="s">
        <v>261</v>
      </c>
      <c r="AO269" s="14" t="s">
        <v>1472</v>
      </c>
      <c r="AP269" s="14"/>
      <c r="AQ269" s="14"/>
      <c r="AR269" s="22"/>
      <c r="AS269" s="22" t="s">
        <v>117</v>
      </c>
      <c r="AT269" s="22" t="s">
        <v>261</v>
      </c>
      <c r="AU269" s="25" t="str">
        <f>VLOOKUP(O269,[1]Lookup!A:B,2,FALSE)</f>
        <v>Test-SIT</v>
      </c>
    </row>
    <row r="270" spans="1:47" ht="51.75" customHeight="1" x14ac:dyDescent="0.2">
      <c r="A270" s="27" t="s">
        <v>86</v>
      </c>
      <c r="B270" s="29" t="s">
        <v>1473</v>
      </c>
      <c r="C270" s="27" t="s">
        <v>1474</v>
      </c>
      <c r="D270" s="22" t="s">
        <v>229</v>
      </c>
      <c r="E270" s="22" t="s">
        <v>229</v>
      </c>
      <c r="F270" s="27"/>
      <c r="G270" s="27"/>
      <c r="H270" s="27"/>
      <c r="I270" s="27"/>
      <c r="J270" s="14" t="s">
        <v>91</v>
      </c>
      <c r="K270" s="14" t="s">
        <v>59</v>
      </c>
      <c r="L270" s="14" t="s">
        <v>93</v>
      </c>
      <c r="M270" s="14" t="s">
        <v>132</v>
      </c>
      <c r="N270" s="18" t="s">
        <v>202</v>
      </c>
      <c r="O270" s="14" t="s">
        <v>39</v>
      </c>
      <c r="P270" s="19">
        <v>42772.57916666667</v>
      </c>
      <c r="Q270" s="19">
        <v>42774.580555555556</v>
      </c>
      <c r="R270" s="19">
        <v>42774.42083333333</v>
      </c>
      <c r="S270" s="14" t="s">
        <v>203</v>
      </c>
      <c r="T270" s="14"/>
      <c r="U270" s="14" t="s">
        <v>96</v>
      </c>
      <c r="V270" s="14"/>
      <c r="W270" s="14">
        <v>0</v>
      </c>
      <c r="X270" s="14">
        <v>0</v>
      </c>
      <c r="Y270" s="14" t="s">
        <v>1475</v>
      </c>
      <c r="Z270" s="14"/>
      <c r="AA270" s="14"/>
      <c r="AB270" s="14"/>
      <c r="AC270" s="14"/>
      <c r="AD270" s="14"/>
      <c r="AE270" s="14"/>
      <c r="AF270" s="14" t="s">
        <v>851</v>
      </c>
      <c r="AG270" s="14" t="s">
        <v>1476</v>
      </c>
      <c r="AH270" s="14"/>
      <c r="AI270" s="14"/>
      <c r="AJ270" s="14"/>
      <c r="AK270" s="14"/>
      <c r="AL270" s="14"/>
      <c r="AM270" s="14"/>
      <c r="AN270" s="14" t="s">
        <v>229</v>
      </c>
      <c r="AO270" s="14" t="s">
        <v>1416</v>
      </c>
      <c r="AP270" s="14" t="s">
        <v>146</v>
      </c>
      <c r="AQ270" s="14"/>
      <c r="AR270" s="22"/>
      <c r="AS270" s="22" t="s">
        <v>96</v>
      </c>
      <c r="AT270" s="22" t="s">
        <v>381</v>
      </c>
      <c r="AU270" s="25" t="str">
        <f>VLOOKUP(O270,[1]Lookup!A:B,2,FALSE)</f>
        <v>DMO</v>
      </c>
    </row>
    <row r="271" spans="1:47" ht="51.75" customHeight="1" x14ac:dyDescent="0.2">
      <c r="A271" s="27" t="s">
        <v>86</v>
      </c>
      <c r="B271" s="29" t="s">
        <v>1477</v>
      </c>
      <c r="C271" s="27" t="s">
        <v>1478</v>
      </c>
      <c r="D271" s="22" t="s">
        <v>89</v>
      </c>
      <c r="E271" s="22" t="s">
        <v>1479</v>
      </c>
      <c r="F271" s="37" t="s">
        <v>104</v>
      </c>
      <c r="G271" s="37" t="s">
        <v>174</v>
      </c>
      <c r="H271" s="37" t="s">
        <v>104</v>
      </c>
      <c r="I271" s="37" t="s">
        <v>553</v>
      </c>
      <c r="J271" s="14" t="s">
        <v>91</v>
      </c>
      <c r="K271" s="14" t="s">
        <v>59</v>
      </c>
      <c r="L271" s="14" t="s">
        <v>124</v>
      </c>
      <c r="M271" s="14" t="s">
        <v>132</v>
      </c>
      <c r="N271" s="18" t="s">
        <v>202</v>
      </c>
      <c r="O271" s="14" t="s">
        <v>36</v>
      </c>
      <c r="P271" s="19">
        <v>42772.4375</v>
      </c>
      <c r="Q271" s="19">
        <v>42803.731249999997</v>
      </c>
      <c r="R271" s="19">
        <v>42803.731249999997</v>
      </c>
      <c r="S271" s="14" t="s">
        <v>203</v>
      </c>
      <c r="T271" s="14" t="s">
        <v>924</v>
      </c>
      <c r="U271" s="14" t="s">
        <v>96</v>
      </c>
      <c r="V271" s="14"/>
      <c r="W271" s="14">
        <v>0</v>
      </c>
      <c r="X271" s="14">
        <v>0</v>
      </c>
      <c r="Y271" s="14" t="s">
        <v>1480</v>
      </c>
      <c r="Z271" s="14"/>
      <c r="AA271" s="14"/>
      <c r="AB271" s="14"/>
      <c r="AC271" s="14"/>
      <c r="AD271" s="14"/>
      <c r="AE271" s="14"/>
      <c r="AF271" s="14" t="s">
        <v>126</v>
      </c>
      <c r="AG271" s="14"/>
      <c r="AH271" s="14"/>
      <c r="AI271" s="14"/>
      <c r="AJ271" s="14"/>
      <c r="AK271" s="14"/>
      <c r="AL271" s="14"/>
      <c r="AM271" s="14"/>
      <c r="AN271" s="14" t="s">
        <v>1481</v>
      </c>
      <c r="AO271" s="14" t="s">
        <v>1482</v>
      </c>
      <c r="AP271" s="14" t="s">
        <v>146</v>
      </c>
      <c r="AQ271" s="14"/>
      <c r="AR271" s="22"/>
      <c r="AS271" s="22" t="s">
        <v>89</v>
      </c>
      <c r="AT271" s="22" t="s">
        <v>1479</v>
      </c>
      <c r="AU271" s="25" t="str">
        <f>VLOOKUP(O271,[1]Lookup!A:B,2,FALSE)</f>
        <v>DMO</v>
      </c>
    </row>
    <row r="272" spans="1:47" ht="51.75" customHeight="1" x14ac:dyDescent="0.2">
      <c r="A272" s="27" t="s">
        <v>86</v>
      </c>
      <c r="B272" s="29" t="s">
        <v>1203</v>
      </c>
      <c r="C272" s="27" t="s">
        <v>1483</v>
      </c>
      <c r="D272" s="22" t="s">
        <v>241</v>
      </c>
      <c r="E272" s="22" t="s">
        <v>890</v>
      </c>
      <c r="F272" s="37" t="s">
        <v>1201</v>
      </c>
      <c r="G272" s="37" t="s">
        <v>510</v>
      </c>
      <c r="H272" s="37"/>
      <c r="I272" s="37" t="s">
        <v>609</v>
      </c>
      <c r="J272" s="14" t="s">
        <v>91</v>
      </c>
      <c r="K272" s="14" t="s">
        <v>59</v>
      </c>
      <c r="L272" s="14" t="s">
        <v>93</v>
      </c>
      <c r="M272" s="14" t="s">
        <v>132</v>
      </c>
      <c r="N272" s="18" t="s">
        <v>30</v>
      </c>
      <c r="O272" s="14" t="s">
        <v>21</v>
      </c>
      <c r="P272" s="19">
        <v>42771.724999999999</v>
      </c>
      <c r="Q272" s="19">
        <v>42794.543055555558</v>
      </c>
      <c r="R272" s="19">
        <v>42794.543055555558</v>
      </c>
      <c r="S272" s="14" t="s">
        <v>139</v>
      </c>
      <c r="T272" s="14" t="s">
        <v>510</v>
      </c>
      <c r="U272" s="14" t="s">
        <v>242</v>
      </c>
      <c r="V272" s="14"/>
      <c r="W272" s="14">
        <v>0</v>
      </c>
      <c r="X272" s="14">
        <v>0</v>
      </c>
      <c r="Y272" s="14"/>
      <c r="Z272" s="14"/>
      <c r="AA272" s="14"/>
      <c r="AB272" s="14"/>
      <c r="AC272" s="14"/>
      <c r="AD272" s="14"/>
      <c r="AE272" s="14" t="s">
        <v>1199</v>
      </c>
      <c r="AF272" s="14"/>
      <c r="AG272" s="14" t="s">
        <v>1484</v>
      </c>
      <c r="AH272" s="14"/>
      <c r="AI272" s="14"/>
      <c r="AJ272" s="14"/>
      <c r="AK272" s="14"/>
      <c r="AL272" s="14"/>
      <c r="AM272" s="14"/>
      <c r="AN272" s="14" t="s">
        <v>662</v>
      </c>
      <c r="AO272" s="14" t="s">
        <v>1485</v>
      </c>
      <c r="AP272" s="14"/>
      <c r="AQ272" s="14"/>
      <c r="AR272" s="22"/>
      <c r="AS272" s="22" t="s">
        <v>241</v>
      </c>
      <c r="AT272" s="22" t="s">
        <v>890</v>
      </c>
      <c r="AU272" s="25" t="str">
        <f>VLOOKUP(O272,[1]Lookup!A:B,2,FALSE)</f>
        <v>Test-SIT</v>
      </c>
    </row>
    <row r="273" spans="1:47" ht="51.75" customHeight="1" x14ac:dyDescent="0.2">
      <c r="A273" s="27" t="s">
        <v>86</v>
      </c>
      <c r="B273" s="29" t="s">
        <v>931</v>
      </c>
      <c r="C273" s="27" t="s">
        <v>614</v>
      </c>
      <c r="D273" s="22" t="s">
        <v>89</v>
      </c>
      <c r="E273" s="22" t="s">
        <v>729</v>
      </c>
      <c r="F273" s="27"/>
      <c r="G273" s="27" t="s">
        <v>510</v>
      </c>
      <c r="H273" s="27"/>
      <c r="I273" s="27"/>
      <c r="J273" s="14" t="s">
        <v>91</v>
      </c>
      <c r="K273" s="14" t="s">
        <v>59</v>
      </c>
      <c r="L273" s="14" t="s">
        <v>93</v>
      </c>
      <c r="M273" s="14" t="s">
        <v>132</v>
      </c>
      <c r="N273" s="18" t="s">
        <v>30</v>
      </c>
      <c r="O273" s="14" t="s">
        <v>21</v>
      </c>
      <c r="P273" s="19">
        <v>42771.719444444447</v>
      </c>
      <c r="Q273" s="19">
        <v>42788.79791666667</v>
      </c>
      <c r="R273" s="19">
        <v>42788.79791666667</v>
      </c>
      <c r="S273" s="14" t="s">
        <v>139</v>
      </c>
      <c r="T273" s="14" t="s">
        <v>510</v>
      </c>
      <c r="U273" s="14" t="s">
        <v>96</v>
      </c>
      <c r="V273" s="14"/>
      <c r="W273" s="14">
        <v>0</v>
      </c>
      <c r="X273" s="14">
        <v>0</v>
      </c>
      <c r="Y273" s="14"/>
      <c r="Z273" s="14"/>
      <c r="AA273" s="14"/>
      <c r="AB273" s="14"/>
      <c r="AC273" s="14"/>
      <c r="AD273" s="14"/>
      <c r="AE273" s="14" t="s">
        <v>1486</v>
      </c>
      <c r="AF273" s="14" t="s">
        <v>1374</v>
      </c>
      <c r="AG273" s="14" t="s">
        <v>1487</v>
      </c>
      <c r="AH273" s="14"/>
      <c r="AI273" s="14"/>
      <c r="AJ273" s="14"/>
      <c r="AK273" s="14"/>
      <c r="AL273" s="14"/>
      <c r="AM273" s="14"/>
      <c r="AN273" s="14" t="s">
        <v>564</v>
      </c>
      <c r="AO273" s="14" t="s">
        <v>1488</v>
      </c>
      <c r="AP273" s="14"/>
      <c r="AQ273" s="14"/>
      <c r="AR273" s="22"/>
      <c r="AS273" s="22" t="s">
        <v>89</v>
      </c>
      <c r="AT273" s="22" t="s">
        <v>729</v>
      </c>
      <c r="AU273" s="25" t="str">
        <f>VLOOKUP(O273,[1]Lookup!A:B,2,FALSE)</f>
        <v>Test-SIT</v>
      </c>
    </row>
    <row r="274" spans="1:47" ht="51.75" customHeight="1" x14ac:dyDescent="0.2">
      <c r="A274" s="27" t="s">
        <v>86</v>
      </c>
      <c r="B274" s="29" t="s">
        <v>1489</v>
      </c>
      <c r="C274" s="27" t="s">
        <v>1490</v>
      </c>
      <c r="D274" s="22" t="s">
        <v>89</v>
      </c>
      <c r="E274" s="22" t="s">
        <v>193</v>
      </c>
      <c r="F274" s="27"/>
      <c r="G274" s="27" t="s">
        <v>510</v>
      </c>
      <c r="H274" s="27"/>
      <c r="I274" s="27"/>
      <c r="J274" s="14" t="s">
        <v>91</v>
      </c>
      <c r="K274" s="14" t="s">
        <v>59</v>
      </c>
      <c r="L274" s="14" t="s">
        <v>93</v>
      </c>
      <c r="M274" s="14" t="s">
        <v>132</v>
      </c>
      <c r="N274" s="18" t="s">
        <v>30</v>
      </c>
      <c r="O274" s="14" t="s">
        <v>21</v>
      </c>
      <c r="P274" s="19">
        <v>42771.712500000001</v>
      </c>
      <c r="Q274" s="19">
        <v>42788.732638888891</v>
      </c>
      <c r="R274" s="19">
        <v>42788.732638888891</v>
      </c>
      <c r="S274" s="14" t="s">
        <v>139</v>
      </c>
      <c r="T274" s="14" t="s">
        <v>510</v>
      </c>
      <c r="U274" s="14" t="s">
        <v>96</v>
      </c>
      <c r="V274" s="14"/>
      <c r="W274" s="14">
        <v>0</v>
      </c>
      <c r="X274" s="14">
        <v>0</v>
      </c>
      <c r="Y274" s="20" t="s">
        <v>1491</v>
      </c>
      <c r="Z274" s="14"/>
      <c r="AA274" s="14"/>
      <c r="AB274" s="14"/>
      <c r="AC274" s="14"/>
      <c r="AD274" s="14"/>
      <c r="AE274" s="14"/>
      <c r="AF274" s="14" t="s">
        <v>1492</v>
      </c>
      <c r="AG274" s="14" t="s">
        <v>1493</v>
      </c>
      <c r="AH274" s="14"/>
      <c r="AI274" s="14"/>
      <c r="AJ274" s="14"/>
      <c r="AK274" s="14"/>
      <c r="AL274" s="14"/>
      <c r="AM274" s="14"/>
      <c r="AN274" s="14" t="s">
        <v>564</v>
      </c>
      <c r="AO274" s="14" t="s">
        <v>1494</v>
      </c>
      <c r="AP274" s="14" t="s">
        <v>1495</v>
      </c>
      <c r="AQ274" s="14"/>
      <c r="AR274" s="22"/>
      <c r="AS274" s="22" t="s">
        <v>89</v>
      </c>
      <c r="AT274" s="22" t="s">
        <v>193</v>
      </c>
      <c r="AU274" s="25" t="str">
        <f>VLOOKUP(O274,[1]Lookup!A:B,2,FALSE)</f>
        <v>Test-SIT</v>
      </c>
    </row>
    <row r="275" spans="1:47" ht="51.75" customHeight="1" x14ac:dyDescent="0.2">
      <c r="A275" s="27" t="s">
        <v>86</v>
      </c>
      <c r="B275" s="29" t="s">
        <v>1496</v>
      </c>
      <c r="C275" s="27" t="s">
        <v>1497</v>
      </c>
      <c r="D275" s="22" t="s">
        <v>89</v>
      </c>
      <c r="E275" s="22" t="s">
        <v>507</v>
      </c>
      <c r="F275" s="37" t="s">
        <v>1201</v>
      </c>
      <c r="G275" s="37" t="s">
        <v>510</v>
      </c>
      <c r="H275" s="37"/>
      <c r="I275" s="37" t="s">
        <v>609</v>
      </c>
      <c r="J275" s="14" t="s">
        <v>91</v>
      </c>
      <c r="K275" s="14" t="s">
        <v>59</v>
      </c>
      <c r="L275" s="14" t="s">
        <v>93</v>
      </c>
      <c r="M275" s="14" t="s">
        <v>132</v>
      </c>
      <c r="N275" s="18" t="s">
        <v>30</v>
      </c>
      <c r="O275" s="14" t="s">
        <v>21</v>
      </c>
      <c r="P275" s="19">
        <v>42771.670138888891</v>
      </c>
      <c r="Q275" s="19">
        <v>42794.54791666667</v>
      </c>
      <c r="R275" s="19">
        <v>42794.54791666667</v>
      </c>
      <c r="S275" s="14" t="s">
        <v>139</v>
      </c>
      <c r="T275" s="14" t="s">
        <v>510</v>
      </c>
      <c r="U275" s="14" t="s">
        <v>96</v>
      </c>
      <c r="V275" s="14"/>
      <c r="W275" s="14">
        <v>0</v>
      </c>
      <c r="X275" s="14">
        <v>0</v>
      </c>
      <c r="Y275" s="14" t="s">
        <v>1498</v>
      </c>
      <c r="Z275" s="14"/>
      <c r="AA275" s="14"/>
      <c r="AB275" s="14"/>
      <c r="AC275" s="14"/>
      <c r="AD275" s="14"/>
      <c r="AE275" s="14"/>
      <c r="AF275" s="14" t="s">
        <v>1499</v>
      </c>
      <c r="AG275" s="14" t="s">
        <v>1500</v>
      </c>
      <c r="AH275" s="14"/>
      <c r="AI275" s="14"/>
      <c r="AJ275" s="14"/>
      <c r="AK275" s="14"/>
      <c r="AL275" s="14"/>
      <c r="AM275" s="14"/>
      <c r="AN275" s="14" t="s">
        <v>149</v>
      </c>
      <c r="AO275" s="14" t="s">
        <v>605</v>
      </c>
      <c r="AP275" s="14" t="s">
        <v>146</v>
      </c>
      <c r="AQ275" s="14"/>
      <c r="AR275" s="22"/>
      <c r="AS275" s="22" t="s">
        <v>89</v>
      </c>
      <c r="AT275" s="22" t="s">
        <v>507</v>
      </c>
      <c r="AU275" s="25" t="str">
        <f>VLOOKUP(O275,[1]Lookup!A:B,2,FALSE)</f>
        <v>Test-SIT</v>
      </c>
    </row>
    <row r="276" spans="1:47" ht="51.75" customHeight="1" x14ac:dyDescent="0.2">
      <c r="A276" s="27" t="s">
        <v>86</v>
      </c>
      <c r="B276" s="29" t="s">
        <v>1501</v>
      </c>
      <c r="C276" s="27" t="s">
        <v>1502</v>
      </c>
      <c r="D276" s="22" t="s">
        <v>89</v>
      </c>
      <c r="E276" s="22" t="s">
        <v>193</v>
      </c>
      <c r="F276" s="27"/>
      <c r="G276" s="27" t="s">
        <v>660</v>
      </c>
      <c r="H276" s="27"/>
      <c r="I276" s="27"/>
      <c r="J276" s="14" t="s">
        <v>91</v>
      </c>
      <c r="K276" s="14" t="s">
        <v>59</v>
      </c>
      <c r="L276" s="14" t="s">
        <v>93</v>
      </c>
      <c r="M276" s="14" t="s">
        <v>132</v>
      </c>
      <c r="N276" s="18" t="s">
        <v>22</v>
      </c>
      <c r="O276" s="14" t="s">
        <v>19</v>
      </c>
      <c r="P276" s="19">
        <v>42771.616666666669</v>
      </c>
      <c r="Q276" s="19">
        <v>42778.593055555553</v>
      </c>
      <c r="R276" s="19">
        <v>42778.593055555553</v>
      </c>
      <c r="S276" s="14" t="s">
        <v>139</v>
      </c>
      <c r="T276" s="14" t="s">
        <v>660</v>
      </c>
      <c r="U276" s="14" t="s">
        <v>412</v>
      </c>
      <c r="V276" s="14"/>
      <c r="W276" s="14">
        <v>0</v>
      </c>
      <c r="X276" s="14">
        <v>0</v>
      </c>
      <c r="Y276" s="14"/>
      <c r="Z276" s="14"/>
      <c r="AA276" s="14"/>
      <c r="AB276" s="14"/>
      <c r="AC276" s="14"/>
      <c r="AD276" s="14"/>
      <c r="AE276" s="14"/>
      <c r="AF276" s="14" t="s">
        <v>1503</v>
      </c>
      <c r="AG276" s="14" t="s">
        <v>1504</v>
      </c>
      <c r="AH276" s="14"/>
      <c r="AI276" s="14"/>
      <c r="AJ276" s="14"/>
      <c r="AK276" s="14"/>
      <c r="AL276" s="14"/>
      <c r="AM276" s="14"/>
      <c r="AN276" s="14" t="s">
        <v>193</v>
      </c>
      <c r="AO276" s="14" t="s">
        <v>1505</v>
      </c>
      <c r="AP276" s="14"/>
      <c r="AQ276" s="14"/>
      <c r="AR276" s="22"/>
      <c r="AS276" s="22" t="s">
        <v>89</v>
      </c>
      <c r="AT276" s="22" t="s">
        <v>193</v>
      </c>
      <c r="AU276" s="25" t="str">
        <f>VLOOKUP(O276,[1]Lookup!A:B,2,FALSE)</f>
        <v>Test-SIT</v>
      </c>
    </row>
    <row r="277" spans="1:47" ht="51.75" customHeight="1" x14ac:dyDescent="0.2">
      <c r="A277" s="27" t="s">
        <v>86</v>
      </c>
      <c r="B277" s="29" t="s">
        <v>1506</v>
      </c>
      <c r="C277" s="27" t="s">
        <v>1507</v>
      </c>
      <c r="D277" s="22" t="s">
        <v>89</v>
      </c>
      <c r="E277" s="22" t="s">
        <v>193</v>
      </c>
      <c r="F277" s="27"/>
      <c r="G277" s="27" t="s">
        <v>660</v>
      </c>
      <c r="H277" s="27"/>
      <c r="I277" s="27"/>
      <c r="J277" s="14" t="s">
        <v>91</v>
      </c>
      <c r="K277" s="14" t="s">
        <v>59</v>
      </c>
      <c r="L277" s="14" t="s">
        <v>103</v>
      </c>
      <c r="M277" s="14" t="s">
        <v>132</v>
      </c>
      <c r="N277" s="18" t="s">
        <v>21</v>
      </c>
      <c r="O277" s="14" t="s">
        <v>23</v>
      </c>
      <c r="P277" s="19">
        <v>42770.718055555553</v>
      </c>
      <c r="Q277" s="19">
        <v>42778.589583333334</v>
      </c>
      <c r="R277" s="19">
        <v>42777.678472222222</v>
      </c>
      <c r="S277" s="14" t="s">
        <v>139</v>
      </c>
      <c r="T277" s="14" t="s">
        <v>660</v>
      </c>
      <c r="U277" s="14" t="s">
        <v>412</v>
      </c>
      <c r="V277" s="14"/>
      <c r="W277" s="14">
        <v>0</v>
      </c>
      <c r="X277" s="14">
        <v>0</v>
      </c>
      <c r="Y277" s="14"/>
      <c r="Z277" s="14"/>
      <c r="AA277" s="14"/>
      <c r="AB277" s="14"/>
      <c r="AC277" s="14"/>
      <c r="AD277" s="14"/>
      <c r="AE277" s="14"/>
      <c r="AF277" s="14" t="s">
        <v>193</v>
      </c>
      <c r="AG277" s="14" t="s">
        <v>1508</v>
      </c>
      <c r="AH277" s="14"/>
      <c r="AI277" s="14"/>
      <c r="AJ277" s="14"/>
      <c r="AK277" s="14"/>
      <c r="AL277" s="14"/>
      <c r="AM277" s="14"/>
      <c r="AN277" s="14" t="s">
        <v>193</v>
      </c>
      <c r="AO277" s="14" t="s">
        <v>1509</v>
      </c>
      <c r="AP277" s="14"/>
      <c r="AQ277" s="14"/>
      <c r="AR277" s="22"/>
      <c r="AS277" s="22" t="s">
        <v>89</v>
      </c>
      <c r="AT277" s="22" t="s">
        <v>193</v>
      </c>
      <c r="AU277" s="25" t="str">
        <f>VLOOKUP(O277,[1]Lookup!A:B,2,FALSE)</f>
        <v>Test-SIT</v>
      </c>
    </row>
    <row r="278" spans="1:47" ht="51.75" customHeight="1" x14ac:dyDescent="0.2">
      <c r="A278" s="27" t="s">
        <v>86</v>
      </c>
      <c r="B278" s="29" t="s">
        <v>1510</v>
      </c>
      <c r="C278" s="27" t="s">
        <v>1511</v>
      </c>
      <c r="D278" s="22" t="s">
        <v>117</v>
      </c>
      <c r="E278" s="22" t="s">
        <v>381</v>
      </c>
      <c r="F278" s="27"/>
      <c r="G278" s="27" t="s">
        <v>139</v>
      </c>
      <c r="H278" s="27"/>
      <c r="I278" s="27"/>
      <c r="J278" s="14" t="s">
        <v>91</v>
      </c>
      <c r="K278" s="14" t="s">
        <v>59</v>
      </c>
      <c r="L278" s="14" t="s">
        <v>167</v>
      </c>
      <c r="M278" s="14" t="s">
        <v>132</v>
      </c>
      <c r="N278" s="18" t="s">
        <v>23</v>
      </c>
      <c r="O278" s="14" t="s">
        <v>23</v>
      </c>
      <c r="P278" s="19">
        <v>42769.843055555553</v>
      </c>
      <c r="Q278" s="19">
        <v>42773.807638888888</v>
      </c>
      <c r="R278" s="19">
        <v>42773.807638888888</v>
      </c>
      <c r="S278" s="14" t="s">
        <v>139</v>
      </c>
      <c r="T278" s="14" t="s">
        <v>139</v>
      </c>
      <c r="U278" s="14" t="s">
        <v>1512</v>
      </c>
      <c r="V278" s="14"/>
      <c r="W278" s="14">
        <v>0</v>
      </c>
      <c r="X278" s="14">
        <v>0</v>
      </c>
      <c r="Y278" s="14"/>
      <c r="Z278" s="14"/>
      <c r="AA278" s="14"/>
      <c r="AB278" s="14"/>
      <c r="AC278" s="14"/>
      <c r="AD278" s="14"/>
      <c r="AE278" s="14"/>
      <c r="AF278" s="14"/>
      <c r="AG278" s="14" t="s">
        <v>1513</v>
      </c>
      <c r="AH278" s="14"/>
      <c r="AI278" s="14"/>
      <c r="AJ278" s="14"/>
      <c r="AK278" s="14"/>
      <c r="AL278" s="14"/>
      <c r="AM278" s="14"/>
      <c r="AN278" s="14" t="s">
        <v>362</v>
      </c>
      <c r="AO278" s="14" t="s">
        <v>1514</v>
      </c>
      <c r="AP278" s="14"/>
      <c r="AQ278" s="14"/>
      <c r="AR278" s="22"/>
      <c r="AS278" s="22" t="s">
        <v>117</v>
      </c>
      <c r="AT278" s="22" t="s">
        <v>381</v>
      </c>
      <c r="AU278" s="25" t="str">
        <f>VLOOKUP(O278,[1]Lookup!A:B,2,FALSE)</f>
        <v>Test-SIT</v>
      </c>
    </row>
    <row r="279" spans="1:47" ht="51.75" customHeight="1" x14ac:dyDescent="0.2">
      <c r="A279" s="27" t="s">
        <v>86</v>
      </c>
      <c r="B279" s="29" t="s">
        <v>1515</v>
      </c>
      <c r="C279" s="27" t="s">
        <v>1516</v>
      </c>
      <c r="D279" s="22" t="s">
        <v>89</v>
      </c>
      <c r="E279" s="22" t="s">
        <v>193</v>
      </c>
      <c r="F279" s="27"/>
      <c r="G279" s="27" t="s">
        <v>660</v>
      </c>
      <c r="H279" s="27"/>
      <c r="I279" s="27"/>
      <c r="J279" s="14" t="s">
        <v>91</v>
      </c>
      <c r="K279" s="14" t="s">
        <v>59</v>
      </c>
      <c r="L279" s="14" t="s">
        <v>103</v>
      </c>
      <c r="M279" s="14" t="s">
        <v>132</v>
      </c>
      <c r="N279" s="18" t="s">
        <v>22</v>
      </c>
      <c r="O279" s="14" t="s">
        <v>19</v>
      </c>
      <c r="P279" s="19">
        <v>42769.75</v>
      </c>
      <c r="Q279" s="19">
        <v>42778.588888888888</v>
      </c>
      <c r="R279" s="19">
        <v>42778.588888888888</v>
      </c>
      <c r="S279" s="14" t="s">
        <v>139</v>
      </c>
      <c r="T279" s="14" t="s">
        <v>660</v>
      </c>
      <c r="U279" s="14" t="s">
        <v>412</v>
      </c>
      <c r="V279" s="14"/>
      <c r="W279" s="14">
        <v>0</v>
      </c>
      <c r="X279" s="14">
        <v>0</v>
      </c>
      <c r="Y279" s="14"/>
      <c r="Z279" s="14"/>
      <c r="AA279" s="14"/>
      <c r="AB279" s="14"/>
      <c r="AC279" s="14"/>
      <c r="AD279" s="14"/>
      <c r="AE279" s="14"/>
      <c r="AF279" s="14" t="s">
        <v>193</v>
      </c>
      <c r="AG279" s="14" t="s">
        <v>1517</v>
      </c>
      <c r="AH279" s="14"/>
      <c r="AI279" s="14"/>
      <c r="AJ279" s="14"/>
      <c r="AK279" s="14"/>
      <c r="AL279" s="14"/>
      <c r="AM279" s="14"/>
      <c r="AN279" s="14" t="s">
        <v>193</v>
      </c>
      <c r="AO279" s="14" t="s">
        <v>1518</v>
      </c>
      <c r="AP279" s="14"/>
      <c r="AQ279" s="14"/>
      <c r="AR279" s="22"/>
      <c r="AS279" s="22" t="s">
        <v>89</v>
      </c>
      <c r="AT279" s="22" t="s">
        <v>193</v>
      </c>
      <c r="AU279" s="25" t="str">
        <f>VLOOKUP(O279,[1]Lookup!A:B,2,FALSE)</f>
        <v>Test-SIT</v>
      </c>
    </row>
    <row r="280" spans="1:47" ht="51.75" customHeight="1" x14ac:dyDescent="0.2">
      <c r="A280" s="27" t="s">
        <v>86</v>
      </c>
      <c r="B280" s="29" t="s">
        <v>1519</v>
      </c>
      <c r="C280" s="27" t="s">
        <v>1520</v>
      </c>
      <c r="D280" s="22" t="s">
        <v>89</v>
      </c>
      <c r="E280" s="22" t="s">
        <v>692</v>
      </c>
      <c r="F280" s="37" t="s">
        <v>608</v>
      </c>
      <c r="G280" s="37" t="s">
        <v>659</v>
      </c>
      <c r="H280" s="37"/>
      <c r="I280" s="37" t="s">
        <v>609</v>
      </c>
      <c r="J280" s="14" t="s">
        <v>91</v>
      </c>
      <c r="K280" s="14" t="s">
        <v>59</v>
      </c>
      <c r="L280" s="14" t="s">
        <v>93</v>
      </c>
      <c r="M280" s="14" t="s">
        <v>132</v>
      </c>
      <c r="N280" s="18" t="s">
        <v>30</v>
      </c>
      <c r="O280" s="14" t="s">
        <v>21</v>
      </c>
      <c r="P280" s="19">
        <v>42769.72152777778</v>
      </c>
      <c r="Q280" s="19">
        <v>42794.54791666667</v>
      </c>
      <c r="R280" s="19">
        <v>42794.54791666667</v>
      </c>
      <c r="S280" s="14" t="s">
        <v>139</v>
      </c>
      <c r="T280" s="14" t="s">
        <v>659</v>
      </c>
      <c r="U280" s="14" t="s">
        <v>89</v>
      </c>
      <c r="V280" s="28">
        <v>42769</v>
      </c>
      <c r="W280" s="14">
        <v>0</v>
      </c>
      <c r="X280" s="14">
        <v>0</v>
      </c>
      <c r="Y280" s="14"/>
      <c r="Z280" s="14"/>
      <c r="AA280" s="14"/>
      <c r="AB280" s="14"/>
      <c r="AC280" s="14"/>
      <c r="AD280" s="14"/>
      <c r="AE280" s="14"/>
      <c r="AF280" s="14" t="s">
        <v>1521</v>
      </c>
      <c r="AG280" s="14" t="s">
        <v>1522</v>
      </c>
      <c r="AH280" s="14"/>
      <c r="AI280" s="14"/>
      <c r="AJ280" s="14"/>
      <c r="AK280" s="14"/>
      <c r="AL280" s="14"/>
      <c r="AM280" s="14"/>
      <c r="AN280" s="14" t="s">
        <v>1523</v>
      </c>
      <c r="AO280" s="14" t="s">
        <v>605</v>
      </c>
      <c r="AP280" s="14"/>
      <c r="AQ280" s="14"/>
      <c r="AR280" s="22"/>
      <c r="AS280" s="22" t="s">
        <v>89</v>
      </c>
      <c r="AT280" s="22" t="s">
        <v>692</v>
      </c>
      <c r="AU280" s="25" t="str">
        <f>VLOOKUP(O280,[1]Lookup!A:B,2,FALSE)</f>
        <v>Test-SIT</v>
      </c>
    </row>
    <row r="281" spans="1:47" ht="51.75" customHeight="1" x14ac:dyDescent="0.2">
      <c r="A281" s="27" t="s">
        <v>86</v>
      </c>
      <c r="B281" s="29" t="s">
        <v>1524</v>
      </c>
      <c r="C281" s="27" t="s">
        <v>1525</v>
      </c>
      <c r="D281" s="22" t="s">
        <v>229</v>
      </c>
      <c r="E281" s="22" t="s">
        <v>229</v>
      </c>
      <c r="F281" s="37" t="s">
        <v>1464</v>
      </c>
      <c r="G281" s="37" t="s">
        <v>174</v>
      </c>
      <c r="H281" s="37" t="s">
        <v>1464</v>
      </c>
      <c r="I281" s="45" t="s">
        <v>1465</v>
      </c>
      <c r="J281" s="14" t="s">
        <v>91</v>
      </c>
      <c r="K281" s="14" t="s">
        <v>59</v>
      </c>
      <c r="L281" s="14" t="s">
        <v>93</v>
      </c>
      <c r="M281" s="14" t="s">
        <v>132</v>
      </c>
      <c r="N281" s="18" t="s">
        <v>202</v>
      </c>
      <c r="O281" s="14" t="s">
        <v>12</v>
      </c>
      <c r="P281" s="19">
        <v>42769.709027777775</v>
      </c>
      <c r="Q281" s="19">
        <v>42808.615972222222</v>
      </c>
      <c r="R281" s="19">
        <v>42808.615972222222</v>
      </c>
      <c r="S281" s="14" t="s">
        <v>203</v>
      </c>
      <c r="T281" s="14" t="s">
        <v>204</v>
      </c>
      <c r="U281" s="14" t="s">
        <v>89</v>
      </c>
      <c r="V281" s="14"/>
      <c r="W281" s="14">
        <v>0</v>
      </c>
      <c r="X281" s="14">
        <v>0</v>
      </c>
      <c r="Y281" s="14"/>
      <c r="Z281" s="14"/>
      <c r="AA281" s="14"/>
      <c r="AB281" s="14"/>
      <c r="AC281" s="14"/>
      <c r="AD281" s="14"/>
      <c r="AE281" s="14"/>
      <c r="AF281" s="14"/>
      <c r="AG281" s="14" t="s">
        <v>1526</v>
      </c>
      <c r="AH281" s="14"/>
      <c r="AI281" s="14"/>
      <c r="AJ281" s="14"/>
      <c r="AK281" s="14"/>
      <c r="AL281" s="14"/>
      <c r="AM281" s="14"/>
      <c r="AN281" s="14" t="s">
        <v>1527</v>
      </c>
      <c r="AO281" s="14" t="s">
        <v>1528</v>
      </c>
      <c r="AP281" s="14" t="s">
        <v>146</v>
      </c>
      <c r="AQ281" s="14"/>
      <c r="AR281" s="22"/>
      <c r="AS281" s="22" t="s">
        <v>89</v>
      </c>
      <c r="AT281" s="22" t="s">
        <v>1468</v>
      </c>
      <c r="AU281" s="25" t="str">
        <f>VLOOKUP(O281,[1]Lookup!A:B,2,FALSE)</f>
        <v>DMO</v>
      </c>
    </row>
    <row r="282" spans="1:47" ht="51.75" customHeight="1" x14ac:dyDescent="0.2">
      <c r="A282" s="27" t="s">
        <v>86</v>
      </c>
      <c r="B282" s="29" t="s">
        <v>1529</v>
      </c>
      <c r="C282" s="27" t="s">
        <v>1530</v>
      </c>
      <c r="D282" s="22" t="s">
        <v>241</v>
      </c>
      <c r="E282" s="22" t="s">
        <v>166</v>
      </c>
      <c r="F282" s="27"/>
      <c r="G282" s="27" t="s">
        <v>660</v>
      </c>
      <c r="H282" s="27"/>
      <c r="I282" s="27"/>
      <c r="J282" s="14" t="s">
        <v>91</v>
      </c>
      <c r="K282" s="14" t="s">
        <v>59</v>
      </c>
      <c r="L282" s="14" t="s">
        <v>93</v>
      </c>
      <c r="M282" s="14" t="s">
        <v>132</v>
      </c>
      <c r="N282" s="18" t="s">
        <v>22</v>
      </c>
      <c r="O282" s="14" t="s">
        <v>21</v>
      </c>
      <c r="P282" s="19">
        <v>42769.573611111111</v>
      </c>
      <c r="Q282" s="19">
        <v>42778.587500000001</v>
      </c>
      <c r="R282" s="19">
        <v>42778.587500000001</v>
      </c>
      <c r="S282" s="14" t="s">
        <v>139</v>
      </c>
      <c r="T282" s="14" t="s">
        <v>660</v>
      </c>
      <c r="U282" s="14" t="s">
        <v>242</v>
      </c>
      <c r="V282" s="28">
        <v>42770</v>
      </c>
      <c r="W282" s="14">
        <v>0</v>
      </c>
      <c r="X282" s="14">
        <v>0</v>
      </c>
      <c r="Y282" s="14"/>
      <c r="Z282" s="14"/>
      <c r="AA282" s="14"/>
      <c r="AB282" s="14"/>
      <c r="AC282" s="14"/>
      <c r="AD282" s="14"/>
      <c r="AE282" s="14"/>
      <c r="AF282" s="14" t="s">
        <v>1384</v>
      </c>
      <c r="AG282" s="14" t="s">
        <v>1531</v>
      </c>
      <c r="AH282" s="14"/>
      <c r="AI282" s="14"/>
      <c r="AJ282" s="14"/>
      <c r="AK282" s="14"/>
      <c r="AL282" s="14"/>
      <c r="AM282" s="14"/>
      <c r="AN282" s="14" t="s">
        <v>564</v>
      </c>
      <c r="AO282" s="14" t="s">
        <v>1532</v>
      </c>
      <c r="AP282" s="14"/>
      <c r="AQ282" s="14"/>
      <c r="AR282" s="22"/>
      <c r="AS282" s="22" t="s">
        <v>241</v>
      </c>
      <c r="AT282" s="22" t="s">
        <v>166</v>
      </c>
      <c r="AU282" s="25" t="str">
        <f>VLOOKUP(O282,[1]Lookup!A:B,2,FALSE)</f>
        <v>Test-SIT</v>
      </c>
    </row>
    <row r="283" spans="1:47" ht="51.75" customHeight="1" x14ac:dyDescent="0.2">
      <c r="A283" s="27" t="s">
        <v>86</v>
      </c>
      <c r="B283" s="29" t="s">
        <v>1533</v>
      </c>
      <c r="C283" s="27" t="s">
        <v>1534</v>
      </c>
      <c r="D283" s="22" t="s">
        <v>241</v>
      </c>
      <c r="E283" s="22" t="s">
        <v>166</v>
      </c>
      <c r="F283" s="27"/>
      <c r="G283" s="27" t="s">
        <v>660</v>
      </c>
      <c r="H283" s="27"/>
      <c r="I283" s="27"/>
      <c r="J283" s="14" t="s">
        <v>91</v>
      </c>
      <c r="K283" s="14" t="s">
        <v>59</v>
      </c>
      <c r="L283" s="14" t="s">
        <v>93</v>
      </c>
      <c r="M283" s="14" t="s">
        <v>132</v>
      </c>
      <c r="N283" s="18" t="s">
        <v>22</v>
      </c>
      <c r="O283" s="14" t="s">
        <v>21</v>
      </c>
      <c r="P283" s="19">
        <v>42769.570833333331</v>
      </c>
      <c r="Q283" s="19">
        <v>42788.09097222222</v>
      </c>
      <c r="R283" s="19">
        <v>42788.09097222222</v>
      </c>
      <c r="S283" s="14" t="s">
        <v>139</v>
      </c>
      <c r="T283" s="14" t="s">
        <v>660</v>
      </c>
      <c r="U283" s="14" t="s">
        <v>242</v>
      </c>
      <c r="V283" s="28">
        <v>42770</v>
      </c>
      <c r="W283" s="14">
        <v>0</v>
      </c>
      <c r="X283" s="14">
        <v>0</v>
      </c>
      <c r="Y283" s="14"/>
      <c r="Z283" s="14"/>
      <c r="AA283" s="14"/>
      <c r="AB283" s="14"/>
      <c r="AC283" s="14"/>
      <c r="AD283" s="14"/>
      <c r="AE283" s="14"/>
      <c r="AF283" s="14" t="s">
        <v>1535</v>
      </c>
      <c r="AG283" s="14" t="s">
        <v>1536</v>
      </c>
      <c r="AH283" s="14"/>
      <c r="AI283" s="14"/>
      <c r="AJ283" s="14"/>
      <c r="AK283" s="14"/>
      <c r="AL283" s="14"/>
      <c r="AM283" s="14"/>
      <c r="AN283" s="14" t="s">
        <v>564</v>
      </c>
      <c r="AO283" s="14" t="s">
        <v>1537</v>
      </c>
      <c r="AP283" s="14"/>
      <c r="AQ283" s="14"/>
      <c r="AR283" s="22"/>
      <c r="AS283" s="22" t="s">
        <v>241</v>
      </c>
      <c r="AT283" s="22" t="s">
        <v>166</v>
      </c>
      <c r="AU283" s="25" t="str">
        <f>VLOOKUP(O283,[1]Lookup!A:B,2,FALSE)</f>
        <v>Test-SIT</v>
      </c>
    </row>
    <row r="284" spans="1:47" ht="51.75" customHeight="1" x14ac:dyDescent="0.2">
      <c r="A284" s="27" t="s">
        <v>86</v>
      </c>
      <c r="B284" s="29" t="s">
        <v>1538</v>
      </c>
      <c r="C284" s="27" t="s">
        <v>1539</v>
      </c>
      <c r="D284" s="22" t="s">
        <v>89</v>
      </c>
      <c r="E284" s="22" t="s">
        <v>1540</v>
      </c>
      <c r="F284" s="27"/>
      <c r="G284" s="27" t="s">
        <v>660</v>
      </c>
      <c r="H284" s="27"/>
      <c r="I284" s="27"/>
      <c r="J284" s="14" t="s">
        <v>91</v>
      </c>
      <c r="K284" s="14" t="s">
        <v>59</v>
      </c>
      <c r="L284" s="14" t="s">
        <v>93</v>
      </c>
      <c r="M284" s="14" t="s">
        <v>132</v>
      </c>
      <c r="N284" s="18" t="s">
        <v>29</v>
      </c>
      <c r="O284" s="14" t="s">
        <v>4</v>
      </c>
      <c r="P284" s="19">
        <v>42769.495138888888</v>
      </c>
      <c r="Q284" s="19">
        <v>42780.810416666667</v>
      </c>
      <c r="R284" s="19">
        <v>42780.810416666667</v>
      </c>
      <c r="S284" s="14" t="s">
        <v>139</v>
      </c>
      <c r="T284" s="14" t="s">
        <v>660</v>
      </c>
      <c r="U284" s="14" t="s">
        <v>412</v>
      </c>
      <c r="V284" s="28">
        <v>42769</v>
      </c>
      <c r="W284" s="14">
        <v>0</v>
      </c>
      <c r="X284" s="14">
        <v>0</v>
      </c>
      <c r="Y284" s="20" t="s">
        <v>1541</v>
      </c>
      <c r="Z284" s="14"/>
      <c r="AA284" s="14"/>
      <c r="AB284" s="14"/>
      <c r="AC284" s="14"/>
      <c r="AD284" s="14"/>
      <c r="AE284" s="14"/>
      <c r="AF284" s="14"/>
      <c r="AG284" s="14" t="s">
        <v>1542</v>
      </c>
      <c r="AH284" s="14"/>
      <c r="AI284" s="14"/>
      <c r="AJ284" s="14"/>
      <c r="AK284" s="14"/>
      <c r="AL284" s="14"/>
      <c r="AM284" s="14"/>
      <c r="AN284" s="14" t="s">
        <v>477</v>
      </c>
      <c r="AO284" s="14" t="s">
        <v>1543</v>
      </c>
      <c r="AP284" s="14"/>
      <c r="AQ284" s="14"/>
      <c r="AR284" s="22"/>
      <c r="AS284" s="22" t="s">
        <v>89</v>
      </c>
      <c r="AT284" s="22" t="s">
        <v>1540</v>
      </c>
      <c r="AU284" s="25" t="str">
        <f>VLOOKUP(O284,[1]Lookup!A:B,2,FALSE)</f>
        <v>BTS-Deploy</v>
      </c>
    </row>
    <row r="285" spans="1:47" ht="51.75" customHeight="1" x14ac:dyDescent="0.2">
      <c r="A285" s="27" t="s">
        <v>86</v>
      </c>
      <c r="B285" s="29" t="s">
        <v>1544</v>
      </c>
      <c r="C285" s="27" t="s">
        <v>1545</v>
      </c>
      <c r="D285" s="22" t="s">
        <v>117</v>
      </c>
      <c r="E285" s="22" t="s">
        <v>229</v>
      </c>
      <c r="F285" s="27"/>
      <c r="G285" s="27"/>
      <c r="H285" s="27"/>
      <c r="I285" s="27"/>
      <c r="J285" s="14" t="s">
        <v>91</v>
      </c>
      <c r="K285" s="14" t="s">
        <v>59</v>
      </c>
      <c r="L285" s="14" t="s">
        <v>103</v>
      </c>
      <c r="M285" s="14" t="s">
        <v>132</v>
      </c>
      <c r="N285" s="18" t="s">
        <v>24</v>
      </c>
      <c r="O285" s="14" t="s">
        <v>24</v>
      </c>
      <c r="P285" s="19">
        <v>42768.6875</v>
      </c>
      <c r="Q285" s="19">
        <v>42811.447916666664</v>
      </c>
      <c r="R285" s="19">
        <v>42779.455555555556</v>
      </c>
      <c r="S285" s="14" t="s">
        <v>139</v>
      </c>
      <c r="T285" s="14" t="s">
        <v>139</v>
      </c>
      <c r="U285" s="14" t="s">
        <v>1512</v>
      </c>
      <c r="V285" s="14"/>
      <c r="W285" s="14">
        <v>0</v>
      </c>
      <c r="X285" s="14">
        <v>0</v>
      </c>
      <c r="Y285" s="14"/>
      <c r="Z285" s="14"/>
      <c r="AA285" s="14"/>
      <c r="AB285" s="14"/>
      <c r="AC285" s="14"/>
      <c r="AD285" s="14"/>
      <c r="AE285" s="14"/>
      <c r="AF285" s="14" t="s">
        <v>143</v>
      </c>
      <c r="AG285" s="14" t="s">
        <v>1546</v>
      </c>
      <c r="AH285" s="14"/>
      <c r="AI285" s="14"/>
      <c r="AJ285" s="14"/>
      <c r="AK285" s="14"/>
      <c r="AL285" s="14"/>
      <c r="AM285" s="14"/>
      <c r="AN285" s="14" t="s">
        <v>362</v>
      </c>
      <c r="AO285" s="14" t="s">
        <v>1547</v>
      </c>
      <c r="AP285" s="14"/>
      <c r="AQ285" s="14"/>
      <c r="AR285" s="22"/>
      <c r="AS285" s="22" t="s">
        <v>117</v>
      </c>
      <c r="AT285" s="22" t="s">
        <v>229</v>
      </c>
      <c r="AU285" s="25" t="str">
        <f>VLOOKUP(O285,[1]Lookup!A:B,2,FALSE)</f>
        <v>Test-SIT</v>
      </c>
    </row>
    <row r="286" spans="1:47" ht="51.75" customHeight="1" x14ac:dyDescent="0.2">
      <c r="A286" s="27" t="s">
        <v>86</v>
      </c>
      <c r="B286" s="29" t="s">
        <v>1548</v>
      </c>
      <c r="C286" s="27" t="s">
        <v>1549</v>
      </c>
      <c r="D286" s="22" t="s">
        <v>117</v>
      </c>
      <c r="E286" s="22" t="s">
        <v>229</v>
      </c>
      <c r="F286" s="27"/>
      <c r="G286" s="27"/>
      <c r="H286" s="27"/>
      <c r="I286" s="27"/>
      <c r="J286" s="14" t="s">
        <v>91</v>
      </c>
      <c r="K286" s="14" t="s">
        <v>59</v>
      </c>
      <c r="L286" s="14" t="s">
        <v>103</v>
      </c>
      <c r="M286" s="14" t="s">
        <v>132</v>
      </c>
      <c r="N286" s="18" t="s">
        <v>24</v>
      </c>
      <c r="O286" s="14" t="s">
        <v>24</v>
      </c>
      <c r="P286" s="19">
        <v>42767.584722222222</v>
      </c>
      <c r="Q286" s="19">
        <v>42800.620138888888</v>
      </c>
      <c r="R286" s="19">
        <v>42767.697222222225</v>
      </c>
      <c r="S286" s="14" t="s">
        <v>139</v>
      </c>
      <c r="T286" s="14" t="s">
        <v>204</v>
      </c>
      <c r="U286" s="14" t="s">
        <v>117</v>
      </c>
      <c r="V286" s="28">
        <v>42769</v>
      </c>
      <c r="W286" s="14">
        <v>0</v>
      </c>
      <c r="X286" s="14">
        <v>0</v>
      </c>
      <c r="Y286" s="14"/>
      <c r="Z286" s="14"/>
      <c r="AA286" s="14"/>
      <c r="AB286" s="14"/>
      <c r="AC286" s="14"/>
      <c r="AD286" s="14"/>
      <c r="AE286" s="14"/>
      <c r="AF286" s="14" t="s">
        <v>143</v>
      </c>
      <c r="AG286" s="14" t="s">
        <v>1550</v>
      </c>
      <c r="AH286" s="14"/>
      <c r="AI286" s="14"/>
      <c r="AJ286" s="14"/>
      <c r="AK286" s="14"/>
      <c r="AL286" s="14"/>
      <c r="AM286" s="14"/>
      <c r="AN286" s="14" t="s">
        <v>229</v>
      </c>
      <c r="AO286" s="14" t="s">
        <v>386</v>
      </c>
      <c r="AP286" s="14"/>
      <c r="AQ286" s="14"/>
      <c r="AR286" s="22"/>
      <c r="AS286" s="22" t="s">
        <v>117</v>
      </c>
      <c r="AT286" s="22" t="s">
        <v>229</v>
      </c>
      <c r="AU286" s="25" t="str">
        <f>VLOOKUP(O286,[1]Lookup!A:B,2,FALSE)</f>
        <v>Test-SIT</v>
      </c>
    </row>
    <row r="287" spans="1:47" ht="51.75" customHeight="1" x14ac:dyDescent="0.2">
      <c r="A287" s="27" t="s">
        <v>86</v>
      </c>
      <c r="B287" s="29" t="s">
        <v>1551</v>
      </c>
      <c r="C287" s="27" t="s">
        <v>1552</v>
      </c>
      <c r="D287" s="22" t="s">
        <v>117</v>
      </c>
      <c r="E287" s="22" t="s">
        <v>435</v>
      </c>
      <c r="F287" s="27"/>
      <c r="G287" s="27" t="s">
        <v>660</v>
      </c>
      <c r="H287" s="27"/>
      <c r="I287" s="27"/>
      <c r="J287" s="14" t="s">
        <v>91</v>
      </c>
      <c r="K287" s="14" t="s">
        <v>59</v>
      </c>
      <c r="L287" s="14" t="s">
        <v>124</v>
      </c>
      <c r="M287" s="14" t="s">
        <v>132</v>
      </c>
      <c r="N287" s="18" t="s">
        <v>23</v>
      </c>
      <c r="O287" s="14" t="s">
        <v>24</v>
      </c>
      <c r="P287" s="19">
        <v>42767.556944444441</v>
      </c>
      <c r="Q287" s="19">
        <v>42800.615972222222</v>
      </c>
      <c r="R287" s="19">
        <v>42787.578472222223</v>
      </c>
      <c r="S287" s="14" t="s">
        <v>139</v>
      </c>
      <c r="T287" s="14" t="s">
        <v>139</v>
      </c>
      <c r="U287" s="14" t="s">
        <v>1512</v>
      </c>
      <c r="V287" s="28">
        <v>42769</v>
      </c>
      <c r="W287" s="14">
        <v>0</v>
      </c>
      <c r="X287" s="14">
        <v>0</v>
      </c>
      <c r="Y287" s="14"/>
      <c r="Z287" s="14"/>
      <c r="AA287" s="14"/>
      <c r="AB287" s="14"/>
      <c r="AC287" s="14"/>
      <c r="AD287" s="14"/>
      <c r="AE287" s="14"/>
      <c r="AF287" s="14" t="s">
        <v>156</v>
      </c>
      <c r="AG287" s="14" t="s">
        <v>1553</v>
      </c>
      <c r="AH287" s="14"/>
      <c r="AI287" s="14"/>
      <c r="AJ287" s="14"/>
      <c r="AK287" s="14"/>
      <c r="AL287" s="14"/>
      <c r="AM287" s="14"/>
      <c r="AN287" s="14" t="s">
        <v>431</v>
      </c>
      <c r="AO287" s="14"/>
      <c r="AP287" s="14"/>
      <c r="AQ287" s="14"/>
      <c r="AR287" s="22"/>
      <c r="AS287" s="22" t="s">
        <v>117</v>
      </c>
      <c r="AT287" s="22" t="s">
        <v>435</v>
      </c>
      <c r="AU287" s="25" t="str">
        <f>VLOOKUP(O287,[1]Lookup!A:B,2,FALSE)</f>
        <v>Test-SIT</v>
      </c>
    </row>
    <row r="288" spans="1:47" ht="51.75" customHeight="1" x14ac:dyDescent="0.2">
      <c r="A288" s="27" t="s">
        <v>86</v>
      </c>
      <c r="B288" s="29" t="s">
        <v>1554</v>
      </c>
      <c r="C288" s="27" t="s">
        <v>1555</v>
      </c>
      <c r="D288" s="22" t="s">
        <v>89</v>
      </c>
      <c r="E288" s="22" t="s">
        <v>1556</v>
      </c>
      <c r="F288" s="37" t="s">
        <v>608</v>
      </c>
      <c r="G288" s="37" t="s">
        <v>659</v>
      </c>
      <c r="H288" s="37"/>
      <c r="I288" s="37" t="s">
        <v>609</v>
      </c>
      <c r="J288" s="14" t="s">
        <v>91</v>
      </c>
      <c r="K288" s="14" t="s">
        <v>59</v>
      </c>
      <c r="L288" s="14" t="s">
        <v>93</v>
      </c>
      <c r="M288" s="14" t="s">
        <v>132</v>
      </c>
      <c r="N288" s="18" t="s">
        <v>30</v>
      </c>
      <c r="O288" s="14" t="s">
        <v>21</v>
      </c>
      <c r="P288" s="19">
        <v>42766.763194444444</v>
      </c>
      <c r="Q288" s="19">
        <v>42794.731249999997</v>
      </c>
      <c r="R288" s="19">
        <v>42794.731249999997</v>
      </c>
      <c r="S288" s="14" t="s">
        <v>139</v>
      </c>
      <c r="T288" s="14" t="s">
        <v>659</v>
      </c>
      <c r="U288" s="14" t="s">
        <v>89</v>
      </c>
      <c r="V288" s="28">
        <v>42766</v>
      </c>
      <c r="W288" s="14">
        <v>0</v>
      </c>
      <c r="X288" s="14">
        <v>0</v>
      </c>
      <c r="Y288" s="14"/>
      <c r="Z288" s="14"/>
      <c r="AA288" s="14"/>
      <c r="AB288" s="14"/>
      <c r="AC288" s="14"/>
      <c r="AD288" s="14"/>
      <c r="AE288" s="14"/>
      <c r="AF288" s="14"/>
      <c r="AG288" s="14" t="s">
        <v>1557</v>
      </c>
      <c r="AH288" s="14"/>
      <c r="AI288" s="14"/>
      <c r="AJ288" s="14"/>
      <c r="AK288" s="14"/>
      <c r="AL288" s="14"/>
      <c r="AM288" s="14"/>
      <c r="AN288" s="14" t="s">
        <v>1523</v>
      </c>
      <c r="AO288" s="14" t="s">
        <v>1558</v>
      </c>
      <c r="AP288" s="14"/>
      <c r="AQ288" s="14"/>
      <c r="AR288" s="22"/>
      <c r="AS288" s="22" t="s">
        <v>89</v>
      </c>
      <c r="AT288" s="22" t="s">
        <v>1556</v>
      </c>
      <c r="AU288" s="25" t="str">
        <f>VLOOKUP(O288,[1]Lookup!A:B,2,FALSE)</f>
        <v>Test-SIT</v>
      </c>
    </row>
    <row r="289" spans="1:47" ht="51.75" customHeight="1" x14ac:dyDescent="0.2">
      <c r="A289" s="27" t="s">
        <v>86</v>
      </c>
      <c r="B289" s="29" t="s">
        <v>1559</v>
      </c>
      <c r="C289" s="27" t="s">
        <v>1560</v>
      </c>
      <c r="D289" s="22" t="s">
        <v>117</v>
      </c>
      <c r="E289" s="22" t="s">
        <v>229</v>
      </c>
      <c r="F289" s="27"/>
      <c r="G289" s="27" t="s">
        <v>139</v>
      </c>
      <c r="H289" s="27"/>
      <c r="I289" s="27"/>
      <c r="J289" s="14" t="s">
        <v>91</v>
      </c>
      <c r="K289" s="14" t="s">
        <v>59</v>
      </c>
      <c r="L289" s="14" t="s">
        <v>93</v>
      </c>
      <c r="M289" s="14" t="s">
        <v>201</v>
      </c>
      <c r="N289" s="18" t="s">
        <v>24</v>
      </c>
      <c r="O289" s="14" t="s">
        <v>24</v>
      </c>
      <c r="P289" s="19">
        <v>42766.730555555558</v>
      </c>
      <c r="Q289" s="19">
        <v>42800.601388888892</v>
      </c>
      <c r="R289" s="19">
        <v>42768.402083333334</v>
      </c>
      <c r="S289" s="14" t="s">
        <v>139</v>
      </c>
      <c r="T289" s="14" t="s">
        <v>204</v>
      </c>
      <c r="U289" s="14" t="s">
        <v>117</v>
      </c>
      <c r="V289" s="28">
        <v>42737</v>
      </c>
      <c r="W289" s="14">
        <v>0</v>
      </c>
      <c r="X289" s="14">
        <v>0</v>
      </c>
      <c r="Y289" s="14"/>
      <c r="Z289" s="14"/>
      <c r="AA289" s="14"/>
      <c r="AB289" s="14"/>
      <c r="AC289" s="14"/>
      <c r="AD289" s="14"/>
      <c r="AE289" s="14"/>
      <c r="AF289" s="14" t="s">
        <v>143</v>
      </c>
      <c r="AG289" s="14" t="s">
        <v>1561</v>
      </c>
      <c r="AH289" s="14"/>
      <c r="AI289" s="14"/>
      <c r="AJ289" s="14"/>
      <c r="AK289" s="14"/>
      <c r="AL289" s="14"/>
      <c r="AM289" s="14"/>
      <c r="AN289" s="14" t="s">
        <v>229</v>
      </c>
      <c r="AO289" s="14" t="s">
        <v>386</v>
      </c>
      <c r="AP289" s="14"/>
      <c r="AQ289" s="14"/>
      <c r="AR289" s="22"/>
      <c r="AS289" s="22" t="s">
        <v>117</v>
      </c>
      <c r="AT289" s="22" t="s">
        <v>229</v>
      </c>
      <c r="AU289" s="25" t="str">
        <f>VLOOKUP(O289,[1]Lookup!A:B,2,FALSE)</f>
        <v>Test-SIT</v>
      </c>
    </row>
    <row r="290" spans="1:47" ht="51.75" customHeight="1" x14ac:dyDescent="0.2">
      <c r="A290" s="27" t="s">
        <v>86</v>
      </c>
      <c r="B290" s="29" t="s">
        <v>1562</v>
      </c>
      <c r="C290" s="27" t="s">
        <v>1563</v>
      </c>
      <c r="D290" s="22" t="s">
        <v>117</v>
      </c>
      <c r="E290" s="22" t="s">
        <v>229</v>
      </c>
      <c r="F290" s="27"/>
      <c r="G290" s="27"/>
      <c r="H290" s="27"/>
      <c r="I290" s="27"/>
      <c r="J290" s="14" t="s">
        <v>91</v>
      </c>
      <c r="K290" s="14" t="s">
        <v>59</v>
      </c>
      <c r="L290" s="14" t="s">
        <v>103</v>
      </c>
      <c r="M290" s="14" t="s">
        <v>201</v>
      </c>
      <c r="N290" s="18" t="s">
        <v>24</v>
      </c>
      <c r="O290" s="14" t="s">
        <v>24</v>
      </c>
      <c r="P290" s="19">
        <v>42766.637499999997</v>
      </c>
      <c r="Q290" s="19">
        <v>42811.449305555558</v>
      </c>
      <c r="R290" s="19">
        <v>42767.496527777781</v>
      </c>
      <c r="S290" s="14" t="s">
        <v>139</v>
      </c>
      <c r="T290" s="14" t="s">
        <v>204</v>
      </c>
      <c r="U290" s="14" t="s">
        <v>117</v>
      </c>
      <c r="V290" s="14"/>
      <c r="W290" s="14">
        <v>0</v>
      </c>
      <c r="X290" s="14">
        <v>0</v>
      </c>
      <c r="Y290" s="14"/>
      <c r="Z290" s="14"/>
      <c r="AA290" s="14"/>
      <c r="AB290" s="14"/>
      <c r="AC290" s="14"/>
      <c r="AD290" s="14"/>
      <c r="AE290" s="14"/>
      <c r="AF290" s="14" t="s">
        <v>143</v>
      </c>
      <c r="AG290" s="14" t="s">
        <v>1564</v>
      </c>
      <c r="AH290" s="14"/>
      <c r="AI290" s="14"/>
      <c r="AJ290" s="14"/>
      <c r="AK290" s="14"/>
      <c r="AL290" s="14"/>
      <c r="AM290" s="14"/>
      <c r="AN290" s="14" t="s">
        <v>431</v>
      </c>
      <c r="AO290" s="14"/>
      <c r="AP290" s="14"/>
      <c r="AQ290" s="14"/>
      <c r="AR290" s="22"/>
      <c r="AS290" s="22" t="s">
        <v>117</v>
      </c>
      <c r="AT290" s="22" t="s">
        <v>229</v>
      </c>
      <c r="AU290" s="25" t="str">
        <f>VLOOKUP(O290,[1]Lookup!A:B,2,FALSE)</f>
        <v>Test-SIT</v>
      </c>
    </row>
    <row r="291" spans="1:47" ht="51.75" customHeight="1" x14ac:dyDescent="0.2">
      <c r="A291" s="27" t="s">
        <v>86</v>
      </c>
      <c r="B291" s="29" t="s">
        <v>1565</v>
      </c>
      <c r="C291" s="27" t="s">
        <v>1566</v>
      </c>
      <c r="D291" s="22" t="s">
        <v>117</v>
      </c>
      <c r="E291" s="22" t="s">
        <v>550</v>
      </c>
      <c r="F291" s="27"/>
      <c r="G291" s="27"/>
      <c r="H291" s="27"/>
      <c r="I291" s="27"/>
      <c r="J291" s="14" t="s">
        <v>91</v>
      </c>
      <c r="K291" s="14" t="s">
        <v>59</v>
      </c>
      <c r="L291" s="14" t="s">
        <v>103</v>
      </c>
      <c r="M291" s="14" t="s">
        <v>132</v>
      </c>
      <c r="N291" s="18" t="s">
        <v>24</v>
      </c>
      <c r="O291" s="14" t="s">
        <v>24</v>
      </c>
      <c r="P291" s="19">
        <v>42766.401388888888</v>
      </c>
      <c r="Q291" s="19">
        <v>42811.452777777777</v>
      </c>
      <c r="R291" s="19">
        <v>42773.410416666666</v>
      </c>
      <c r="S291" s="14" t="s">
        <v>139</v>
      </c>
      <c r="T291" s="14" t="s">
        <v>139</v>
      </c>
      <c r="U291" s="14" t="s">
        <v>1512</v>
      </c>
      <c r="V291" s="28">
        <v>42768</v>
      </c>
      <c r="W291" s="14">
        <v>0</v>
      </c>
      <c r="X291" s="14">
        <v>0</v>
      </c>
      <c r="Y291" s="14"/>
      <c r="Z291" s="14"/>
      <c r="AA291" s="14"/>
      <c r="AB291" s="14"/>
      <c r="AC291" s="14"/>
      <c r="AD291" s="14"/>
      <c r="AE291" s="14"/>
      <c r="AF291" s="14" t="s">
        <v>143</v>
      </c>
      <c r="AG291" s="14" t="s">
        <v>1567</v>
      </c>
      <c r="AH291" s="14"/>
      <c r="AI291" s="14"/>
      <c r="AJ291" s="14"/>
      <c r="AK291" s="14"/>
      <c r="AL291" s="14"/>
      <c r="AM291" s="14"/>
      <c r="AN291" s="14" t="s">
        <v>362</v>
      </c>
      <c r="AO291" s="14" t="s">
        <v>1568</v>
      </c>
      <c r="AP291" s="14"/>
      <c r="AQ291" s="14"/>
      <c r="AR291" s="22"/>
      <c r="AS291" s="22" t="s">
        <v>117</v>
      </c>
      <c r="AT291" s="22" t="s">
        <v>564</v>
      </c>
      <c r="AU291" s="25" t="str">
        <f>VLOOKUP(O291,[1]Lookup!A:B,2,FALSE)</f>
        <v>Test-SIT</v>
      </c>
    </row>
    <row r="292" spans="1:47" ht="51.75" customHeight="1" x14ac:dyDescent="0.2">
      <c r="A292" s="27" t="s">
        <v>86</v>
      </c>
      <c r="B292" s="29" t="s">
        <v>1569</v>
      </c>
      <c r="C292" s="27" t="s">
        <v>1570</v>
      </c>
      <c r="D292" s="22" t="s">
        <v>117</v>
      </c>
      <c r="E292" s="22" t="s">
        <v>229</v>
      </c>
      <c r="F292" s="27"/>
      <c r="G292" s="27" t="s">
        <v>204</v>
      </c>
      <c r="H292" s="27"/>
      <c r="I292" s="27"/>
      <c r="J292" s="14" t="s">
        <v>91</v>
      </c>
      <c r="K292" s="14" t="s">
        <v>59</v>
      </c>
      <c r="L292" s="14" t="s">
        <v>103</v>
      </c>
      <c r="M292" s="14" t="s">
        <v>132</v>
      </c>
      <c r="N292" s="18" t="s">
        <v>24</v>
      </c>
      <c r="O292" s="14" t="s">
        <v>24</v>
      </c>
      <c r="P292" s="19">
        <v>42766.396527777775</v>
      </c>
      <c r="Q292" s="19">
        <v>42783.421527777777</v>
      </c>
      <c r="R292" s="19">
        <v>42783.421527777777</v>
      </c>
      <c r="S292" s="14" t="s">
        <v>139</v>
      </c>
      <c r="T292" s="14" t="s">
        <v>204</v>
      </c>
      <c r="U292" s="14" t="s">
        <v>117</v>
      </c>
      <c r="V292" s="28">
        <v>42768</v>
      </c>
      <c r="W292" s="14">
        <v>0</v>
      </c>
      <c r="X292" s="14">
        <v>0</v>
      </c>
      <c r="Y292" s="14"/>
      <c r="Z292" s="14"/>
      <c r="AA292" s="14"/>
      <c r="AB292" s="14"/>
      <c r="AC292" s="14"/>
      <c r="AD292" s="14"/>
      <c r="AE292" s="14"/>
      <c r="AF292" s="14" t="s">
        <v>143</v>
      </c>
      <c r="AG292" s="14" t="s">
        <v>1571</v>
      </c>
      <c r="AH292" s="14"/>
      <c r="AI292" s="14"/>
      <c r="AJ292" s="14"/>
      <c r="AK292" s="14"/>
      <c r="AL292" s="14"/>
      <c r="AM292" s="14"/>
      <c r="AN292" s="14" t="s">
        <v>362</v>
      </c>
      <c r="AO292" s="14" t="s">
        <v>1572</v>
      </c>
      <c r="AP292" s="14"/>
      <c r="AQ292" s="14"/>
      <c r="AR292" s="22"/>
      <c r="AS292" s="22" t="s">
        <v>117</v>
      </c>
      <c r="AT292" s="22" t="s">
        <v>229</v>
      </c>
      <c r="AU292" s="25" t="str">
        <f>VLOOKUP(O292,[1]Lookup!A:B,2,FALSE)</f>
        <v>Test-SIT</v>
      </c>
    </row>
    <row r="293" spans="1:47" ht="51.75" customHeight="1" x14ac:dyDescent="0.2">
      <c r="A293" s="27" t="s">
        <v>86</v>
      </c>
      <c r="B293" s="29" t="s">
        <v>1573</v>
      </c>
      <c r="C293" s="27" t="s">
        <v>1574</v>
      </c>
      <c r="D293" s="22" t="s">
        <v>117</v>
      </c>
      <c r="E293" s="22" t="s">
        <v>435</v>
      </c>
      <c r="F293" s="27"/>
      <c r="G293" s="27"/>
      <c r="H293" s="27"/>
      <c r="I293" s="27"/>
      <c r="J293" s="14" t="s">
        <v>91</v>
      </c>
      <c r="K293" s="14" t="s">
        <v>59</v>
      </c>
      <c r="L293" s="14" t="s">
        <v>93</v>
      </c>
      <c r="M293" s="14" t="s">
        <v>201</v>
      </c>
      <c r="N293" s="18" t="s">
        <v>24</v>
      </c>
      <c r="O293" s="14" t="s">
        <v>24</v>
      </c>
      <c r="P293" s="19">
        <v>42766.393750000003</v>
      </c>
      <c r="Q293" s="19">
        <v>42789.549305555556</v>
      </c>
      <c r="R293" s="19">
        <v>42789.549305555556</v>
      </c>
      <c r="S293" s="14" t="s">
        <v>139</v>
      </c>
      <c r="T293" s="14" t="s">
        <v>155</v>
      </c>
      <c r="U293" s="14" t="s">
        <v>117</v>
      </c>
      <c r="V293" s="28">
        <v>42736</v>
      </c>
      <c r="W293" s="14">
        <v>0</v>
      </c>
      <c r="X293" s="14">
        <v>0</v>
      </c>
      <c r="Y293" s="14"/>
      <c r="Z293" s="14"/>
      <c r="AA293" s="14"/>
      <c r="AB293" s="14"/>
      <c r="AC293" s="14"/>
      <c r="AD293" s="14"/>
      <c r="AE293" s="14"/>
      <c r="AF293" s="14" t="s">
        <v>143</v>
      </c>
      <c r="AG293" s="14" t="s">
        <v>1575</v>
      </c>
      <c r="AH293" s="14"/>
      <c r="AI293" s="14"/>
      <c r="AJ293" s="14"/>
      <c r="AK293" s="14"/>
      <c r="AL293" s="14"/>
      <c r="AM293" s="14"/>
      <c r="AN293" s="14" t="s">
        <v>431</v>
      </c>
      <c r="AO293" s="14" t="s">
        <v>1576</v>
      </c>
      <c r="AP293" s="14"/>
      <c r="AQ293" s="14"/>
      <c r="AR293" s="22"/>
      <c r="AS293" s="22" t="s">
        <v>117</v>
      </c>
      <c r="AT293" s="22" t="s">
        <v>435</v>
      </c>
      <c r="AU293" s="25" t="str">
        <f>VLOOKUP(O293,[1]Lookup!A:B,2,FALSE)</f>
        <v>Test-SIT</v>
      </c>
    </row>
    <row r="294" spans="1:47" ht="51.75" customHeight="1" x14ac:dyDescent="0.2">
      <c r="A294" s="27" t="s">
        <v>86</v>
      </c>
      <c r="B294" s="29" t="s">
        <v>1577</v>
      </c>
      <c r="C294" s="27" t="s">
        <v>1578</v>
      </c>
      <c r="D294" s="22" t="s">
        <v>96</v>
      </c>
      <c r="E294" s="22" t="s">
        <v>166</v>
      </c>
      <c r="F294" s="27"/>
      <c r="G294" s="27" t="s">
        <v>139</v>
      </c>
      <c r="H294" s="27"/>
      <c r="I294" s="27"/>
      <c r="J294" s="14" t="s">
        <v>91</v>
      </c>
      <c r="K294" s="14" t="s">
        <v>59</v>
      </c>
      <c r="L294" s="14" t="s">
        <v>93</v>
      </c>
      <c r="M294" s="14" t="s">
        <v>132</v>
      </c>
      <c r="N294" s="18" t="s">
        <v>21</v>
      </c>
      <c r="O294" s="14" t="s">
        <v>21</v>
      </c>
      <c r="P294" s="19">
        <v>42766.366666666669</v>
      </c>
      <c r="Q294" s="19">
        <v>42772.518750000003</v>
      </c>
      <c r="R294" s="19">
        <v>42771.620833333334</v>
      </c>
      <c r="S294" s="14" t="s">
        <v>139</v>
      </c>
      <c r="T294" s="14" t="s">
        <v>139</v>
      </c>
      <c r="U294" s="14" t="s">
        <v>96</v>
      </c>
      <c r="V294" s="28">
        <v>42767</v>
      </c>
      <c r="W294" s="14">
        <v>0</v>
      </c>
      <c r="X294" s="14">
        <v>0</v>
      </c>
      <c r="Y294" s="14"/>
      <c r="Z294" s="14"/>
      <c r="AA294" s="14"/>
      <c r="AB294" s="14"/>
      <c r="AC294" s="14"/>
      <c r="AD294" s="14"/>
      <c r="AE294" s="14"/>
      <c r="AF294" s="14" t="s">
        <v>1579</v>
      </c>
      <c r="AG294" s="14" t="s">
        <v>1580</v>
      </c>
      <c r="AH294" s="14"/>
      <c r="AI294" s="14"/>
      <c r="AJ294" s="14"/>
      <c r="AK294" s="14"/>
      <c r="AL294" s="14"/>
      <c r="AM294" s="14"/>
      <c r="AN294" s="14" t="s">
        <v>235</v>
      </c>
      <c r="AO294" s="14" t="s">
        <v>1581</v>
      </c>
      <c r="AP294" s="14" t="s">
        <v>779</v>
      </c>
      <c r="AQ294" s="14"/>
      <c r="AR294" s="22"/>
      <c r="AS294" s="22" t="s">
        <v>96</v>
      </c>
      <c r="AT294" s="22" t="s">
        <v>959</v>
      </c>
      <c r="AU294" s="25" t="str">
        <f>VLOOKUP(O294,[1]Lookup!A:B,2,FALSE)</f>
        <v>Test-SIT</v>
      </c>
    </row>
    <row r="295" spans="1:47" ht="51.75" customHeight="1" x14ac:dyDescent="0.2">
      <c r="A295" s="27" t="s">
        <v>86</v>
      </c>
      <c r="B295" s="29" t="s">
        <v>1582</v>
      </c>
      <c r="C295" s="27" t="s">
        <v>1583</v>
      </c>
      <c r="D295" s="22" t="s">
        <v>96</v>
      </c>
      <c r="E295" s="22" t="s">
        <v>166</v>
      </c>
      <c r="F295" s="27"/>
      <c r="G295" s="27" t="s">
        <v>139</v>
      </c>
      <c r="H295" s="27"/>
      <c r="I295" s="27"/>
      <c r="J295" s="14" t="s">
        <v>91</v>
      </c>
      <c r="K295" s="14" t="s">
        <v>59</v>
      </c>
      <c r="L295" s="14" t="s">
        <v>93</v>
      </c>
      <c r="M295" s="14" t="s">
        <v>132</v>
      </c>
      <c r="N295" s="18" t="s">
        <v>21</v>
      </c>
      <c r="O295" s="14" t="s">
        <v>21</v>
      </c>
      <c r="P295" s="19">
        <v>42766.356944444444</v>
      </c>
      <c r="Q295" s="19">
        <v>42772.518750000003</v>
      </c>
      <c r="R295" s="19">
        <v>42771.620833333334</v>
      </c>
      <c r="S295" s="14" t="s">
        <v>139</v>
      </c>
      <c r="T295" s="14" t="s">
        <v>139</v>
      </c>
      <c r="U295" s="14" t="s">
        <v>96</v>
      </c>
      <c r="V295" s="28">
        <v>42767</v>
      </c>
      <c r="W295" s="14">
        <v>0</v>
      </c>
      <c r="X295" s="14">
        <v>0</v>
      </c>
      <c r="Y295" s="14"/>
      <c r="Z295" s="14"/>
      <c r="AA295" s="14"/>
      <c r="AB295" s="14"/>
      <c r="AC295" s="14"/>
      <c r="AD295" s="14"/>
      <c r="AE295" s="14"/>
      <c r="AF295" s="14" t="s">
        <v>1584</v>
      </c>
      <c r="AG295" s="14" t="s">
        <v>1585</v>
      </c>
      <c r="AH295" s="14"/>
      <c r="AI295" s="14"/>
      <c r="AJ295" s="14"/>
      <c r="AK295" s="14"/>
      <c r="AL295" s="14"/>
      <c r="AM295" s="14"/>
      <c r="AN295" s="14" t="s">
        <v>235</v>
      </c>
      <c r="AO295" s="14" t="s">
        <v>1581</v>
      </c>
      <c r="AP295" s="14" t="s">
        <v>146</v>
      </c>
      <c r="AQ295" s="14"/>
      <c r="AR295" s="22"/>
      <c r="AS295" s="22" t="s">
        <v>96</v>
      </c>
      <c r="AT295" s="22" t="s">
        <v>959</v>
      </c>
      <c r="AU295" s="25" t="str">
        <f>VLOOKUP(O295,[1]Lookup!A:B,2,FALSE)</f>
        <v>Test-SIT</v>
      </c>
    </row>
    <row r="296" spans="1:47" ht="51.75" customHeight="1" x14ac:dyDescent="0.2">
      <c r="A296" s="27" t="s">
        <v>86</v>
      </c>
      <c r="B296" s="29" t="s">
        <v>1586</v>
      </c>
      <c r="C296" s="27" t="s">
        <v>1587</v>
      </c>
      <c r="D296" s="22" t="s">
        <v>96</v>
      </c>
      <c r="E296" s="22" t="s">
        <v>166</v>
      </c>
      <c r="F296" s="27"/>
      <c r="G296" s="27" t="s">
        <v>139</v>
      </c>
      <c r="H296" s="27"/>
      <c r="I296" s="27"/>
      <c r="J296" s="14" t="s">
        <v>91</v>
      </c>
      <c r="K296" s="14" t="s">
        <v>59</v>
      </c>
      <c r="L296" s="14" t="s">
        <v>93</v>
      </c>
      <c r="M296" s="14" t="s">
        <v>132</v>
      </c>
      <c r="N296" s="18" t="s">
        <v>21</v>
      </c>
      <c r="O296" s="14" t="s">
        <v>21</v>
      </c>
      <c r="P296" s="19">
        <v>42766.354166666664</v>
      </c>
      <c r="Q296" s="19">
        <v>42772.519444444442</v>
      </c>
      <c r="R296" s="19">
        <v>42771.620138888888</v>
      </c>
      <c r="S296" s="14" t="s">
        <v>139</v>
      </c>
      <c r="T296" s="14" t="s">
        <v>139</v>
      </c>
      <c r="U296" s="14" t="s">
        <v>96</v>
      </c>
      <c r="V296" s="28">
        <v>42767</v>
      </c>
      <c r="W296" s="14">
        <v>0</v>
      </c>
      <c r="X296" s="14">
        <v>0</v>
      </c>
      <c r="Y296" s="14"/>
      <c r="Z296" s="14"/>
      <c r="AA296" s="14"/>
      <c r="AB296" s="14"/>
      <c r="AC296" s="14"/>
      <c r="AD296" s="14"/>
      <c r="AE296" s="14"/>
      <c r="AF296" s="14" t="s">
        <v>1588</v>
      </c>
      <c r="AG296" s="14" t="s">
        <v>1589</v>
      </c>
      <c r="AH296" s="14"/>
      <c r="AI296" s="14"/>
      <c r="AJ296" s="14"/>
      <c r="AK296" s="14"/>
      <c r="AL296" s="14"/>
      <c r="AM296" s="14"/>
      <c r="AN296" s="14" t="s">
        <v>235</v>
      </c>
      <c r="AO296" s="14" t="s">
        <v>1581</v>
      </c>
      <c r="AP296" s="14" t="s">
        <v>146</v>
      </c>
      <c r="AQ296" s="14"/>
      <c r="AR296" s="22"/>
      <c r="AS296" s="22" t="s">
        <v>96</v>
      </c>
      <c r="AT296" s="22" t="s">
        <v>959</v>
      </c>
      <c r="AU296" s="25" t="str">
        <f>VLOOKUP(O296,[1]Lookup!A:B,2,FALSE)</f>
        <v>Test-SIT</v>
      </c>
    </row>
    <row r="297" spans="1:47" ht="51.75" customHeight="1" x14ac:dyDescent="0.2">
      <c r="A297" s="27" t="s">
        <v>86</v>
      </c>
      <c r="B297" s="29" t="s">
        <v>1590</v>
      </c>
      <c r="C297" s="27" t="s">
        <v>1591</v>
      </c>
      <c r="D297" s="22" t="s">
        <v>96</v>
      </c>
      <c r="E297" s="22" t="s">
        <v>166</v>
      </c>
      <c r="F297" s="27"/>
      <c r="G297" s="27" t="s">
        <v>139</v>
      </c>
      <c r="H297" s="27"/>
      <c r="I297" s="27"/>
      <c r="J297" s="14" t="s">
        <v>91</v>
      </c>
      <c r="K297" s="14" t="s">
        <v>59</v>
      </c>
      <c r="L297" s="14" t="s">
        <v>93</v>
      </c>
      <c r="M297" s="14" t="s">
        <v>132</v>
      </c>
      <c r="N297" s="18" t="s">
        <v>21</v>
      </c>
      <c r="O297" s="14" t="s">
        <v>21</v>
      </c>
      <c r="P297" s="19">
        <v>42766.350694444445</v>
      </c>
      <c r="Q297" s="19">
        <v>42771.680555555555</v>
      </c>
      <c r="R297" s="19">
        <v>42771.680555555555</v>
      </c>
      <c r="S297" s="14" t="s">
        <v>139</v>
      </c>
      <c r="T297" s="14" t="s">
        <v>139</v>
      </c>
      <c r="U297" s="14" t="s">
        <v>242</v>
      </c>
      <c r="V297" s="28">
        <v>42767</v>
      </c>
      <c r="W297" s="14">
        <v>0</v>
      </c>
      <c r="X297" s="14">
        <v>0</v>
      </c>
      <c r="Y297" s="14"/>
      <c r="Z297" s="14"/>
      <c r="AA297" s="14"/>
      <c r="AB297" s="14"/>
      <c r="AC297" s="14"/>
      <c r="AD297" s="14"/>
      <c r="AE297" s="14"/>
      <c r="AF297" s="14" t="s">
        <v>1592</v>
      </c>
      <c r="AG297" s="14" t="s">
        <v>1593</v>
      </c>
      <c r="AH297" s="14"/>
      <c r="AI297" s="14"/>
      <c r="AJ297" s="14"/>
      <c r="AK297" s="14"/>
      <c r="AL297" s="14"/>
      <c r="AM297" s="14"/>
      <c r="AN297" s="14" t="s">
        <v>235</v>
      </c>
      <c r="AO297" s="14" t="s">
        <v>1594</v>
      </c>
      <c r="AP297" s="14" t="s">
        <v>146</v>
      </c>
      <c r="AQ297" s="14"/>
      <c r="AR297" s="22"/>
      <c r="AS297" s="22" t="s">
        <v>96</v>
      </c>
      <c r="AT297" s="22" t="s">
        <v>959</v>
      </c>
      <c r="AU297" s="25" t="str">
        <f>VLOOKUP(O297,[1]Lookup!A:B,2,FALSE)</f>
        <v>Test-SIT</v>
      </c>
    </row>
    <row r="298" spans="1:47" ht="51.75" customHeight="1" x14ac:dyDescent="0.2">
      <c r="A298" s="27" t="s">
        <v>86</v>
      </c>
      <c r="B298" s="29" t="s">
        <v>1595</v>
      </c>
      <c r="C298" s="27" t="s">
        <v>1596</v>
      </c>
      <c r="D298" s="22" t="s">
        <v>96</v>
      </c>
      <c r="E298" s="22" t="s">
        <v>166</v>
      </c>
      <c r="F298" s="27"/>
      <c r="G298" s="27"/>
      <c r="H298" s="27"/>
      <c r="I298" s="27"/>
      <c r="J298" s="14" t="s">
        <v>91</v>
      </c>
      <c r="K298" s="14" t="s">
        <v>59</v>
      </c>
      <c r="L298" s="14" t="s">
        <v>93</v>
      </c>
      <c r="M298" s="14" t="s">
        <v>132</v>
      </c>
      <c r="N298" s="18" t="s">
        <v>21</v>
      </c>
      <c r="O298" s="14" t="s">
        <v>21</v>
      </c>
      <c r="P298" s="19">
        <v>42764.700694444444</v>
      </c>
      <c r="Q298" s="19">
        <v>42770.773611111108</v>
      </c>
      <c r="R298" s="19">
        <v>42770.68472222222</v>
      </c>
      <c r="S298" s="14" t="s">
        <v>139</v>
      </c>
      <c r="T298" s="14"/>
      <c r="U298" s="14" t="s">
        <v>242</v>
      </c>
      <c r="V298" s="28">
        <v>42766</v>
      </c>
      <c r="W298" s="14">
        <v>0</v>
      </c>
      <c r="X298" s="14">
        <v>0</v>
      </c>
      <c r="Y298" s="14"/>
      <c r="Z298" s="14"/>
      <c r="AA298" s="14"/>
      <c r="AB298" s="14"/>
      <c r="AC298" s="14"/>
      <c r="AD298" s="14"/>
      <c r="AE298" s="14" t="s">
        <v>1597</v>
      </c>
      <c r="AF298" s="14" t="s">
        <v>1598</v>
      </c>
      <c r="AG298" s="14" t="s">
        <v>1599</v>
      </c>
      <c r="AH298" s="14"/>
      <c r="AI298" s="14"/>
      <c r="AJ298" s="14"/>
      <c r="AK298" s="14"/>
      <c r="AL298" s="14"/>
      <c r="AM298" s="14"/>
      <c r="AN298" s="14" t="s">
        <v>235</v>
      </c>
      <c r="AO298" s="14" t="s">
        <v>1594</v>
      </c>
      <c r="AP298" s="14" t="s">
        <v>250</v>
      </c>
      <c r="AQ298" s="14"/>
      <c r="AR298" s="22"/>
      <c r="AS298" s="22" t="s">
        <v>96</v>
      </c>
      <c r="AT298" s="22" t="s">
        <v>959</v>
      </c>
      <c r="AU298" s="25" t="str">
        <f>VLOOKUP(O298,[1]Lookup!A:B,2,FALSE)</f>
        <v>Test-SIT</v>
      </c>
    </row>
    <row r="299" spans="1:47" ht="51.75" customHeight="1" x14ac:dyDescent="0.2">
      <c r="A299" s="27" t="s">
        <v>86</v>
      </c>
      <c r="B299" s="29" t="s">
        <v>1597</v>
      </c>
      <c r="C299" s="27" t="s">
        <v>1600</v>
      </c>
      <c r="D299" s="22" t="s">
        <v>96</v>
      </c>
      <c r="E299" s="22" t="s">
        <v>166</v>
      </c>
      <c r="F299" s="27"/>
      <c r="G299" s="27" t="s">
        <v>139</v>
      </c>
      <c r="H299" s="27"/>
      <c r="I299" s="27"/>
      <c r="J299" s="14" t="s">
        <v>91</v>
      </c>
      <c r="K299" s="14" t="s">
        <v>59</v>
      </c>
      <c r="L299" s="14" t="s">
        <v>93</v>
      </c>
      <c r="M299" s="14" t="s">
        <v>132</v>
      </c>
      <c r="N299" s="18" t="s">
        <v>21</v>
      </c>
      <c r="O299" s="14" t="s">
        <v>21</v>
      </c>
      <c r="P299" s="19">
        <v>42764.7</v>
      </c>
      <c r="Q299" s="19">
        <v>42771.627083333333</v>
      </c>
      <c r="R299" s="19">
        <v>42771.627083333333</v>
      </c>
      <c r="S299" s="14" t="s">
        <v>139</v>
      </c>
      <c r="T299" s="14" t="s">
        <v>139</v>
      </c>
      <c r="U299" s="14" t="s">
        <v>242</v>
      </c>
      <c r="V299" s="28">
        <v>42767</v>
      </c>
      <c r="W299" s="14">
        <v>0</v>
      </c>
      <c r="X299" s="14">
        <v>0</v>
      </c>
      <c r="Y299" s="14"/>
      <c r="Z299" s="14"/>
      <c r="AA299" s="14"/>
      <c r="AB299" s="14"/>
      <c r="AC299" s="14"/>
      <c r="AD299" s="14"/>
      <c r="AE299" s="14" t="s">
        <v>1595</v>
      </c>
      <c r="AF299" s="14" t="s">
        <v>1598</v>
      </c>
      <c r="AG299" s="14" t="s">
        <v>1601</v>
      </c>
      <c r="AH299" s="14"/>
      <c r="AI299" s="14"/>
      <c r="AJ299" s="14"/>
      <c r="AK299" s="14"/>
      <c r="AL299" s="14"/>
      <c r="AM299" s="14"/>
      <c r="AN299" s="14" t="s">
        <v>235</v>
      </c>
      <c r="AO299" s="14" t="s">
        <v>1594</v>
      </c>
      <c r="AP299" s="14" t="s">
        <v>250</v>
      </c>
      <c r="AQ299" s="14"/>
      <c r="AR299" s="22"/>
      <c r="AS299" s="22" t="s">
        <v>96</v>
      </c>
      <c r="AT299" s="22" t="s">
        <v>959</v>
      </c>
      <c r="AU299" s="25" t="str">
        <f>VLOOKUP(O299,[1]Lookup!A:B,2,FALSE)</f>
        <v>Test-SIT</v>
      </c>
    </row>
    <row r="300" spans="1:47" ht="51.75" customHeight="1" x14ac:dyDescent="0.2">
      <c r="A300" s="27" t="s">
        <v>86</v>
      </c>
      <c r="B300" s="29" t="s">
        <v>1602</v>
      </c>
      <c r="C300" s="27" t="s">
        <v>1603</v>
      </c>
      <c r="D300" s="22" t="s">
        <v>89</v>
      </c>
      <c r="E300" s="22" t="s">
        <v>1556</v>
      </c>
      <c r="F300" s="37" t="s">
        <v>608</v>
      </c>
      <c r="G300" s="37" t="s">
        <v>659</v>
      </c>
      <c r="H300" s="37"/>
      <c r="I300" s="37" t="s">
        <v>609</v>
      </c>
      <c r="J300" s="14" t="s">
        <v>91</v>
      </c>
      <c r="K300" s="14" t="s">
        <v>59</v>
      </c>
      <c r="L300" s="14" t="s">
        <v>93</v>
      </c>
      <c r="M300" s="14" t="s">
        <v>132</v>
      </c>
      <c r="N300" s="18" t="s">
        <v>30</v>
      </c>
      <c r="O300" s="14" t="s">
        <v>21</v>
      </c>
      <c r="P300" s="19">
        <v>42763.790277777778</v>
      </c>
      <c r="Q300" s="19">
        <v>42794.54791666667</v>
      </c>
      <c r="R300" s="19">
        <v>42794.54791666667</v>
      </c>
      <c r="S300" s="14" t="s">
        <v>139</v>
      </c>
      <c r="T300" s="14" t="s">
        <v>659</v>
      </c>
      <c r="U300" s="14" t="s">
        <v>89</v>
      </c>
      <c r="V300" s="28">
        <v>42764</v>
      </c>
      <c r="W300" s="14">
        <v>0</v>
      </c>
      <c r="X300" s="14">
        <v>0</v>
      </c>
      <c r="Y300" s="14"/>
      <c r="Z300" s="14"/>
      <c r="AA300" s="14"/>
      <c r="AB300" s="14"/>
      <c r="AC300" s="14"/>
      <c r="AD300" s="14"/>
      <c r="AE300" s="14"/>
      <c r="AF300" s="14" t="s">
        <v>1604</v>
      </c>
      <c r="AG300" s="14" t="s">
        <v>1605</v>
      </c>
      <c r="AH300" s="14"/>
      <c r="AI300" s="14"/>
      <c r="AJ300" s="14"/>
      <c r="AK300" s="14"/>
      <c r="AL300" s="14"/>
      <c r="AM300" s="14"/>
      <c r="AN300" s="14" t="s">
        <v>1606</v>
      </c>
      <c r="AO300" s="14" t="s">
        <v>605</v>
      </c>
      <c r="AP300" s="14" t="s">
        <v>779</v>
      </c>
      <c r="AQ300" s="14"/>
      <c r="AR300" s="22"/>
      <c r="AS300" s="22" t="s">
        <v>89</v>
      </c>
      <c r="AT300" s="22" t="s">
        <v>1556</v>
      </c>
      <c r="AU300" s="25" t="str">
        <f>VLOOKUP(O300,[1]Lookup!A:B,2,FALSE)</f>
        <v>Test-SIT</v>
      </c>
    </row>
    <row r="301" spans="1:47" ht="51.75" customHeight="1" x14ac:dyDescent="0.2">
      <c r="A301" s="27" t="s">
        <v>86</v>
      </c>
      <c r="B301" s="29" t="s">
        <v>1607</v>
      </c>
      <c r="C301" s="27" t="s">
        <v>1608</v>
      </c>
      <c r="D301" s="22" t="s">
        <v>89</v>
      </c>
      <c r="E301" s="22" t="s">
        <v>1556</v>
      </c>
      <c r="F301" s="37" t="s">
        <v>608</v>
      </c>
      <c r="G301" s="37" t="s">
        <v>659</v>
      </c>
      <c r="H301" s="37"/>
      <c r="I301" s="37" t="s">
        <v>609</v>
      </c>
      <c r="J301" s="14" t="s">
        <v>91</v>
      </c>
      <c r="K301" s="14" t="s">
        <v>59</v>
      </c>
      <c r="L301" s="14" t="s">
        <v>93</v>
      </c>
      <c r="M301" s="14" t="s">
        <v>132</v>
      </c>
      <c r="N301" s="18" t="s">
        <v>30</v>
      </c>
      <c r="O301" s="14" t="s">
        <v>21</v>
      </c>
      <c r="P301" s="19">
        <v>42763.786805555559</v>
      </c>
      <c r="Q301" s="19">
        <v>42794.548611111109</v>
      </c>
      <c r="R301" s="19">
        <v>42794.548611111109</v>
      </c>
      <c r="S301" s="14" t="s">
        <v>139</v>
      </c>
      <c r="T301" s="14" t="s">
        <v>659</v>
      </c>
      <c r="U301" s="14" t="s">
        <v>89</v>
      </c>
      <c r="V301" s="28">
        <v>42764</v>
      </c>
      <c r="W301" s="14">
        <v>0</v>
      </c>
      <c r="X301" s="14">
        <v>0</v>
      </c>
      <c r="Y301" s="14"/>
      <c r="Z301" s="14"/>
      <c r="AA301" s="14"/>
      <c r="AB301" s="14"/>
      <c r="AC301" s="14"/>
      <c r="AD301" s="14"/>
      <c r="AE301" s="14"/>
      <c r="AF301" s="14" t="s">
        <v>1609</v>
      </c>
      <c r="AG301" s="14" t="s">
        <v>1610</v>
      </c>
      <c r="AH301" s="14"/>
      <c r="AI301" s="14"/>
      <c r="AJ301" s="14"/>
      <c r="AK301" s="14"/>
      <c r="AL301" s="14"/>
      <c r="AM301" s="14"/>
      <c r="AN301" s="14" t="s">
        <v>1606</v>
      </c>
      <c r="AO301" s="14" t="s">
        <v>605</v>
      </c>
      <c r="AP301" s="14" t="s">
        <v>146</v>
      </c>
      <c r="AQ301" s="14"/>
      <c r="AR301" s="22"/>
      <c r="AS301" s="22" t="s">
        <v>89</v>
      </c>
      <c r="AT301" s="22" t="s">
        <v>1556</v>
      </c>
      <c r="AU301" s="25" t="str">
        <f>VLOOKUP(O301,[1]Lookup!A:B,2,FALSE)</f>
        <v>Test-SIT</v>
      </c>
    </row>
    <row r="302" spans="1:47" ht="51.75" customHeight="1" x14ac:dyDescent="0.2">
      <c r="A302" s="27" t="s">
        <v>86</v>
      </c>
      <c r="B302" s="29" t="s">
        <v>1611</v>
      </c>
      <c r="C302" s="27" t="s">
        <v>1612</v>
      </c>
      <c r="D302" s="22" t="s">
        <v>241</v>
      </c>
      <c r="E302" s="22" t="s">
        <v>1262</v>
      </c>
      <c r="F302" s="27"/>
      <c r="G302" s="27" t="s">
        <v>139</v>
      </c>
      <c r="H302" s="27"/>
      <c r="I302" s="27"/>
      <c r="J302" s="14" t="s">
        <v>91</v>
      </c>
      <c r="K302" s="14" t="s">
        <v>59</v>
      </c>
      <c r="L302" s="14" t="s">
        <v>93</v>
      </c>
      <c r="M302" s="14" t="s">
        <v>132</v>
      </c>
      <c r="N302" s="18" t="s">
        <v>21</v>
      </c>
      <c r="O302" s="14" t="s">
        <v>21</v>
      </c>
      <c r="P302" s="19">
        <v>42761.711111111108</v>
      </c>
      <c r="Q302" s="19">
        <v>42771.627083333333</v>
      </c>
      <c r="R302" s="19">
        <v>42766.630555555559</v>
      </c>
      <c r="S302" s="14" t="s">
        <v>518</v>
      </c>
      <c r="T302" s="14" t="s">
        <v>139</v>
      </c>
      <c r="U302" s="14" t="s">
        <v>241</v>
      </c>
      <c r="V302" s="14"/>
      <c r="W302" s="14">
        <v>0</v>
      </c>
      <c r="X302" s="14">
        <v>0</v>
      </c>
      <c r="Y302" s="14"/>
      <c r="Z302" s="14"/>
      <c r="AA302" s="14"/>
      <c r="AB302" s="14"/>
      <c r="AC302" s="14"/>
      <c r="AD302" s="14"/>
      <c r="AE302" s="14"/>
      <c r="AF302" s="14" t="s">
        <v>1613</v>
      </c>
      <c r="AG302" s="14" t="s">
        <v>1614</v>
      </c>
      <c r="AH302" s="14"/>
      <c r="AI302" s="14"/>
      <c r="AJ302" s="14"/>
      <c r="AK302" s="14"/>
      <c r="AL302" s="14"/>
      <c r="AM302" s="14"/>
      <c r="AN302" s="14" t="s">
        <v>123</v>
      </c>
      <c r="AO302" s="14" t="s">
        <v>1615</v>
      </c>
      <c r="AP302" s="14" t="s">
        <v>146</v>
      </c>
      <c r="AQ302" s="14"/>
      <c r="AR302" s="22"/>
      <c r="AS302" s="22" t="s">
        <v>241</v>
      </c>
      <c r="AT302" s="22" t="s">
        <v>1262</v>
      </c>
      <c r="AU302" s="25" t="str">
        <f>VLOOKUP(O302,[1]Lookup!A:B,2,FALSE)</f>
        <v>Test-SIT</v>
      </c>
    </row>
    <row r="303" spans="1:47" ht="51.75" customHeight="1" x14ac:dyDescent="0.2">
      <c r="A303" s="27" t="s">
        <v>86</v>
      </c>
      <c r="B303" s="29" t="s">
        <v>1616</v>
      </c>
      <c r="C303" s="27" t="s">
        <v>1617</v>
      </c>
      <c r="D303" s="22" t="s">
        <v>117</v>
      </c>
      <c r="E303" s="22" t="s">
        <v>398</v>
      </c>
      <c r="F303" s="27"/>
      <c r="G303" s="27" t="s">
        <v>139</v>
      </c>
      <c r="H303" s="27"/>
      <c r="I303" s="27"/>
      <c r="J303" s="14" t="s">
        <v>91</v>
      </c>
      <c r="K303" s="14" t="s">
        <v>59</v>
      </c>
      <c r="L303" s="14" t="s">
        <v>103</v>
      </c>
      <c r="M303" s="14" t="s">
        <v>132</v>
      </c>
      <c r="N303" s="18" t="s">
        <v>23</v>
      </c>
      <c r="O303" s="14" t="s">
        <v>24</v>
      </c>
      <c r="P303" s="19">
        <v>42761.396527777775</v>
      </c>
      <c r="Q303" s="19">
        <v>42789.796527777777</v>
      </c>
      <c r="R303" s="19">
        <v>42780.404166666667</v>
      </c>
      <c r="S303" s="14" t="s">
        <v>139</v>
      </c>
      <c r="T303" s="14" t="s">
        <v>139</v>
      </c>
      <c r="U303" s="14" t="s">
        <v>117</v>
      </c>
      <c r="V303" s="28">
        <v>42762</v>
      </c>
      <c r="W303" s="14">
        <v>0</v>
      </c>
      <c r="X303" s="14">
        <v>0</v>
      </c>
      <c r="Y303" s="14"/>
      <c r="Z303" s="14"/>
      <c r="AA303" s="14"/>
      <c r="AB303" s="14"/>
      <c r="AC303" s="14"/>
      <c r="AD303" s="14"/>
      <c r="AE303" s="14"/>
      <c r="AF303" s="14" t="s">
        <v>1618</v>
      </c>
      <c r="AG303" s="14" t="s">
        <v>1619</v>
      </c>
      <c r="AH303" s="14"/>
      <c r="AI303" s="14"/>
      <c r="AJ303" s="14"/>
      <c r="AK303" s="14"/>
      <c r="AL303" s="14"/>
      <c r="AM303" s="14"/>
      <c r="AN303" s="14" t="s">
        <v>549</v>
      </c>
      <c r="AO303" s="14" t="s">
        <v>1620</v>
      </c>
      <c r="AP303" s="14"/>
      <c r="AQ303" s="14"/>
      <c r="AR303" s="22"/>
      <c r="AS303" s="22" t="s">
        <v>117</v>
      </c>
      <c r="AT303" s="22" t="s">
        <v>542</v>
      </c>
      <c r="AU303" s="25" t="str">
        <f>VLOOKUP(O303,[1]Lookup!A:B,2,FALSE)</f>
        <v>Test-SIT</v>
      </c>
    </row>
    <row r="304" spans="1:47" ht="51.75" customHeight="1" x14ac:dyDescent="0.2">
      <c r="A304" s="27" t="s">
        <v>86</v>
      </c>
      <c r="B304" s="29" t="s">
        <v>1621</v>
      </c>
      <c r="C304" s="27" t="s">
        <v>1622</v>
      </c>
      <c r="D304" s="22" t="s">
        <v>89</v>
      </c>
      <c r="E304" s="22" t="s">
        <v>1540</v>
      </c>
      <c r="F304" s="27"/>
      <c r="G304" s="27" t="s">
        <v>139</v>
      </c>
      <c r="H304" s="27"/>
      <c r="I304" s="27"/>
      <c r="J304" s="14" t="s">
        <v>91</v>
      </c>
      <c r="K304" s="14" t="s">
        <v>59</v>
      </c>
      <c r="L304" s="14" t="s">
        <v>93</v>
      </c>
      <c r="M304" s="14" t="s">
        <v>132</v>
      </c>
      <c r="N304" s="18" t="s">
        <v>21</v>
      </c>
      <c r="O304" s="14" t="s">
        <v>21</v>
      </c>
      <c r="P304" s="19">
        <v>42761.381944444445</v>
      </c>
      <c r="Q304" s="19">
        <v>42771.681250000001</v>
      </c>
      <c r="R304" s="19">
        <v>42771.681250000001</v>
      </c>
      <c r="S304" s="14" t="s">
        <v>518</v>
      </c>
      <c r="T304" s="14" t="s">
        <v>139</v>
      </c>
      <c r="U304" s="14" t="s">
        <v>130</v>
      </c>
      <c r="V304" s="28">
        <v>42762</v>
      </c>
      <c r="W304" s="14">
        <v>0</v>
      </c>
      <c r="X304" s="14">
        <v>0</v>
      </c>
      <c r="Y304" s="14"/>
      <c r="Z304" s="14"/>
      <c r="AA304" s="14"/>
      <c r="AB304" s="14"/>
      <c r="AC304" s="14"/>
      <c r="AD304" s="14"/>
      <c r="AE304" s="14"/>
      <c r="AF304" s="14" t="s">
        <v>1623</v>
      </c>
      <c r="AG304" s="14" t="s">
        <v>1624</v>
      </c>
      <c r="AH304" s="14"/>
      <c r="AI304" s="14"/>
      <c r="AJ304" s="14"/>
      <c r="AK304" s="14"/>
      <c r="AL304" s="14"/>
      <c r="AM304" s="14"/>
      <c r="AN304" s="14" t="s">
        <v>255</v>
      </c>
      <c r="AO304" s="14" t="s">
        <v>1625</v>
      </c>
      <c r="AP304" s="14" t="s">
        <v>146</v>
      </c>
      <c r="AQ304" s="14"/>
      <c r="AR304" s="22"/>
      <c r="AS304" s="22" t="s">
        <v>89</v>
      </c>
      <c r="AT304" s="22" t="s">
        <v>1540</v>
      </c>
      <c r="AU304" s="25" t="str">
        <f>VLOOKUP(O304,[1]Lookup!A:B,2,FALSE)</f>
        <v>Test-SIT</v>
      </c>
    </row>
    <row r="305" spans="1:47" ht="51.75" customHeight="1" x14ac:dyDescent="0.2">
      <c r="A305" s="27" t="s">
        <v>86</v>
      </c>
      <c r="B305" s="29" t="s">
        <v>1626</v>
      </c>
      <c r="C305" s="27" t="s">
        <v>1627</v>
      </c>
      <c r="D305" s="22" t="s">
        <v>89</v>
      </c>
      <c r="E305" s="22" t="s">
        <v>1628</v>
      </c>
      <c r="F305" s="27"/>
      <c r="G305" s="27" t="s">
        <v>1629</v>
      </c>
      <c r="H305" s="27"/>
      <c r="I305" s="27"/>
      <c r="J305" s="14" t="s">
        <v>91</v>
      </c>
      <c r="K305" s="14" t="s">
        <v>59</v>
      </c>
      <c r="L305" s="14" t="s">
        <v>167</v>
      </c>
      <c r="M305" s="14" t="s">
        <v>132</v>
      </c>
      <c r="N305" s="18" t="s">
        <v>21</v>
      </c>
      <c r="O305" s="14" t="s">
        <v>21</v>
      </c>
      <c r="P305" s="19">
        <v>42761.379861111112</v>
      </c>
      <c r="Q305" s="19">
        <v>42781.775694444441</v>
      </c>
      <c r="R305" s="19">
        <v>42781.775694444441</v>
      </c>
      <c r="S305" s="14" t="s">
        <v>518</v>
      </c>
      <c r="T305" s="14" t="s">
        <v>1629</v>
      </c>
      <c r="U305" s="14" t="s">
        <v>89</v>
      </c>
      <c r="V305" s="28">
        <v>42762</v>
      </c>
      <c r="W305" s="14">
        <v>0</v>
      </c>
      <c r="X305" s="14">
        <v>0</v>
      </c>
      <c r="Y305" s="14"/>
      <c r="Z305" s="14"/>
      <c r="AA305" s="14"/>
      <c r="AB305" s="14"/>
      <c r="AC305" s="14"/>
      <c r="AD305" s="14"/>
      <c r="AE305" s="14"/>
      <c r="AF305" s="14" t="s">
        <v>1630</v>
      </c>
      <c r="AG305" s="14" t="s">
        <v>1631</v>
      </c>
      <c r="AH305" s="14"/>
      <c r="AI305" s="14"/>
      <c r="AJ305" s="14"/>
      <c r="AK305" s="14"/>
      <c r="AL305" s="14"/>
      <c r="AM305" s="14"/>
      <c r="AN305" s="14" t="s">
        <v>1632</v>
      </c>
      <c r="AO305" s="14" t="s">
        <v>1633</v>
      </c>
      <c r="AP305" s="14" t="s">
        <v>146</v>
      </c>
      <c r="AQ305" s="14"/>
      <c r="AR305" s="22"/>
      <c r="AS305" s="22" t="s">
        <v>89</v>
      </c>
      <c r="AT305" s="22" t="s">
        <v>1628</v>
      </c>
      <c r="AU305" s="25" t="str">
        <f>VLOOKUP(O305,[1]Lookup!A:B,2,FALSE)</f>
        <v>Test-SIT</v>
      </c>
    </row>
    <row r="306" spans="1:47" ht="51.75" customHeight="1" x14ac:dyDescent="0.2">
      <c r="A306" s="27" t="s">
        <v>86</v>
      </c>
      <c r="B306" s="29" t="s">
        <v>1332</v>
      </c>
      <c r="C306" s="27" t="s">
        <v>1634</v>
      </c>
      <c r="D306" s="22" t="s">
        <v>89</v>
      </c>
      <c r="E306" s="22" t="s">
        <v>507</v>
      </c>
      <c r="F306" s="26" t="s">
        <v>1276</v>
      </c>
      <c r="G306" s="26" t="s">
        <v>155</v>
      </c>
      <c r="H306" s="40" t="s">
        <v>1277</v>
      </c>
      <c r="I306" s="26" t="s">
        <v>1278</v>
      </c>
      <c r="J306" s="14" t="s">
        <v>91</v>
      </c>
      <c r="K306" s="14" t="s">
        <v>59</v>
      </c>
      <c r="L306" s="14" t="s">
        <v>93</v>
      </c>
      <c r="M306" s="14" t="s">
        <v>132</v>
      </c>
      <c r="N306" s="18" t="s">
        <v>22</v>
      </c>
      <c r="O306" s="14" t="s">
        <v>22</v>
      </c>
      <c r="P306" s="19">
        <v>42760.881944444445</v>
      </c>
      <c r="Q306" s="19">
        <v>42807.699305555558</v>
      </c>
      <c r="R306" s="19">
        <v>42807.699305555558</v>
      </c>
      <c r="S306" s="14" t="s">
        <v>518</v>
      </c>
      <c r="T306" s="14" t="s">
        <v>510</v>
      </c>
      <c r="U306" s="14" t="s">
        <v>89</v>
      </c>
      <c r="V306" s="28">
        <v>42761</v>
      </c>
      <c r="W306" s="14">
        <v>0</v>
      </c>
      <c r="X306" s="14">
        <v>0</v>
      </c>
      <c r="Y306" s="14"/>
      <c r="Z306" s="14"/>
      <c r="AA306" s="14"/>
      <c r="AB306" s="14"/>
      <c r="AC306" s="14"/>
      <c r="AD306" s="14"/>
      <c r="AE306" s="14" t="s">
        <v>1635</v>
      </c>
      <c r="AF306" s="14" t="s">
        <v>1636</v>
      </c>
      <c r="AG306" s="14" t="s">
        <v>1637</v>
      </c>
      <c r="AH306" s="14"/>
      <c r="AI306" s="14"/>
      <c r="AJ306" s="14"/>
      <c r="AK306" s="14"/>
      <c r="AL306" s="14"/>
      <c r="AM306" s="14"/>
      <c r="AN306" s="14" t="s">
        <v>149</v>
      </c>
      <c r="AO306" s="14" t="s">
        <v>1638</v>
      </c>
      <c r="AP306" s="14"/>
      <c r="AQ306" s="14"/>
      <c r="AR306" s="22"/>
      <c r="AS306" s="22" t="s">
        <v>89</v>
      </c>
      <c r="AT306" s="22" t="s">
        <v>513</v>
      </c>
      <c r="AU306" s="25" t="str">
        <f>VLOOKUP(O306,[1]Lookup!A:B,2,FALSE)</f>
        <v>Test-SIT</v>
      </c>
    </row>
    <row r="307" spans="1:47" ht="51.75" customHeight="1" x14ac:dyDescent="0.2">
      <c r="A307" s="27" t="s">
        <v>86</v>
      </c>
      <c r="B307" s="29" t="s">
        <v>1639</v>
      </c>
      <c r="C307" s="27" t="s">
        <v>1640</v>
      </c>
      <c r="D307" s="13" t="s">
        <v>96</v>
      </c>
      <c r="E307" s="13" t="s">
        <v>261</v>
      </c>
      <c r="F307" s="27"/>
      <c r="G307" s="27" t="s">
        <v>139</v>
      </c>
      <c r="H307" s="27"/>
      <c r="I307" s="27"/>
      <c r="J307" s="14" t="s">
        <v>91</v>
      </c>
      <c r="K307" s="14" t="s">
        <v>59</v>
      </c>
      <c r="L307" s="14" t="s">
        <v>93</v>
      </c>
      <c r="M307" s="14" t="s">
        <v>132</v>
      </c>
      <c r="N307" s="18" t="s">
        <v>21</v>
      </c>
      <c r="O307" s="14" t="s">
        <v>21</v>
      </c>
      <c r="P307" s="19">
        <v>42759.626388888886</v>
      </c>
      <c r="Q307" s="19">
        <v>42772.520138888889</v>
      </c>
      <c r="R307" s="19">
        <v>42766.460416666669</v>
      </c>
      <c r="S307" s="14" t="s">
        <v>518</v>
      </c>
      <c r="T307" s="14" t="s">
        <v>139</v>
      </c>
      <c r="U307" s="14" t="s">
        <v>96</v>
      </c>
      <c r="V307" s="28">
        <v>42760</v>
      </c>
      <c r="W307" s="14">
        <v>0</v>
      </c>
      <c r="X307" s="14">
        <v>0</v>
      </c>
      <c r="Y307" s="14"/>
      <c r="Z307" s="14"/>
      <c r="AA307" s="14"/>
      <c r="AB307" s="14"/>
      <c r="AC307" s="14"/>
      <c r="AD307" s="14"/>
      <c r="AE307" s="14"/>
      <c r="AF307" s="14" t="s">
        <v>1641</v>
      </c>
      <c r="AG307" s="14" t="s">
        <v>1642</v>
      </c>
      <c r="AH307" s="14"/>
      <c r="AI307" s="14"/>
      <c r="AJ307" s="14"/>
      <c r="AK307" s="14"/>
      <c r="AL307" s="14"/>
      <c r="AM307" s="14"/>
      <c r="AN307" s="14" t="s">
        <v>235</v>
      </c>
      <c r="AO307" s="14" t="s">
        <v>1643</v>
      </c>
      <c r="AP307" s="14"/>
      <c r="AQ307" s="14"/>
      <c r="AR307" s="22"/>
      <c r="AS307" s="13" t="s">
        <v>96</v>
      </c>
      <c r="AT307" s="13" t="s">
        <v>261</v>
      </c>
      <c r="AU307" s="25" t="str">
        <f>VLOOKUP(O307,[1]Lookup!A:B,2,FALSE)</f>
        <v>Test-SIT</v>
      </c>
    </row>
    <row r="308" spans="1:47" ht="51.75" customHeight="1" x14ac:dyDescent="0.2">
      <c r="A308" s="27" t="s">
        <v>86</v>
      </c>
      <c r="B308" s="29" t="s">
        <v>1644</v>
      </c>
      <c r="C308" s="27" t="s">
        <v>1645</v>
      </c>
      <c r="D308" s="22" t="s">
        <v>96</v>
      </c>
      <c r="E308" s="22" t="s">
        <v>166</v>
      </c>
      <c r="F308" s="27"/>
      <c r="G308" s="27" t="s">
        <v>139</v>
      </c>
      <c r="H308" s="27"/>
      <c r="I308" s="27"/>
      <c r="J308" s="14" t="s">
        <v>91</v>
      </c>
      <c r="K308" s="14" t="s">
        <v>59</v>
      </c>
      <c r="L308" s="14" t="s">
        <v>124</v>
      </c>
      <c r="M308" s="14" t="s">
        <v>132</v>
      </c>
      <c r="N308" s="18" t="s">
        <v>21</v>
      </c>
      <c r="O308" s="14" t="s">
        <v>21</v>
      </c>
      <c r="P308" s="19">
        <v>42758.848611111112</v>
      </c>
      <c r="Q308" s="19">
        <v>42772.521527777775</v>
      </c>
      <c r="R308" s="19">
        <v>42770.679166666669</v>
      </c>
      <c r="S308" s="14" t="s">
        <v>518</v>
      </c>
      <c r="T308" s="14" t="s">
        <v>139</v>
      </c>
      <c r="U308" s="14" t="s">
        <v>96</v>
      </c>
      <c r="V308" s="28">
        <v>42760</v>
      </c>
      <c r="W308" s="14">
        <v>0</v>
      </c>
      <c r="X308" s="14">
        <v>0</v>
      </c>
      <c r="Y308" s="14"/>
      <c r="Z308" s="14"/>
      <c r="AA308" s="14"/>
      <c r="AB308" s="14"/>
      <c r="AC308" s="14"/>
      <c r="AD308" s="14"/>
      <c r="AE308" s="14"/>
      <c r="AF308" s="14" t="s">
        <v>1646</v>
      </c>
      <c r="AG308" s="14" t="s">
        <v>1647</v>
      </c>
      <c r="AH308" s="14"/>
      <c r="AI308" s="14"/>
      <c r="AJ308" s="14"/>
      <c r="AK308" s="14"/>
      <c r="AL308" s="14"/>
      <c r="AM308" s="14"/>
      <c r="AN308" s="14" t="s">
        <v>235</v>
      </c>
      <c r="AO308" s="14" t="s">
        <v>1648</v>
      </c>
      <c r="AP308" s="14"/>
      <c r="AQ308" s="14"/>
      <c r="AR308" s="22"/>
      <c r="AS308" s="22" t="s">
        <v>96</v>
      </c>
      <c r="AT308" s="22" t="s">
        <v>959</v>
      </c>
      <c r="AU308" s="25" t="str">
        <f>VLOOKUP(O308,[1]Lookup!A:B,2,FALSE)</f>
        <v>Test-SIT</v>
      </c>
    </row>
    <row r="309" spans="1:47" ht="51.75" customHeight="1" x14ac:dyDescent="0.2">
      <c r="A309" s="27" t="s">
        <v>86</v>
      </c>
      <c r="B309" s="29" t="s">
        <v>1649</v>
      </c>
      <c r="C309" s="27" t="s">
        <v>1650</v>
      </c>
      <c r="D309" s="22" t="s">
        <v>96</v>
      </c>
      <c r="E309" s="22" t="s">
        <v>166</v>
      </c>
      <c r="F309" s="27"/>
      <c r="G309" s="27" t="s">
        <v>139</v>
      </c>
      <c r="H309" s="27"/>
      <c r="I309" s="27"/>
      <c r="J309" s="14" t="s">
        <v>91</v>
      </c>
      <c r="K309" s="14" t="s">
        <v>59</v>
      </c>
      <c r="L309" s="14" t="s">
        <v>124</v>
      </c>
      <c r="M309" s="14" t="s">
        <v>132</v>
      </c>
      <c r="N309" s="18" t="s">
        <v>21</v>
      </c>
      <c r="O309" s="14" t="s">
        <v>21</v>
      </c>
      <c r="P309" s="19">
        <v>42758.848611111112</v>
      </c>
      <c r="Q309" s="19">
        <v>42772.522222222222</v>
      </c>
      <c r="R309" s="19">
        <v>42771.682638888888</v>
      </c>
      <c r="S309" s="14" t="s">
        <v>518</v>
      </c>
      <c r="T309" s="14" t="s">
        <v>139</v>
      </c>
      <c r="U309" s="14" t="s">
        <v>96</v>
      </c>
      <c r="V309" s="28">
        <v>42760</v>
      </c>
      <c r="W309" s="14">
        <v>0</v>
      </c>
      <c r="X309" s="14">
        <v>0</v>
      </c>
      <c r="Y309" s="14"/>
      <c r="Z309" s="14"/>
      <c r="AA309" s="14"/>
      <c r="AB309" s="14"/>
      <c r="AC309" s="14"/>
      <c r="AD309" s="14"/>
      <c r="AE309" s="14"/>
      <c r="AF309" s="14" t="s">
        <v>1651</v>
      </c>
      <c r="AG309" s="14" t="s">
        <v>1652</v>
      </c>
      <c r="AH309" s="14"/>
      <c r="AI309" s="14"/>
      <c r="AJ309" s="14"/>
      <c r="AK309" s="14"/>
      <c r="AL309" s="14"/>
      <c r="AM309" s="14"/>
      <c r="AN309" s="14" t="s">
        <v>235</v>
      </c>
      <c r="AO309" s="14" t="s">
        <v>1653</v>
      </c>
      <c r="AP309" s="14"/>
      <c r="AQ309" s="14"/>
      <c r="AR309" s="22"/>
      <c r="AS309" s="22" t="s">
        <v>96</v>
      </c>
      <c r="AT309" s="22" t="s">
        <v>959</v>
      </c>
      <c r="AU309" s="25" t="str">
        <f>VLOOKUP(O309,[1]Lookup!A:B,2,FALSE)</f>
        <v>Test-SIT</v>
      </c>
    </row>
    <row r="310" spans="1:47" ht="51.75" customHeight="1" x14ac:dyDescent="0.2">
      <c r="A310" s="27" t="s">
        <v>86</v>
      </c>
      <c r="B310" s="29" t="s">
        <v>1654</v>
      </c>
      <c r="C310" s="27" t="s">
        <v>1655</v>
      </c>
      <c r="D310" s="22" t="s">
        <v>96</v>
      </c>
      <c r="E310" s="22" t="s">
        <v>166</v>
      </c>
      <c r="F310" s="27"/>
      <c r="G310" s="27" t="s">
        <v>139</v>
      </c>
      <c r="H310" s="27"/>
      <c r="I310" s="27"/>
      <c r="J310" s="14" t="s">
        <v>91</v>
      </c>
      <c r="K310" s="14" t="s">
        <v>59</v>
      </c>
      <c r="L310" s="14" t="s">
        <v>124</v>
      </c>
      <c r="M310" s="14" t="s">
        <v>132</v>
      </c>
      <c r="N310" s="18" t="s">
        <v>21</v>
      </c>
      <c r="O310" s="14" t="s">
        <v>21</v>
      </c>
      <c r="P310" s="19">
        <v>42758.847222222219</v>
      </c>
      <c r="Q310" s="19">
        <v>42771.629861111112</v>
      </c>
      <c r="R310" s="19">
        <v>42771.629861111112</v>
      </c>
      <c r="S310" s="14" t="s">
        <v>518</v>
      </c>
      <c r="T310" s="14" t="s">
        <v>139</v>
      </c>
      <c r="U310" s="14" t="s">
        <v>242</v>
      </c>
      <c r="V310" s="28">
        <v>42760</v>
      </c>
      <c r="W310" s="14">
        <v>0</v>
      </c>
      <c r="X310" s="14">
        <v>0</v>
      </c>
      <c r="Y310" s="14"/>
      <c r="Z310" s="14"/>
      <c r="AA310" s="14"/>
      <c r="AB310" s="14"/>
      <c r="AC310" s="14"/>
      <c r="AD310" s="14"/>
      <c r="AE310" s="14"/>
      <c r="AF310" s="14" t="s">
        <v>1656</v>
      </c>
      <c r="AG310" s="14" t="s">
        <v>1647</v>
      </c>
      <c r="AH310" s="14"/>
      <c r="AI310" s="14"/>
      <c r="AJ310" s="14"/>
      <c r="AK310" s="14"/>
      <c r="AL310" s="14"/>
      <c r="AM310" s="14"/>
      <c r="AN310" s="14" t="s">
        <v>235</v>
      </c>
      <c r="AO310" s="14" t="s">
        <v>1657</v>
      </c>
      <c r="AP310" s="14"/>
      <c r="AQ310" s="14"/>
      <c r="AR310" s="22"/>
      <c r="AS310" s="22" t="s">
        <v>96</v>
      </c>
      <c r="AT310" s="22" t="s">
        <v>959</v>
      </c>
      <c r="AU310" s="25" t="str">
        <f>VLOOKUP(O310,[1]Lookup!A:B,2,FALSE)</f>
        <v>Test-SIT</v>
      </c>
    </row>
    <row r="311" spans="1:47" ht="51.75" customHeight="1" x14ac:dyDescent="0.2">
      <c r="A311" s="27" t="s">
        <v>86</v>
      </c>
      <c r="B311" s="29" t="s">
        <v>1658</v>
      </c>
      <c r="C311" s="27" t="s">
        <v>1659</v>
      </c>
      <c r="D311" s="22" t="s">
        <v>96</v>
      </c>
      <c r="E311" s="22" t="s">
        <v>166</v>
      </c>
      <c r="F311" s="27"/>
      <c r="G311" s="27" t="s">
        <v>139</v>
      </c>
      <c r="H311" s="27"/>
      <c r="I311" s="27"/>
      <c r="J311" s="14" t="s">
        <v>91</v>
      </c>
      <c r="K311" s="14" t="s">
        <v>59</v>
      </c>
      <c r="L311" s="14" t="s">
        <v>124</v>
      </c>
      <c r="M311" s="14" t="s">
        <v>132</v>
      </c>
      <c r="N311" s="18" t="s">
        <v>21</v>
      </c>
      <c r="O311" s="14" t="s">
        <v>21</v>
      </c>
      <c r="P311" s="19">
        <v>42758.84375</v>
      </c>
      <c r="Q311" s="19">
        <v>42772.522916666669</v>
      </c>
      <c r="R311" s="19">
        <v>42770.763194444444</v>
      </c>
      <c r="S311" s="14" t="s">
        <v>518</v>
      </c>
      <c r="T311" s="14" t="s">
        <v>139</v>
      </c>
      <c r="U311" s="14" t="s">
        <v>96</v>
      </c>
      <c r="V311" s="28">
        <v>42760</v>
      </c>
      <c r="W311" s="14">
        <v>0</v>
      </c>
      <c r="X311" s="14">
        <v>0</v>
      </c>
      <c r="Y311" s="14"/>
      <c r="Z311" s="14"/>
      <c r="AA311" s="14"/>
      <c r="AB311" s="14"/>
      <c r="AC311" s="14"/>
      <c r="AD311" s="14"/>
      <c r="AE311" s="14"/>
      <c r="AF311" s="14" t="s">
        <v>1660</v>
      </c>
      <c r="AG311" s="14" t="s">
        <v>1652</v>
      </c>
      <c r="AH311" s="14"/>
      <c r="AI311" s="14"/>
      <c r="AJ311" s="14"/>
      <c r="AK311" s="14"/>
      <c r="AL311" s="14"/>
      <c r="AM311" s="14"/>
      <c r="AN311" s="14" t="s">
        <v>235</v>
      </c>
      <c r="AO311" s="14" t="s">
        <v>1653</v>
      </c>
      <c r="AP311" s="14"/>
      <c r="AQ311" s="14"/>
      <c r="AR311" s="22"/>
      <c r="AS311" s="22" t="s">
        <v>96</v>
      </c>
      <c r="AT311" s="22" t="s">
        <v>959</v>
      </c>
      <c r="AU311" s="25" t="str">
        <f>VLOOKUP(O311,[1]Lookup!A:B,2,FALSE)</f>
        <v>Test-SIT</v>
      </c>
    </row>
    <row r="312" spans="1:47" ht="51.75" customHeight="1" x14ac:dyDescent="0.2">
      <c r="A312" s="27" t="s">
        <v>86</v>
      </c>
      <c r="B312" s="29" t="s">
        <v>1661</v>
      </c>
      <c r="C312" s="27" t="s">
        <v>1662</v>
      </c>
      <c r="D312" s="22" t="s">
        <v>89</v>
      </c>
      <c r="E312" s="22" t="s">
        <v>550</v>
      </c>
      <c r="F312" s="27"/>
      <c r="G312" s="27" t="s">
        <v>139</v>
      </c>
      <c r="H312" s="27"/>
      <c r="I312" s="27"/>
      <c r="J312" s="14" t="s">
        <v>91</v>
      </c>
      <c r="K312" s="14" t="s">
        <v>59</v>
      </c>
      <c r="L312" s="14" t="s">
        <v>124</v>
      </c>
      <c r="M312" s="14" t="s">
        <v>132</v>
      </c>
      <c r="N312" s="18" t="s">
        <v>21</v>
      </c>
      <c r="O312" s="14" t="s">
        <v>21</v>
      </c>
      <c r="P312" s="19">
        <v>42758.828472222223</v>
      </c>
      <c r="Q312" s="19">
        <v>42770.775000000001</v>
      </c>
      <c r="R312" s="19">
        <v>42770.760416666664</v>
      </c>
      <c r="S312" s="14" t="s">
        <v>518</v>
      </c>
      <c r="T312" s="14" t="s">
        <v>139</v>
      </c>
      <c r="U312" s="14" t="s">
        <v>412</v>
      </c>
      <c r="V312" s="28">
        <v>42760</v>
      </c>
      <c r="W312" s="14">
        <v>0</v>
      </c>
      <c r="X312" s="14">
        <v>0</v>
      </c>
      <c r="Y312" s="14"/>
      <c r="Z312" s="14"/>
      <c r="AA312" s="14"/>
      <c r="AB312" s="14"/>
      <c r="AC312" s="14"/>
      <c r="AD312" s="14"/>
      <c r="AE312" s="14" t="s">
        <v>1663</v>
      </c>
      <c r="AF312" s="14" t="s">
        <v>1664</v>
      </c>
      <c r="AG312" s="14" t="s">
        <v>1647</v>
      </c>
      <c r="AH312" s="14"/>
      <c r="AI312" s="14"/>
      <c r="AJ312" s="14"/>
      <c r="AK312" s="14"/>
      <c r="AL312" s="14"/>
      <c r="AM312" s="14"/>
      <c r="AN312" s="14" t="s">
        <v>1105</v>
      </c>
      <c r="AO312" s="14" t="s">
        <v>1665</v>
      </c>
      <c r="AP312" s="14"/>
      <c r="AQ312" s="14"/>
      <c r="AR312" s="22"/>
      <c r="AS312" s="22" t="s">
        <v>89</v>
      </c>
      <c r="AT312" s="22" t="s">
        <v>564</v>
      </c>
      <c r="AU312" s="25" t="str">
        <f>VLOOKUP(O312,[1]Lookup!A:B,2,FALSE)</f>
        <v>Test-SIT</v>
      </c>
    </row>
    <row r="313" spans="1:47" ht="51.75" customHeight="1" x14ac:dyDescent="0.2">
      <c r="A313" s="27" t="s">
        <v>86</v>
      </c>
      <c r="B313" s="29" t="s">
        <v>1663</v>
      </c>
      <c r="C313" s="27" t="s">
        <v>1666</v>
      </c>
      <c r="D313" s="22" t="s">
        <v>96</v>
      </c>
      <c r="E313" s="22" t="s">
        <v>166</v>
      </c>
      <c r="F313" s="27"/>
      <c r="G313" s="27" t="s">
        <v>139</v>
      </c>
      <c r="H313" s="27"/>
      <c r="I313" s="27"/>
      <c r="J313" s="14" t="s">
        <v>91</v>
      </c>
      <c r="K313" s="14" t="s">
        <v>59</v>
      </c>
      <c r="L313" s="14" t="s">
        <v>124</v>
      </c>
      <c r="M313" s="14" t="s">
        <v>132</v>
      </c>
      <c r="N313" s="18" t="s">
        <v>21</v>
      </c>
      <c r="O313" s="14" t="s">
        <v>21</v>
      </c>
      <c r="P313" s="19">
        <v>42758.826388888891</v>
      </c>
      <c r="Q313" s="19">
        <v>42772.522916666669</v>
      </c>
      <c r="R313" s="19">
        <v>42770.678472222222</v>
      </c>
      <c r="S313" s="14" t="s">
        <v>518</v>
      </c>
      <c r="T313" s="14" t="s">
        <v>139</v>
      </c>
      <c r="U313" s="14" t="s">
        <v>96</v>
      </c>
      <c r="V313" s="28">
        <v>42760</v>
      </c>
      <c r="W313" s="14">
        <v>0</v>
      </c>
      <c r="X313" s="14">
        <v>0</v>
      </c>
      <c r="Y313" s="14"/>
      <c r="Z313" s="14"/>
      <c r="AA313" s="14"/>
      <c r="AB313" s="14"/>
      <c r="AC313" s="14"/>
      <c r="AD313" s="14"/>
      <c r="AE313" s="14" t="s">
        <v>1661</v>
      </c>
      <c r="AF313" s="14" t="s">
        <v>1667</v>
      </c>
      <c r="AG313" s="14" t="s">
        <v>1668</v>
      </c>
      <c r="AH313" s="14"/>
      <c r="AI313" s="14"/>
      <c r="AJ313" s="14"/>
      <c r="AK313" s="14"/>
      <c r="AL313" s="14"/>
      <c r="AM313" s="14"/>
      <c r="AN313" s="14" t="s">
        <v>235</v>
      </c>
      <c r="AO313" s="14" t="s">
        <v>1653</v>
      </c>
      <c r="AP313" s="14" t="s">
        <v>950</v>
      </c>
      <c r="AQ313" s="14"/>
      <c r="AR313" s="22"/>
      <c r="AS313" s="22" t="s">
        <v>96</v>
      </c>
      <c r="AT313" s="22" t="s">
        <v>959</v>
      </c>
      <c r="AU313" s="25" t="str">
        <f>VLOOKUP(O313,[1]Lookup!A:B,2,FALSE)</f>
        <v>Test-SIT</v>
      </c>
    </row>
    <row r="314" spans="1:47" ht="51.75" customHeight="1" x14ac:dyDescent="0.2">
      <c r="A314" s="27" t="s">
        <v>86</v>
      </c>
      <c r="B314" s="29" t="s">
        <v>1669</v>
      </c>
      <c r="C314" s="27" t="s">
        <v>1670</v>
      </c>
      <c r="D314" s="22" t="s">
        <v>89</v>
      </c>
      <c r="E314" s="22" t="s">
        <v>507</v>
      </c>
      <c r="F314" s="27"/>
      <c r="G314" s="27" t="s">
        <v>139</v>
      </c>
      <c r="H314" s="27"/>
      <c r="I314" s="27"/>
      <c r="J314" s="14" t="s">
        <v>91</v>
      </c>
      <c r="K314" s="14" t="s">
        <v>59</v>
      </c>
      <c r="L314" s="14" t="s">
        <v>103</v>
      </c>
      <c r="M314" s="14" t="s">
        <v>132</v>
      </c>
      <c r="N314" s="18" t="s">
        <v>8</v>
      </c>
      <c r="O314" s="14" t="s">
        <v>21</v>
      </c>
      <c r="P314" s="19">
        <v>42758.599305555559</v>
      </c>
      <c r="Q314" s="19">
        <v>42771.652083333334</v>
      </c>
      <c r="R314" s="19">
        <v>42771.652083333334</v>
      </c>
      <c r="S314" s="14" t="s">
        <v>518</v>
      </c>
      <c r="T314" s="14" t="s">
        <v>139</v>
      </c>
      <c r="U314" s="14" t="s">
        <v>89</v>
      </c>
      <c r="V314" s="28">
        <v>42760</v>
      </c>
      <c r="W314" s="14">
        <v>0</v>
      </c>
      <c r="X314" s="14">
        <v>0</v>
      </c>
      <c r="Y314" s="14"/>
      <c r="Z314" s="14"/>
      <c r="AA314" s="14"/>
      <c r="AB314" s="14"/>
      <c r="AC314" s="14"/>
      <c r="AD314" s="14"/>
      <c r="AE314" s="14"/>
      <c r="AF314" s="14" t="s">
        <v>1671</v>
      </c>
      <c r="AG314" s="14" t="s">
        <v>1672</v>
      </c>
      <c r="AH314" s="14"/>
      <c r="AI314" s="14"/>
      <c r="AJ314" s="14"/>
      <c r="AK314" s="14"/>
      <c r="AL314" s="14"/>
      <c r="AM314" s="14"/>
      <c r="AN314" s="14" t="s">
        <v>149</v>
      </c>
      <c r="AO314" s="14" t="s">
        <v>1673</v>
      </c>
      <c r="AP314" s="14" t="s">
        <v>146</v>
      </c>
      <c r="AQ314" s="14"/>
      <c r="AR314" s="22"/>
      <c r="AS314" s="22" t="s">
        <v>89</v>
      </c>
      <c r="AT314" s="22" t="s">
        <v>513</v>
      </c>
      <c r="AU314" s="25" t="str">
        <f>VLOOKUP(O314,[1]Lookup!A:B,2,FALSE)</f>
        <v>Test-SIT</v>
      </c>
    </row>
    <row r="315" spans="1:47" ht="51.75" customHeight="1" x14ac:dyDescent="0.2">
      <c r="A315" s="27" t="s">
        <v>86</v>
      </c>
      <c r="B315" s="29" t="s">
        <v>1674</v>
      </c>
      <c r="C315" s="26" t="s">
        <v>1675</v>
      </c>
      <c r="D315" s="22" t="s">
        <v>89</v>
      </c>
      <c r="E315" s="22" t="s">
        <v>507</v>
      </c>
      <c r="F315" s="26" t="s">
        <v>873</v>
      </c>
      <c r="G315" s="26" t="s">
        <v>312</v>
      </c>
      <c r="H315" s="40" t="s">
        <v>526</v>
      </c>
      <c r="I315" s="40" t="s">
        <v>874</v>
      </c>
      <c r="J315" s="14" t="s">
        <v>91</v>
      </c>
      <c r="K315" s="14" t="s">
        <v>59</v>
      </c>
      <c r="L315" s="14" t="s">
        <v>103</v>
      </c>
      <c r="M315" s="14" t="s">
        <v>132</v>
      </c>
      <c r="N315" s="18" t="s">
        <v>30</v>
      </c>
      <c r="O315" s="14" t="s">
        <v>21</v>
      </c>
      <c r="P315" s="19">
        <v>42758.595833333333</v>
      </c>
      <c r="Q315" s="19">
        <v>42804.59652777778</v>
      </c>
      <c r="R315" s="19">
        <v>42804.59652777778</v>
      </c>
      <c r="S315" s="14" t="s">
        <v>518</v>
      </c>
      <c r="T315" s="14" t="s">
        <v>155</v>
      </c>
      <c r="U315" s="14" t="s">
        <v>840</v>
      </c>
      <c r="V315" s="28">
        <v>42760</v>
      </c>
      <c r="W315" s="14">
        <v>0</v>
      </c>
      <c r="X315" s="14">
        <v>1</v>
      </c>
      <c r="Y315" s="20" t="s">
        <v>1676</v>
      </c>
      <c r="Z315" s="14"/>
      <c r="AA315" s="14"/>
      <c r="AB315" s="14"/>
      <c r="AC315" s="14"/>
      <c r="AD315" s="14"/>
      <c r="AE315" s="14"/>
      <c r="AF315" s="14" t="s">
        <v>1677</v>
      </c>
      <c r="AG315" s="14" t="s">
        <v>1678</v>
      </c>
      <c r="AH315" s="14"/>
      <c r="AI315" s="14"/>
      <c r="AJ315" s="14"/>
      <c r="AK315" s="14"/>
      <c r="AL315" s="14"/>
      <c r="AM315" s="14"/>
      <c r="AN315" s="14" t="s">
        <v>123</v>
      </c>
      <c r="AO315" s="14" t="s">
        <v>1679</v>
      </c>
      <c r="AP315" s="14" t="s">
        <v>146</v>
      </c>
      <c r="AQ315" s="14"/>
      <c r="AR315" s="22"/>
      <c r="AS315" s="22" t="s">
        <v>89</v>
      </c>
      <c r="AT315" s="22" t="s">
        <v>513</v>
      </c>
      <c r="AU315" s="25" t="str">
        <f>VLOOKUP(O315,[1]Lookup!A:B,2,FALSE)</f>
        <v>Test-SIT</v>
      </c>
    </row>
    <row r="316" spans="1:47" ht="51.75" customHeight="1" x14ac:dyDescent="0.2">
      <c r="A316" s="27" t="s">
        <v>86</v>
      </c>
      <c r="B316" s="29" t="s">
        <v>1680</v>
      </c>
      <c r="C316" s="27" t="s">
        <v>1681</v>
      </c>
      <c r="D316" s="22" t="s">
        <v>89</v>
      </c>
      <c r="E316" s="22" t="s">
        <v>671</v>
      </c>
      <c r="F316" s="27"/>
      <c r="G316" s="27" t="s">
        <v>139</v>
      </c>
      <c r="H316" s="27"/>
      <c r="I316" s="27"/>
      <c r="J316" s="14" t="s">
        <v>91</v>
      </c>
      <c r="K316" s="14" t="s">
        <v>59</v>
      </c>
      <c r="L316" s="14" t="s">
        <v>93</v>
      </c>
      <c r="M316" s="14" t="s">
        <v>132</v>
      </c>
      <c r="N316" s="18" t="s">
        <v>21</v>
      </c>
      <c r="O316" s="14" t="s">
        <v>24</v>
      </c>
      <c r="P316" s="19">
        <v>42758.398611111108</v>
      </c>
      <c r="Q316" s="19">
        <v>42773.411111111112</v>
      </c>
      <c r="R316" s="19">
        <v>42773.411111111112</v>
      </c>
      <c r="S316" s="14" t="s">
        <v>518</v>
      </c>
      <c r="T316" s="14" t="s">
        <v>139</v>
      </c>
      <c r="U316" s="14" t="s">
        <v>89</v>
      </c>
      <c r="V316" s="28">
        <v>42759</v>
      </c>
      <c r="W316" s="14">
        <v>0</v>
      </c>
      <c r="X316" s="14">
        <v>1</v>
      </c>
      <c r="Y316" s="14"/>
      <c r="Z316" s="14"/>
      <c r="AA316" s="14"/>
      <c r="AB316" s="14"/>
      <c r="AC316" s="14"/>
      <c r="AD316" s="14"/>
      <c r="AE316" s="14"/>
      <c r="AF316" s="14" t="s">
        <v>1682</v>
      </c>
      <c r="AG316" s="14" t="s">
        <v>1683</v>
      </c>
      <c r="AH316" s="14"/>
      <c r="AI316" s="14"/>
      <c r="AJ316" s="14"/>
      <c r="AK316" s="14"/>
      <c r="AL316" s="14"/>
      <c r="AM316" s="14"/>
      <c r="AN316" s="14" t="s">
        <v>671</v>
      </c>
      <c r="AO316" s="14" t="s">
        <v>1684</v>
      </c>
      <c r="AP316" s="14"/>
      <c r="AQ316" s="14"/>
      <c r="AR316" s="22"/>
      <c r="AS316" s="22" t="s">
        <v>89</v>
      </c>
      <c r="AT316" s="22" t="s">
        <v>671</v>
      </c>
      <c r="AU316" s="25" t="str">
        <f>VLOOKUP(O316,[1]Lookup!A:B,2,FALSE)</f>
        <v>Test-SIT</v>
      </c>
    </row>
    <row r="317" spans="1:47" ht="51.75" customHeight="1" x14ac:dyDescent="0.2">
      <c r="A317" s="27" t="s">
        <v>86</v>
      </c>
      <c r="B317" s="29" t="s">
        <v>1685</v>
      </c>
      <c r="C317" s="27" t="s">
        <v>1686</v>
      </c>
      <c r="D317" s="22" t="s">
        <v>96</v>
      </c>
      <c r="E317" s="22" t="s">
        <v>166</v>
      </c>
      <c r="F317" s="27"/>
      <c r="G317" s="27" t="s">
        <v>139</v>
      </c>
      <c r="H317" s="27"/>
      <c r="I317" s="27"/>
      <c r="J317" s="14" t="s">
        <v>91</v>
      </c>
      <c r="K317" s="14" t="s">
        <v>59</v>
      </c>
      <c r="L317" s="14" t="s">
        <v>124</v>
      </c>
      <c r="M317" s="14" t="s">
        <v>132</v>
      </c>
      <c r="N317" s="18" t="s">
        <v>21</v>
      </c>
      <c r="O317" s="14" t="s">
        <v>21</v>
      </c>
      <c r="P317" s="19">
        <v>42757.777083333334</v>
      </c>
      <c r="Q317" s="19">
        <v>42772.523611111108</v>
      </c>
      <c r="R317" s="19">
        <v>42766.600694444445</v>
      </c>
      <c r="S317" s="14" t="s">
        <v>518</v>
      </c>
      <c r="T317" s="14" t="s">
        <v>139</v>
      </c>
      <c r="U317" s="14" t="s">
        <v>96</v>
      </c>
      <c r="V317" s="28">
        <v>42760</v>
      </c>
      <c r="W317" s="14">
        <v>0</v>
      </c>
      <c r="X317" s="14">
        <v>0</v>
      </c>
      <c r="Y317" s="14"/>
      <c r="Z317" s="14"/>
      <c r="AA317" s="14"/>
      <c r="AB317" s="14"/>
      <c r="AC317" s="14"/>
      <c r="AD317" s="14"/>
      <c r="AE317" s="14"/>
      <c r="AF317" s="14" t="s">
        <v>1687</v>
      </c>
      <c r="AG317" s="14" t="s">
        <v>1688</v>
      </c>
      <c r="AH317" s="14"/>
      <c r="AI317" s="14"/>
      <c r="AJ317" s="14"/>
      <c r="AK317" s="14"/>
      <c r="AL317" s="14"/>
      <c r="AM317" s="14"/>
      <c r="AN317" s="14" t="s">
        <v>235</v>
      </c>
      <c r="AO317" s="14" t="s">
        <v>1653</v>
      </c>
      <c r="AP317" s="14" t="s">
        <v>146</v>
      </c>
      <c r="AQ317" s="14"/>
      <c r="AR317" s="22"/>
      <c r="AS317" s="22" t="s">
        <v>96</v>
      </c>
      <c r="AT317" s="22" t="s">
        <v>959</v>
      </c>
      <c r="AU317" s="25" t="str">
        <f>VLOOKUP(O317,[1]Lookup!A:B,2,FALSE)</f>
        <v>Test-SIT</v>
      </c>
    </row>
    <row r="318" spans="1:47" ht="51.75" customHeight="1" x14ac:dyDescent="0.2">
      <c r="A318" s="27" t="s">
        <v>86</v>
      </c>
      <c r="B318" s="29" t="s">
        <v>1689</v>
      </c>
      <c r="C318" s="27" t="s">
        <v>1690</v>
      </c>
      <c r="D318" s="22" t="s">
        <v>89</v>
      </c>
      <c r="E318" s="22" t="s">
        <v>229</v>
      </c>
      <c r="F318" s="27"/>
      <c r="G318" s="27"/>
      <c r="H318" s="27"/>
      <c r="I318" s="27"/>
      <c r="J318" s="14" t="s">
        <v>91</v>
      </c>
      <c r="K318" s="14" t="s">
        <v>59</v>
      </c>
      <c r="L318" s="14" t="s">
        <v>103</v>
      </c>
      <c r="M318" s="14" t="s">
        <v>132</v>
      </c>
      <c r="N318" s="18" t="s">
        <v>21</v>
      </c>
      <c r="O318" s="14" t="s">
        <v>21</v>
      </c>
      <c r="P318" s="19">
        <v>42757.776388888888</v>
      </c>
      <c r="Q318" s="19">
        <v>42771.599305555559</v>
      </c>
      <c r="R318" s="19">
        <v>42759.45208333333</v>
      </c>
      <c r="S318" s="14" t="s">
        <v>518</v>
      </c>
      <c r="T318" s="14"/>
      <c r="U318" s="14" t="s">
        <v>96</v>
      </c>
      <c r="V318" s="28">
        <v>42759</v>
      </c>
      <c r="W318" s="14">
        <v>0</v>
      </c>
      <c r="X318" s="14">
        <v>0</v>
      </c>
      <c r="Y318" s="14"/>
      <c r="Z318" s="14"/>
      <c r="AA318" s="14"/>
      <c r="AB318" s="14"/>
      <c r="AC318" s="14"/>
      <c r="AD318" s="14"/>
      <c r="AE318" s="14"/>
      <c r="AF318" s="14" t="s">
        <v>1691</v>
      </c>
      <c r="AG318" s="14" t="s">
        <v>1692</v>
      </c>
      <c r="AH318" s="14"/>
      <c r="AI318" s="14"/>
      <c r="AJ318" s="14"/>
      <c r="AK318" s="14"/>
      <c r="AL318" s="14"/>
      <c r="AM318" s="14"/>
      <c r="AN318" s="14" t="s">
        <v>229</v>
      </c>
      <c r="AO318" s="14" t="s">
        <v>381</v>
      </c>
      <c r="AP318" s="14"/>
      <c r="AQ318" s="14"/>
      <c r="AR318" s="22"/>
      <c r="AS318" s="22" t="s">
        <v>89</v>
      </c>
      <c r="AT318" s="22" t="s">
        <v>229</v>
      </c>
      <c r="AU318" s="25" t="str">
        <f>VLOOKUP(O318,[1]Lookup!A:B,2,FALSE)</f>
        <v>Test-SIT</v>
      </c>
    </row>
    <row r="319" spans="1:47" ht="51.75" customHeight="1" x14ac:dyDescent="0.2">
      <c r="A319" s="27" t="s">
        <v>86</v>
      </c>
      <c r="B319" s="29" t="s">
        <v>1693</v>
      </c>
      <c r="C319" s="27" t="s">
        <v>1694</v>
      </c>
      <c r="D319" s="22" t="s">
        <v>96</v>
      </c>
      <c r="E319" s="22" t="s">
        <v>166</v>
      </c>
      <c r="F319" s="27"/>
      <c r="G319" s="27" t="s">
        <v>139</v>
      </c>
      <c r="H319" s="27"/>
      <c r="I319" s="27"/>
      <c r="J319" s="14" t="s">
        <v>91</v>
      </c>
      <c r="K319" s="14" t="s">
        <v>59</v>
      </c>
      <c r="L319" s="14" t="s">
        <v>124</v>
      </c>
      <c r="M319" s="14" t="s">
        <v>132</v>
      </c>
      <c r="N319" s="18" t="s">
        <v>21</v>
      </c>
      <c r="O319" s="14" t="s">
        <v>21</v>
      </c>
      <c r="P319" s="19">
        <v>42757.554861111108</v>
      </c>
      <c r="Q319" s="19">
        <v>42772.525694444441</v>
      </c>
      <c r="R319" s="19">
        <v>42766.565972222219</v>
      </c>
      <c r="S319" s="14" t="s">
        <v>518</v>
      </c>
      <c r="T319" s="14" t="s">
        <v>139</v>
      </c>
      <c r="U319" s="14" t="s">
        <v>96</v>
      </c>
      <c r="V319" s="28">
        <v>42760</v>
      </c>
      <c r="W319" s="14">
        <v>0</v>
      </c>
      <c r="X319" s="14">
        <v>0</v>
      </c>
      <c r="Y319" s="14"/>
      <c r="Z319" s="14"/>
      <c r="AA319" s="14"/>
      <c r="AB319" s="14"/>
      <c r="AC319" s="14"/>
      <c r="AD319" s="14"/>
      <c r="AE319" s="14"/>
      <c r="AF319" s="14" t="s">
        <v>1695</v>
      </c>
      <c r="AG319" s="14" t="s">
        <v>1696</v>
      </c>
      <c r="AH319" s="14"/>
      <c r="AI319" s="14"/>
      <c r="AJ319" s="14"/>
      <c r="AK319" s="14"/>
      <c r="AL319" s="14"/>
      <c r="AM319" s="14"/>
      <c r="AN319" s="14" t="s">
        <v>235</v>
      </c>
      <c r="AO319" s="14" t="s">
        <v>1653</v>
      </c>
      <c r="AP319" s="14" t="s">
        <v>146</v>
      </c>
      <c r="AQ319" s="14"/>
      <c r="AR319" s="22"/>
      <c r="AS319" s="22" t="s">
        <v>96</v>
      </c>
      <c r="AT319" s="22" t="s">
        <v>959</v>
      </c>
      <c r="AU319" s="25" t="str">
        <f>VLOOKUP(O319,[1]Lookup!A:B,2,FALSE)</f>
        <v>Test-SIT</v>
      </c>
    </row>
    <row r="320" spans="1:47" ht="51.75" customHeight="1" x14ac:dyDescent="0.2">
      <c r="A320" s="27" t="s">
        <v>86</v>
      </c>
      <c r="B320" s="29" t="s">
        <v>1697</v>
      </c>
      <c r="C320" s="27" t="s">
        <v>1698</v>
      </c>
      <c r="D320" s="22" t="s">
        <v>96</v>
      </c>
      <c r="E320" s="22" t="s">
        <v>166</v>
      </c>
      <c r="F320" s="27"/>
      <c r="G320" s="27" t="s">
        <v>518</v>
      </c>
      <c r="H320" s="27"/>
      <c r="I320" s="27"/>
      <c r="J320" s="14" t="s">
        <v>91</v>
      </c>
      <c r="K320" s="14" t="s">
        <v>59</v>
      </c>
      <c r="L320" s="14" t="s">
        <v>124</v>
      </c>
      <c r="M320" s="14" t="s">
        <v>132</v>
      </c>
      <c r="N320" s="18" t="s">
        <v>21</v>
      </c>
      <c r="O320" s="14" t="s">
        <v>21</v>
      </c>
      <c r="P320" s="19">
        <v>42757.54791666667</v>
      </c>
      <c r="Q320" s="19">
        <v>42772.526388888888</v>
      </c>
      <c r="R320" s="19">
        <v>42761.619444444441</v>
      </c>
      <c r="S320" s="14" t="s">
        <v>518</v>
      </c>
      <c r="T320" s="14" t="s">
        <v>518</v>
      </c>
      <c r="U320" s="14" t="s">
        <v>96</v>
      </c>
      <c r="V320" s="28">
        <v>42760</v>
      </c>
      <c r="W320" s="14">
        <v>0</v>
      </c>
      <c r="X320" s="14">
        <v>0</v>
      </c>
      <c r="Y320" s="14"/>
      <c r="Z320" s="14"/>
      <c r="AA320" s="14"/>
      <c r="AB320" s="14"/>
      <c r="AC320" s="14"/>
      <c r="AD320" s="14"/>
      <c r="AE320" s="14"/>
      <c r="AF320" s="14" t="s">
        <v>1699</v>
      </c>
      <c r="AG320" s="14" t="s">
        <v>1700</v>
      </c>
      <c r="AH320" s="14"/>
      <c r="AI320" s="14"/>
      <c r="AJ320" s="14"/>
      <c r="AK320" s="14"/>
      <c r="AL320" s="14"/>
      <c r="AM320" s="14"/>
      <c r="AN320" s="14" t="s">
        <v>235</v>
      </c>
      <c r="AO320" s="14" t="s">
        <v>1648</v>
      </c>
      <c r="AP320" s="14"/>
      <c r="AQ320" s="14"/>
      <c r="AR320" s="22"/>
      <c r="AS320" s="22" t="s">
        <v>96</v>
      </c>
      <c r="AT320" s="22" t="s">
        <v>959</v>
      </c>
      <c r="AU320" s="25" t="str">
        <f>VLOOKUP(O320,[1]Lookup!A:B,2,FALSE)</f>
        <v>Test-SIT</v>
      </c>
    </row>
    <row r="321" spans="1:47" ht="51.75" customHeight="1" x14ac:dyDescent="0.2">
      <c r="A321" s="27" t="s">
        <v>86</v>
      </c>
      <c r="B321" s="29" t="s">
        <v>1701</v>
      </c>
      <c r="C321" s="27" t="s">
        <v>1702</v>
      </c>
      <c r="D321" s="22" t="s">
        <v>96</v>
      </c>
      <c r="E321" s="22" t="s">
        <v>166</v>
      </c>
      <c r="F321" s="27"/>
      <c r="G321" s="27" t="s">
        <v>139</v>
      </c>
      <c r="H321" s="27"/>
      <c r="I321" s="27"/>
      <c r="J321" s="14" t="s">
        <v>91</v>
      </c>
      <c r="K321" s="14" t="s">
        <v>59</v>
      </c>
      <c r="L321" s="14" t="s">
        <v>124</v>
      </c>
      <c r="M321" s="14" t="s">
        <v>132</v>
      </c>
      <c r="N321" s="18" t="s">
        <v>21</v>
      </c>
      <c r="O321" s="14" t="s">
        <v>21</v>
      </c>
      <c r="P321" s="19">
        <v>42757.537499999999</v>
      </c>
      <c r="Q321" s="19">
        <v>42772.526388888888</v>
      </c>
      <c r="R321" s="19">
        <v>42766.57708333333</v>
      </c>
      <c r="S321" s="14" t="s">
        <v>518</v>
      </c>
      <c r="T321" s="14" t="s">
        <v>139</v>
      </c>
      <c r="U321" s="14" t="s">
        <v>96</v>
      </c>
      <c r="V321" s="28">
        <v>42760</v>
      </c>
      <c r="W321" s="14">
        <v>0</v>
      </c>
      <c r="X321" s="14">
        <v>0</v>
      </c>
      <c r="Y321" s="14"/>
      <c r="Z321" s="14"/>
      <c r="AA321" s="14"/>
      <c r="AB321" s="14"/>
      <c r="AC321" s="14"/>
      <c r="AD321" s="14"/>
      <c r="AE321" s="14"/>
      <c r="AF321" s="14" t="s">
        <v>1703</v>
      </c>
      <c r="AG321" s="14" t="s">
        <v>1704</v>
      </c>
      <c r="AH321" s="14"/>
      <c r="AI321" s="14"/>
      <c r="AJ321" s="14"/>
      <c r="AK321" s="14"/>
      <c r="AL321" s="14"/>
      <c r="AM321" s="14"/>
      <c r="AN321" s="14" t="s">
        <v>235</v>
      </c>
      <c r="AO321" s="14" t="s">
        <v>1653</v>
      </c>
      <c r="AP321" s="14" t="s">
        <v>146</v>
      </c>
      <c r="AQ321" s="14"/>
      <c r="AR321" s="22"/>
      <c r="AS321" s="22" t="s">
        <v>96</v>
      </c>
      <c r="AT321" s="22" t="s">
        <v>959</v>
      </c>
      <c r="AU321" s="25" t="str">
        <f>VLOOKUP(O321,[1]Lookup!A:B,2,FALSE)</f>
        <v>Test-SIT</v>
      </c>
    </row>
    <row r="322" spans="1:47" ht="51.75" customHeight="1" x14ac:dyDescent="0.2">
      <c r="A322" s="27" t="s">
        <v>86</v>
      </c>
      <c r="B322" s="29" t="s">
        <v>1705</v>
      </c>
      <c r="C322" s="27" t="s">
        <v>1706</v>
      </c>
      <c r="D322" s="22" t="s">
        <v>96</v>
      </c>
      <c r="E322" s="22" t="s">
        <v>166</v>
      </c>
      <c r="F322" s="27"/>
      <c r="G322" s="27" t="s">
        <v>139</v>
      </c>
      <c r="H322" s="27"/>
      <c r="I322" s="27"/>
      <c r="J322" s="14" t="s">
        <v>91</v>
      </c>
      <c r="K322" s="14" t="s">
        <v>59</v>
      </c>
      <c r="L322" s="14" t="s">
        <v>124</v>
      </c>
      <c r="M322" s="14" t="s">
        <v>132</v>
      </c>
      <c r="N322" s="18" t="s">
        <v>21</v>
      </c>
      <c r="O322" s="14" t="s">
        <v>21</v>
      </c>
      <c r="P322" s="19">
        <v>42757.518750000003</v>
      </c>
      <c r="Q322" s="19">
        <v>42772.521527777775</v>
      </c>
      <c r="R322" s="19">
        <v>42766.601388888892</v>
      </c>
      <c r="S322" s="14" t="s">
        <v>518</v>
      </c>
      <c r="T322" s="14" t="s">
        <v>139</v>
      </c>
      <c r="U322" s="14" t="s">
        <v>96</v>
      </c>
      <c r="V322" s="28">
        <v>42760</v>
      </c>
      <c r="W322" s="14">
        <v>0</v>
      </c>
      <c r="X322" s="14">
        <v>0</v>
      </c>
      <c r="Y322" s="14"/>
      <c r="Z322" s="14"/>
      <c r="AA322" s="14"/>
      <c r="AB322" s="14"/>
      <c r="AC322" s="14"/>
      <c r="AD322" s="14"/>
      <c r="AE322" s="14"/>
      <c r="AF322" s="14" t="s">
        <v>1707</v>
      </c>
      <c r="AG322" s="14" t="s">
        <v>1708</v>
      </c>
      <c r="AH322" s="14"/>
      <c r="AI322" s="14"/>
      <c r="AJ322" s="14"/>
      <c r="AK322" s="14"/>
      <c r="AL322" s="14"/>
      <c r="AM322" s="14"/>
      <c r="AN322" s="14" t="s">
        <v>235</v>
      </c>
      <c r="AO322" s="14" t="s">
        <v>1653</v>
      </c>
      <c r="AP322" s="14"/>
      <c r="AQ322" s="14"/>
      <c r="AR322" s="22"/>
      <c r="AS322" s="22" t="s">
        <v>96</v>
      </c>
      <c r="AT322" s="22" t="s">
        <v>959</v>
      </c>
      <c r="AU322" s="25" t="str">
        <f>VLOOKUP(O322,[1]Lookup!A:B,2,FALSE)</f>
        <v>Test-SIT</v>
      </c>
    </row>
    <row r="323" spans="1:47" ht="51.75" customHeight="1" x14ac:dyDescent="0.2">
      <c r="A323" s="27" t="s">
        <v>86</v>
      </c>
      <c r="B323" s="29" t="s">
        <v>1709</v>
      </c>
      <c r="C323" s="27" t="s">
        <v>1634</v>
      </c>
      <c r="D323" s="22" t="s">
        <v>89</v>
      </c>
      <c r="E323" s="22" t="s">
        <v>507</v>
      </c>
      <c r="F323" s="26" t="s">
        <v>1276</v>
      </c>
      <c r="G323" s="37" t="s">
        <v>155</v>
      </c>
      <c r="H323" s="44" t="s">
        <v>1277</v>
      </c>
      <c r="I323" s="26" t="s">
        <v>1278</v>
      </c>
      <c r="J323" s="14" t="s">
        <v>91</v>
      </c>
      <c r="K323" s="14" t="s">
        <v>59</v>
      </c>
      <c r="L323" s="14" t="s">
        <v>93</v>
      </c>
      <c r="M323" s="14" t="s">
        <v>1129</v>
      </c>
      <c r="N323" s="18" t="s">
        <v>8</v>
      </c>
      <c r="O323" s="14" t="s">
        <v>21</v>
      </c>
      <c r="P323" s="19">
        <v>42757.493750000001</v>
      </c>
      <c r="Q323" s="19">
        <v>42807.652083333334</v>
      </c>
      <c r="R323" s="19">
        <v>42807.652083333334</v>
      </c>
      <c r="S323" s="14" t="s">
        <v>518</v>
      </c>
      <c r="T323" s="14" t="s">
        <v>510</v>
      </c>
      <c r="U323" s="14" t="s">
        <v>1710</v>
      </c>
      <c r="V323" s="28">
        <v>42762</v>
      </c>
      <c r="W323" s="14">
        <v>0</v>
      </c>
      <c r="X323" s="14">
        <v>0</v>
      </c>
      <c r="Y323" s="14"/>
      <c r="Z323" s="14"/>
      <c r="AA323" s="14"/>
      <c r="AB323" s="14"/>
      <c r="AC323" s="14"/>
      <c r="AD323" s="14"/>
      <c r="AE323" s="14" t="s">
        <v>1332</v>
      </c>
      <c r="AF323" s="14" t="s">
        <v>1711</v>
      </c>
      <c r="AG323" s="14" t="s">
        <v>1712</v>
      </c>
      <c r="AH323" s="14"/>
      <c r="AI323" s="14"/>
      <c r="AJ323" s="14"/>
      <c r="AK323" s="14"/>
      <c r="AL323" s="14"/>
      <c r="AM323" s="14"/>
      <c r="AN323" s="14" t="s">
        <v>149</v>
      </c>
      <c r="AO323" s="14" t="s">
        <v>221</v>
      </c>
      <c r="AP323" s="14"/>
      <c r="AQ323" s="14"/>
      <c r="AR323" s="22"/>
      <c r="AS323" s="22" t="s">
        <v>89</v>
      </c>
      <c r="AT323" s="22" t="s">
        <v>513</v>
      </c>
      <c r="AU323" s="25" t="str">
        <f>VLOOKUP(O323,[1]Lookup!A:B,2,FALSE)</f>
        <v>Test-SIT</v>
      </c>
    </row>
    <row r="324" spans="1:47" ht="51.75" customHeight="1" x14ac:dyDescent="0.2">
      <c r="A324" s="27" t="s">
        <v>86</v>
      </c>
      <c r="B324" s="29" t="s">
        <v>1713</v>
      </c>
      <c r="C324" s="27" t="s">
        <v>1714</v>
      </c>
      <c r="D324" s="22" t="s">
        <v>89</v>
      </c>
      <c r="E324" s="22" t="s">
        <v>435</v>
      </c>
      <c r="F324" s="27"/>
      <c r="G324" s="27" t="s">
        <v>139</v>
      </c>
      <c r="H324" s="27"/>
      <c r="I324" s="27"/>
      <c r="J324" s="14" t="s">
        <v>91</v>
      </c>
      <c r="K324" s="14" t="s">
        <v>59</v>
      </c>
      <c r="L324" s="14" t="s">
        <v>93</v>
      </c>
      <c r="M324" s="14" t="s">
        <v>132</v>
      </c>
      <c r="N324" s="18" t="s">
        <v>21</v>
      </c>
      <c r="O324" s="14" t="s">
        <v>24</v>
      </c>
      <c r="P324" s="19">
        <v>42755.67083333333</v>
      </c>
      <c r="Q324" s="19">
        <v>42771.64166666667</v>
      </c>
      <c r="R324" s="19">
        <v>42771.64166666667</v>
      </c>
      <c r="S324" s="14" t="s">
        <v>518</v>
      </c>
      <c r="T324" s="14" t="s">
        <v>139</v>
      </c>
      <c r="U324" s="14" t="s">
        <v>89</v>
      </c>
      <c r="V324" s="28">
        <v>42756</v>
      </c>
      <c r="W324" s="14">
        <v>0</v>
      </c>
      <c r="X324" s="14">
        <v>0</v>
      </c>
      <c r="Y324" s="14"/>
      <c r="Z324" s="14"/>
      <c r="AA324" s="14"/>
      <c r="AB324" s="14"/>
      <c r="AC324" s="14"/>
      <c r="AD324" s="14"/>
      <c r="AE324" s="14"/>
      <c r="AF324" s="14" t="s">
        <v>1715</v>
      </c>
      <c r="AG324" s="14" t="s">
        <v>1716</v>
      </c>
      <c r="AH324" s="14"/>
      <c r="AI324" s="14"/>
      <c r="AJ324" s="14"/>
      <c r="AK324" s="14"/>
      <c r="AL324" s="14"/>
      <c r="AM324" s="14"/>
      <c r="AN324" s="14" t="s">
        <v>1717</v>
      </c>
      <c r="AO324" s="14" t="s">
        <v>1505</v>
      </c>
      <c r="AP324" s="14"/>
      <c r="AQ324" s="14"/>
      <c r="AR324" s="22"/>
      <c r="AS324" s="22" t="s">
        <v>89</v>
      </c>
      <c r="AT324" s="22" t="s">
        <v>435</v>
      </c>
      <c r="AU324" s="25" t="str">
        <f>VLOOKUP(O324,[1]Lookup!A:B,2,FALSE)</f>
        <v>Test-SIT</v>
      </c>
    </row>
    <row r="325" spans="1:47" ht="51.75" customHeight="1" x14ac:dyDescent="0.2">
      <c r="A325" s="27" t="s">
        <v>86</v>
      </c>
      <c r="B325" s="29" t="s">
        <v>1718</v>
      </c>
      <c r="C325" s="27" t="s">
        <v>1719</v>
      </c>
      <c r="D325" s="22" t="s">
        <v>89</v>
      </c>
      <c r="E325" s="22" t="s">
        <v>193</v>
      </c>
      <c r="F325" s="27"/>
      <c r="G325" s="27" t="s">
        <v>139</v>
      </c>
      <c r="H325" s="27"/>
      <c r="I325" s="27"/>
      <c r="J325" s="14" t="s">
        <v>91</v>
      </c>
      <c r="K325" s="14" t="s">
        <v>59</v>
      </c>
      <c r="L325" s="14" t="s">
        <v>93</v>
      </c>
      <c r="M325" s="14" t="s">
        <v>132</v>
      </c>
      <c r="N325" s="18" t="s">
        <v>21</v>
      </c>
      <c r="O325" s="14" t="s">
        <v>21</v>
      </c>
      <c r="P325" s="19">
        <v>42754.918055555558</v>
      </c>
      <c r="Q325" s="19">
        <v>42768.738194444442</v>
      </c>
      <c r="R325" s="19">
        <v>42766.444444444445</v>
      </c>
      <c r="S325" s="14" t="s">
        <v>518</v>
      </c>
      <c r="T325" s="14" t="s">
        <v>139</v>
      </c>
      <c r="U325" s="14" t="s">
        <v>89</v>
      </c>
      <c r="V325" s="28">
        <v>42755</v>
      </c>
      <c r="W325" s="14">
        <v>0</v>
      </c>
      <c r="X325" s="14">
        <v>0</v>
      </c>
      <c r="Y325" s="20" t="s">
        <v>1720</v>
      </c>
      <c r="Z325" s="14"/>
      <c r="AA325" s="14"/>
      <c r="AB325" s="14"/>
      <c r="AC325" s="14"/>
      <c r="AD325" s="14"/>
      <c r="AE325" s="14"/>
      <c r="AF325" s="14" t="s">
        <v>1721</v>
      </c>
      <c r="AG325" s="14" t="s">
        <v>1722</v>
      </c>
      <c r="AH325" s="14"/>
      <c r="AI325" s="14"/>
      <c r="AJ325" s="14"/>
      <c r="AK325" s="14"/>
      <c r="AL325" s="14"/>
      <c r="AM325" s="14"/>
      <c r="AN325" s="14" t="s">
        <v>193</v>
      </c>
      <c r="AO325" s="14" t="s">
        <v>1723</v>
      </c>
      <c r="AP325" s="14"/>
      <c r="AQ325" s="14"/>
      <c r="AR325" s="22"/>
      <c r="AS325" s="22" t="s">
        <v>89</v>
      </c>
      <c r="AT325" s="22" t="s">
        <v>193</v>
      </c>
      <c r="AU325" s="25" t="str">
        <f>VLOOKUP(O325,[1]Lookup!A:B,2,FALSE)</f>
        <v>Test-SIT</v>
      </c>
    </row>
    <row r="326" spans="1:47" ht="51.75" customHeight="1" x14ac:dyDescent="0.2">
      <c r="A326" s="27" t="s">
        <v>86</v>
      </c>
      <c r="B326" s="29" t="s">
        <v>1724</v>
      </c>
      <c r="C326" s="27" t="s">
        <v>1725</v>
      </c>
      <c r="D326" s="22" t="s">
        <v>89</v>
      </c>
      <c r="E326" s="22" t="s">
        <v>477</v>
      </c>
      <c r="F326" s="27"/>
      <c r="G326" s="27" t="s">
        <v>139</v>
      </c>
      <c r="H326" s="27"/>
      <c r="I326" s="27"/>
      <c r="J326" s="14" t="s">
        <v>91</v>
      </c>
      <c r="K326" s="14" t="s">
        <v>59</v>
      </c>
      <c r="L326" s="14" t="s">
        <v>93</v>
      </c>
      <c r="M326" s="14" t="s">
        <v>132</v>
      </c>
      <c r="N326" s="18" t="s">
        <v>21</v>
      </c>
      <c r="O326" s="14" t="s">
        <v>21</v>
      </c>
      <c r="P326" s="19">
        <v>42754.913194444445</v>
      </c>
      <c r="Q326" s="19">
        <v>42773.413194444445</v>
      </c>
      <c r="R326" s="19">
        <v>42773.413194444445</v>
      </c>
      <c r="S326" s="14" t="s">
        <v>518</v>
      </c>
      <c r="T326" s="14" t="s">
        <v>139</v>
      </c>
      <c r="U326" s="14" t="s">
        <v>89</v>
      </c>
      <c r="V326" s="28">
        <v>42755</v>
      </c>
      <c r="W326" s="14">
        <v>0</v>
      </c>
      <c r="X326" s="14">
        <v>0</v>
      </c>
      <c r="Y326" s="14"/>
      <c r="Z326" s="14"/>
      <c r="AA326" s="14"/>
      <c r="AB326" s="14"/>
      <c r="AC326" s="14"/>
      <c r="AD326" s="14"/>
      <c r="AE326" s="14"/>
      <c r="AF326" s="14" t="s">
        <v>1726</v>
      </c>
      <c r="AG326" s="14" t="s">
        <v>1727</v>
      </c>
      <c r="AH326" s="14"/>
      <c r="AI326" s="14"/>
      <c r="AJ326" s="14"/>
      <c r="AK326" s="14"/>
      <c r="AL326" s="14"/>
      <c r="AM326" s="14"/>
      <c r="AN326" s="14" t="s">
        <v>193</v>
      </c>
      <c r="AO326" s="14" t="s">
        <v>1728</v>
      </c>
      <c r="AP326" s="14"/>
      <c r="AQ326" s="14"/>
      <c r="AR326" s="22"/>
      <c r="AS326" s="22" t="s">
        <v>89</v>
      </c>
      <c r="AT326" s="22" t="s">
        <v>477</v>
      </c>
      <c r="AU326" s="25" t="str">
        <f>VLOOKUP(O326,[1]Lookup!A:B,2,FALSE)</f>
        <v>Test-SIT</v>
      </c>
    </row>
    <row r="327" spans="1:47" ht="51.75" customHeight="1" x14ac:dyDescent="0.2">
      <c r="A327" s="27" t="s">
        <v>86</v>
      </c>
      <c r="B327" s="29" t="s">
        <v>1729</v>
      </c>
      <c r="C327" s="27" t="s">
        <v>1730</v>
      </c>
      <c r="D327" s="22" t="s">
        <v>89</v>
      </c>
      <c r="E327" s="22" t="s">
        <v>1556</v>
      </c>
      <c r="F327" s="27"/>
      <c r="G327" s="27" t="s">
        <v>518</v>
      </c>
      <c r="H327" s="27"/>
      <c r="I327" s="27"/>
      <c r="J327" s="14" t="s">
        <v>91</v>
      </c>
      <c r="K327" s="14" t="s">
        <v>59</v>
      </c>
      <c r="L327" s="14" t="s">
        <v>93</v>
      </c>
      <c r="M327" s="14" t="s">
        <v>132</v>
      </c>
      <c r="N327" s="18" t="s">
        <v>21</v>
      </c>
      <c r="O327" s="14" t="s">
        <v>24</v>
      </c>
      <c r="P327" s="19">
        <v>42753.797222222223</v>
      </c>
      <c r="Q327" s="19">
        <v>42771.64166666667</v>
      </c>
      <c r="R327" s="19">
        <v>42758.710416666669</v>
      </c>
      <c r="S327" s="14" t="s">
        <v>518</v>
      </c>
      <c r="T327" s="14" t="s">
        <v>518</v>
      </c>
      <c r="U327" s="14" t="s">
        <v>89</v>
      </c>
      <c r="V327" s="28">
        <v>42754</v>
      </c>
      <c r="W327" s="14">
        <v>1</v>
      </c>
      <c r="X327" s="14">
        <v>1</v>
      </c>
      <c r="Y327" s="20" t="s">
        <v>1731</v>
      </c>
      <c r="Z327" s="14"/>
      <c r="AA327" s="14"/>
      <c r="AB327" s="14"/>
      <c r="AC327" s="14"/>
      <c r="AD327" s="14"/>
      <c r="AE327" s="14"/>
      <c r="AF327" s="14" t="s">
        <v>1732</v>
      </c>
      <c r="AG327" s="14" t="s">
        <v>1733</v>
      </c>
      <c r="AH327" s="14"/>
      <c r="AI327" s="14"/>
      <c r="AJ327" s="14"/>
      <c r="AK327" s="14"/>
      <c r="AL327" s="14"/>
      <c r="AM327" s="14"/>
      <c r="AN327" s="14" t="s">
        <v>1523</v>
      </c>
      <c r="AO327" s="14" t="s">
        <v>1734</v>
      </c>
      <c r="AP327" s="14" t="s">
        <v>779</v>
      </c>
      <c r="AQ327" s="14"/>
      <c r="AR327" s="22"/>
      <c r="AS327" s="22" t="s">
        <v>89</v>
      </c>
      <c r="AT327" s="22" t="s">
        <v>1556</v>
      </c>
      <c r="AU327" s="25" t="str">
        <f>VLOOKUP(O327,[1]Lookup!A:B,2,FALSE)</f>
        <v>Test-SIT</v>
      </c>
    </row>
    <row r="328" spans="1:47" ht="51.75" customHeight="1" x14ac:dyDescent="0.2">
      <c r="A328" s="27" t="s">
        <v>86</v>
      </c>
      <c r="B328" s="29" t="s">
        <v>1735</v>
      </c>
      <c r="C328" s="27" t="s">
        <v>1736</v>
      </c>
      <c r="D328" s="22" t="s">
        <v>89</v>
      </c>
      <c r="E328" s="22" t="s">
        <v>1540</v>
      </c>
      <c r="F328" s="27"/>
      <c r="G328" s="27" t="s">
        <v>518</v>
      </c>
      <c r="H328" s="27"/>
      <c r="I328" s="27"/>
      <c r="J328" s="14" t="s">
        <v>91</v>
      </c>
      <c r="K328" s="14" t="s">
        <v>59</v>
      </c>
      <c r="L328" s="14" t="s">
        <v>93</v>
      </c>
      <c r="M328" s="14" t="s">
        <v>132</v>
      </c>
      <c r="N328" s="18" t="s">
        <v>24</v>
      </c>
      <c r="O328" s="14" t="s">
        <v>24</v>
      </c>
      <c r="P328" s="19">
        <v>42753.763888888891</v>
      </c>
      <c r="Q328" s="19">
        <v>42771.574999999997</v>
      </c>
      <c r="R328" s="19">
        <v>42753.794444444444</v>
      </c>
      <c r="S328" s="14" t="s">
        <v>518</v>
      </c>
      <c r="T328" s="14" t="s">
        <v>518</v>
      </c>
      <c r="U328" s="14" t="s">
        <v>130</v>
      </c>
      <c r="V328" s="28">
        <v>42754</v>
      </c>
      <c r="W328" s="14">
        <v>0</v>
      </c>
      <c r="X328" s="14">
        <v>0</v>
      </c>
      <c r="Y328" s="14"/>
      <c r="Z328" s="14"/>
      <c r="AA328" s="14"/>
      <c r="AB328" s="14"/>
      <c r="AC328" s="14"/>
      <c r="AD328" s="14"/>
      <c r="AE328" s="14"/>
      <c r="AF328" s="14" t="s">
        <v>1737</v>
      </c>
      <c r="AG328" s="14" t="s">
        <v>1738</v>
      </c>
      <c r="AH328" s="14"/>
      <c r="AI328" s="14"/>
      <c r="AJ328" s="14"/>
      <c r="AK328" s="14"/>
      <c r="AL328" s="14"/>
      <c r="AM328" s="14"/>
      <c r="AN328" s="14" t="s">
        <v>255</v>
      </c>
      <c r="AO328" s="14" t="s">
        <v>1739</v>
      </c>
      <c r="AP328" s="14" t="s">
        <v>779</v>
      </c>
      <c r="AQ328" s="14"/>
      <c r="AR328" s="22"/>
      <c r="AS328" s="22" t="s">
        <v>89</v>
      </c>
      <c r="AT328" s="22" t="s">
        <v>1540</v>
      </c>
      <c r="AU328" s="25" t="str">
        <f>VLOOKUP(O328,[1]Lookup!A:B,2,FALSE)</f>
        <v>Test-SIT</v>
      </c>
    </row>
    <row r="329" spans="1:47" ht="51.75" customHeight="1" x14ac:dyDescent="0.2">
      <c r="A329" s="27" t="s">
        <v>86</v>
      </c>
      <c r="B329" s="29" t="s">
        <v>1740</v>
      </c>
      <c r="C329" s="27" t="s">
        <v>1741</v>
      </c>
      <c r="D329" s="22" t="s">
        <v>89</v>
      </c>
      <c r="E329" s="22" t="s">
        <v>90</v>
      </c>
      <c r="F329" s="27"/>
      <c r="G329" s="27" t="s">
        <v>518</v>
      </c>
      <c r="H329" s="27"/>
      <c r="I329" s="27"/>
      <c r="J329" s="14" t="s">
        <v>91</v>
      </c>
      <c r="K329" s="14" t="s">
        <v>59</v>
      </c>
      <c r="L329" s="14" t="s">
        <v>93</v>
      </c>
      <c r="M329" s="14" t="s">
        <v>132</v>
      </c>
      <c r="N329" s="18" t="s">
        <v>21</v>
      </c>
      <c r="O329" s="14" t="s">
        <v>24</v>
      </c>
      <c r="P329" s="19">
        <v>42753.7</v>
      </c>
      <c r="Q329" s="19">
        <v>42771.570833333331</v>
      </c>
      <c r="R329" s="19">
        <v>42754.895833333336</v>
      </c>
      <c r="S329" s="14" t="s">
        <v>518</v>
      </c>
      <c r="T329" s="14" t="s">
        <v>518</v>
      </c>
      <c r="U329" s="14" t="s">
        <v>89</v>
      </c>
      <c r="V329" s="28">
        <v>42754</v>
      </c>
      <c r="W329" s="14">
        <v>0</v>
      </c>
      <c r="X329" s="14">
        <v>0</v>
      </c>
      <c r="Y329" s="20" t="s">
        <v>1742</v>
      </c>
      <c r="Z329" s="14"/>
      <c r="AA329" s="14"/>
      <c r="AB329" s="14"/>
      <c r="AC329" s="14"/>
      <c r="AD329" s="14"/>
      <c r="AE329" s="14"/>
      <c r="AF329" s="14" t="s">
        <v>1743</v>
      </c>
      <c r="AG329" s="14" t="s">
        <v>1744</v>
      </c>
      <c r="AH329" s="14"/>
      <c r="AI329" s="14"/>
      <c r="AJ329" s="14"/>
      <c r="AK329" s="14"/>
      <c r="AL329" s="14"/>
      <c r="AM329" s="14"/>
      <c r="AN329" s="14" t="s">
        <v>1105</v>
      </c>
      <c r="AO329" s="14" t="s">
        <v>1745</v>
      </c>
      <c r="AP329" s="14" t="s">
        <v>250</v>
      </c>
      <c r="AQ329" s="14"/>
      <c r="AR329" s="22"/>
      <c r="AS329" s="22" t="s">
        <v>89</v>
      </c>
      <c r="AT329" s="22" t="s">
        <v>99</v>
      </c>
      <c r="AU329" s="25" t="str">
        <f>VLOOKUP(O329,[1]Lookup!A:B,2,FALSE)</f>
        <v>Test-SIT</v>
      </c>
    </row>
    <row r="330" spans="1:47" ht="51.75" customHeight="1" x14ac:dyDescent="0.2">
      <c r="A330" s="27" t="s">
        <v>86</v>
      </c>
      <c r="B330" s="29" t="s">
        <v>1746</v>
      </c>
      <c r="C330" s="27" t="s">
        <v>1747</v>
      </c>
      <c r="D330" s="22" t="s">
        <v>89</v>
      </c>
      <c r="E330" s="22" t="s">
        <v>193</v>
      </c>
      <c r="F330" s="27"/>
      <c r="G330" s="27" t="s">
        <v>518</v>
      </c>
      <c r="H330" s="27"/>
      <c r="I330" s="27"/>
      <c r="J330" s="14" t="s">
        <v>91</v>
      </c>
      <c r="K330" s="14" t="s">
        <v>59</v>
      </c>
      <c r="L330" s="14" t="s">
        <v>93</v>
      </c>
      <c r="M330" s="14" t="s">
        <v>624</v>
      </c>
      <c r="N330" s="18" t="s">
        <v>24</v>
      </c>
      <c r="O330" s="14" t="s">
        <v>24</v>
      </c>
      <c r="P330" s="19">
        <v>42753.692361111112</v>
      </c>
      <c r="Q330" s="19">
        <v>42771.567361111112</v>
      </c>
      <c r="R330" s="19">
        <v>42753.74722222222</v>
      </c>
      <c r="S330" s="14" t="s">
        <v>518</v>
      </c>
      <c r="T330" s="14" t="s">
        <v>518</v>
      </c>
      <c r="U330" s="14" t="s">
        <v>96</v>
      </c>
      <c r="V330" s="28">
        <v>42754</v>
      </c>
      <c r="W330" s="14">
        <v>0</v>
      </c>
      <c r="X330" s="14">
        <v>0</v>
      </c>
      <c r="Y330" s="14"/>
      <c r="Z330" s="14"/>
      <c r="AA330" s="14"/>
      <c r="AB330" s="14"/>
      <c r="AC330" s="14"/>
      <c r="AD330" s="14"/>
      <c r="AE330" s="14"/>
      <c r="AF330" s="14" t="s">
        <v>1748</v>
      </c>
      <c r="AG330" s="14" t="s">
        <v>1749</v>
      </c>
      <c r="AH330" s="14"/>
      <c r="AI330" s="14"/>
      <c r="AJ330" s="14"/>
      <c r="AK330" s="14"/>
      <c r="AL330" s="14"/>
      <c r="AM330" s="14"/>
      <c r="AN330" s="14" t="s">
        <v>624</v>
      </c>
      <c r="AO330" s="14" t="s">
        <v>1750</v>
      </c>
      <c r="AP330" s="14" t="s">
        <v>250</v>
      </c>
      <c r="AQ330" s="14"/>
      <c r="AR330" s="22"/>
      <c r="AS330" s="22" t="s">
        <v>89</v>
      </c>
      <c r="AT330" s="22" t="s">
        <v>193</v>
      </c>
      <c r="AU330" s="25" t="str">
        <f>VLOOKUP(O330,[1]Lookup!A:B,2,FALSE)</f>
        <v>Test-SIT</v>
      </c>
    </row>
    <row r="331" spans="1:47" ht="51.75" customHeight="1" x14ac:dyDescent="0.2">
      <c r="A331" s="27" t="s">
        <v>86</v>
      </c>
      <c r="B331" s="29" t="s">
        <v>1751</v>
      </c>
      <c r="C331" s="27" t="s">
        <v>1752</v>
      </c>
      <c r="D331" s="22" t="s">
        <v>89</v>
      </c>
      <c r="E331" s="22" t="s">
        <v>507</v>
      </c>
      <c r="F331" s="27"/>
      <c r="G331" s="27" t="s">
        <v>139</v>
      </c>
      <c r="H331" s="27"/>
      <c r="I331" s="27"/>
      <c r="J331" s="14" t="s">
        <v>91</v>
      </c>
      <c r="K331" s="14" t="s">
        <v>59</v>
      </c>
      <c r="L331" s="14" t="s">
        <v>93</v>
      </c>
      <c r="M331" s="14" t="s">
        <v>132</v>
      </c>
      <c r="N331" s="18" t="s">
        <v>21</v>
      </c>
      <c r="O331" s="14" t="s">
        <v>24</v>
      </c>
      <c r="P331" s="19">
        <v>42753.640277777777</v>
      </c>
      <c r="Q331" s="19">
        <v>42771.684027777781</v>
      </c>
      <c r="R331" s="19">
        <v>42771.684027777781</v>
      </c>
      <c r="S331" s="14" t="s">
        <v>518</v>
      </c>
      <c r="T331" s="14" t="s">
        <v>139</v>
      </c>
      <c r="U331" s="14" t="s">
        <v>412</v>
      </c>
      <c r="V331" s="28">
        <v>42754</v>
      </c>
      <c r="W331" s="14">
        <v>0</v>
      </c>
      <c r="X331" s="14">
        <v>0</v>
      </c>
      <c r="Y331" s="14"/>
      <c r="Z331" s="14"/>
      <c r="AA331" s="14"/>
      <c r="AB331" s="14"/>
      <c r="AC331" s="14"/>
      <c r="AD331" s="14"/>
      <c r="AE331" s="14"/>
      <c r="AF331" s="14" t="s">
        <v>1753</v>
      </c>
      <c r="AG331" s="14" t="s">
        <v>1754</v>
      </c>
      <c r="AH331" s="14"/>
      <c r="AI331" s="14"/>
      <c r="AJ331" s="14"/>
      <c r="AK331" s="14"/>
      <c r="AL331" s="14"/>
      <c r="AM331" s="14"/>
      <c r="AN331" s="14" t="s">
        <v>149</v>
      </c>
      <c r="AO331" s="14" t="s">
        <v>1755</v>
      </c>
      <c r="AP331" s="14" t="s">
        <v>163</v>
      </c>
      <c r="AQ331" s="14"/>
      <c r="AR331" s="22"/>
      <c r="AS331" s="22" t="s">
        <v>89</v>
      </c>
      <c r="AT331" s="22" t="s">
        <v>513</v>
      </c>
      <c r="AU331" s="25" t="str">
        <f>VLOOKUP(O331,[1]Lookup!A:B,2,FALSE)</f>
        <v>Test-SIT</v>
      </c>
    </row>
    <row r="332" spans="1:47" ht="51.75" customHeight="1" x14ac:dyDescent="0.2">
      <c r="A332" s="27" t="s">
        <v>86</v>
      </c>
      <c r="B332" s="29" t="s">
        <v>1756</v>
      </c>
      <c r="C332" s="27" t="s">
        <v>1757</v>
      </c>
      <c r="D332" s="22" t="s">
        <v>89</v>
      </c>
      <c r="E332" s="22" t="s">
        <v>507</v>
      </c>
      <c r="F332" s="27"/>
      <c r="G332" s="27" t="s">
        <v>1758</v>
      </c>
      <c r="H332" s="27"/>
      <c r="I332" s="27"/>
      <c r="J332" s="14" t="s">
        <v>91</v>
      </c>
      <c r="K332" s="14" t="s">
        <v>59</v>
      </c>
      <c r="L332" s="14" t="s">
        <v>93</v>
      </c>
      <c r="M332" s="14" t="s">
        <v>132</v>
      </c>
      <c r="N332" s="18" t="s">
        <v>24</v>
      </c>
      <c r="O332" s="14" t="s">
        <v>24</v>
      </c>
      <c r="P332" s="19">
        <v>42753.625</v>
      </c>
      <c r="Q332" s="19">
        <v>42771.740972222222</v>
      </c>
      <c r="R332" s="19">
        <v>42771.740972222222</v>
      </c>
      <c r="S332" s="14" t="s">
        <v>518</v>
      </c>
      <c r="T332" s="14" t="s">
        <v>1758</v>
      </c>
      <c r="U332" s="14" t="s">
        <v>412</v>
      </c>
      <c r="V332" s="28">
        <v>42754</v>
      </c>
      <c r="W332" s="14">
        <v>0</v>
      </c>
      <c r="X332" s="14">
        <v>0</v>
      </c>
      <c r="Y332" s="14"/>
      <c r="Z332" s="14"/>
      <c r="AA332" s="14"/>
      <c r="AB332" s="14"/>
      <c r="AC332" s="14"/>
      <c r="AD332" s="14"/>
      <c r="AE332" s="14"/>
      <c r="AF332" s="14" t="s">
        <v>1759</v>
      </c>
      <c r="AG332" s="14" t="s">
        <v>1760</v>
      </c>
      <c r="AH332" s="14"/>
      <c r="AI332" s="14"/>
      <c r="AJ332" s="14"/>
      <c r="AK332" s="14"/>
      <c r="AL332" s="14"/>
      <c r="AM332" s="14"/>
      <c r="AN332" s="14" t="s">
        <v>149</v>
      </c>
      <c r="AO332" s="14" t="s">
        <v>1755</v>
      </c>
      <c r="AP332" s="14" t="s">
        <v>163</v>
      </c>
      <c r="AQ332" s="14"/>
      <c r="AR332" s="22"/>
      <c r="AS332" s="22" t="s">
        <v>89</v>
      </c>
      <c r="AT332" s="22" t="s">
        <v>513</v>
      </c>
      <c r="AU332" s="25" t="str">
        <f>VLOOKUP(O332,[1]Lookup!A:B,2,FALSE)</f>
        <v>Test-SIT</v>
      </c>
    </row>
    <row r="333" spans="1:47" ht="51.75" customHeight="1" x14ac:dyDescent="0.2">
      <c r="A333" s="27" t="s">
        <v>86</v>
      </c>
      <c r="B333" s="29" t="s">
        <v>1761</v>
      </c>
      <c r="C333" s="27" t="s">
        <v>1762</v>
      </c>
      <c r="D333" s="22" t="s">
        <v>89</v>
      </c>
      <c r="E333" s="22" t="s">
        <v>193</v>
      </c>
      <c r="F333" s="27"/>
      <c r="G333" s="27" t="s">
        <v>518</v>
      </c>
      <c r="H333" s="27"/>
      <c r="I333" s="27"/>
      <c r="J333" s="14" t="s">
        <v>91</v>
      </c>
      <c r="K333" s="14" t="s">
        <v>59</v>
      </c>
      <c r="L333" s="14" t="s">
        <v>93</v>
      </c>
      <c r="M333" s="14" t="s">
        <v>624</v>
      </c>
      <c r="N333" s="18" t="s">
        <v>24</v>
      </c>
      <c r="O333" s="14" t="s">
        <v>24</v>
      </c>
      <c r="P333" s="19">
        <v>42753.572222222225</v>
      </c>
      <c r="Q333" s="19">
        <v>42771.567361111112</v>
      </c>
      <c r="R333" s="19">
        <v>42753.74722222222</v>
      </c>
      <c r="S333" s="14" t="s">
        <v>518</v>
      </c>
      <c r="T333" s="14" t="s">
        <v>518</v>
      </c>
      <c r="U333" s="14" t="s">
        <v>89</v>
      </c>
      <c r="V333" s="28">
        <v>42754</v>
      </c>
      <c r="W333" s="14">
        <v>0</v>
      </c>
      <c r="X333" s="14">
        <v>0</v>
      </c>
      <c r="Y333" s="14"/>
      <c r="Z333" s="14"/>
      <c r="AA333" s="14"/>
      <c r="AB333" s="14"/>
      <c r="AC333" s="14"/>
      <c r="AD333" s="14"/>
      <c r="AE333" s="14" t="s">
        <v>1763</v>
      </c>
      <c r="AF333" s="14" t="s">
        <v>1764</v>
      </c>
      <c r="AG333" s="14" t="s">
        <v>1765</v>
      </c>
      <c r="AH333" s="14"/>
      <c r="AI333" s="14"/>
      <c r="AJ333" s="14"/>
      <c r="AK333" s="14"/>
      <c r="AL333" s="14"/>
      <c r="AM333" s="14"/>
      <c r="AN333" s="14" t="s">
        <v>624</v>
      </c>
      <c r="AO333" s="14" t="s">
        <v>1766</v>
      </c>
      <c r="AP333" s="14" t="s">
        <v>556</v>
      </c>
      <c r="AQ333" s="14"/>
      <c r="AR333" s="22"/>
      <c r="AS333" s="22" t="s">
        <v>89</v>
      </c>
      <c r="AT333" s="22" t="s">
        <v>193</v>
      </c>
      <c r="AU333" s="25" t="str">
        <f>VLOOKUP(O333,[1]Lookup!A:B,2,FALSE)</f>
        <v>Test-SIT</v>
      </c>
    </row>
    <row r="334" spans="1:47" ht="51.75" customHeight="1" x14ac:dyDescent="0.2">
      <c r="A334" s="27" t="s">
        <v>86</v>
      </c>
      <c r="B334" s="29" t="s">
        <v>1767</v>
      </c>
      <c r="C334" s="27" t="s">
        <v>1768</v>
      </c>
      <c r="D334" s="22" t="s">
        <v>89</v>
      </c>
      <c r="E334" s="22" t="s">
        <v>507</v>
      </c>
      <c r="F334" s="37" t="s">
        <v>1201</v>
      </c>
      <c r="G334" s="27"/>
      <c r="H334" s="27"/>
      <c r="I334" s="27"/>
      <c r="J334" s="14" t="s">
        <v>91</v>
      </c>
      <c r="K334" s="14" t="s">
        <v>59</v>
      </c>
      <c r="L334" s="14" t="s">
        <v>93</v>
      </c>
      <c r="M334" s="14" t="s">
        <v>132</v>
      </c>
      <c r="N334" s="18" t="s">
        <v>21</v>
      </c>
      <c r="O334" s="14" t="s">
        <v>24</v>
      </c>
      <c r="P334" s="19">
        <v>42753.566666666666</v>
      </c>
      <c r="Q334" s="19">
        <v>42770.774305555555</v>
      </c>
      <c r="R334" s="19">
        <v>42770.688194444447</v>
      </c>
      <c r="S334" s="14" t="s">
        <v>518</v>
      </c>
      <c r="T334" s="14"/>
      <c r="U334" s="14" t="s">
        <v>412</v>
      </c>
      <c r="V334" s="28">
        <v>42754</v>
      </c>
      <c r="W334" s="14">
        <v>0</v>
      </c>
      <c r="X334" s="14">
        <v>0</v>
      </c>
      <c r="Y334" s="14"/>
      <c r="Z334" s="14"/>
      <c r="AA334" s="14"/>
      <c r="AB334" s="14"/>
      <c r="AC334" s="14"/>
      <c r="AD334" s="14"/>
      <c r="AE334" s="14"/>
      <c r="AF334" s="14" t="s">
        <v>1769</v>
      </c>
      <c r="AG334" s="14" t="s">
        <v>1770</v>
      </c>
      <c r="AH334" s="14"/>
      <c r="AI334" s="14"/>
      <c r="AJ334" s="14"/>
      <c r="AK334" s="14"/>
      <c r="AL334" s="14"/>
      <c r="AM334" s="14"/>
      <c r="AN334" s="14" t="s">
        <v>149</v>
      </c>
      <c r="AO334" s="14" t="s">
        <v>1755</v>
      </c>
      <c r="AP334" s="14" t="s">
        <v>556</v>
      </c>
      <c r="AQ334" s="14" t="s">
        <v>1771</v>
      </c>
      <c r="AR334" s="22"/>
      <c r="AS334" s="22" t="s">
        <v>89</v>
      </c>
      <c r="AT334" s="22" t="s">
        <v>513</v>
      </c>
      <c r="AU334" s="25" t="str">
        <f>VLOOKUP(O334,[1]Lookup!A:B,2,FALSE)</f>
        <v>Test-SIT</v>
      </c>
    </row>
    <row r="335" spans="1:47" ht="51.75" customHeight="1" x14ac:dyDescent="0.2">
      <c r="A335" s="27" t="s">
        <v>86</v>
      </c>
      <c r="B335" s="29" t="s">
        <v>1772</v>
      </c>
      <c r="C335" s="27" t="s">
        <v>1773</v>
      </c>
      <c r="D335" s="22" t="s">
        <v>241</v>
      </c>
      <c r="E335" s="22" t="s">
        <v>1262</v>
      </c>
      <c r="F335" s="27"/>
      <c r="G335" s="27"/>
      <c r="H335" s="27"/>
      <c r="I335" s="27"/>
      <c r="J335" s="14" t="s">
        <v>91</v>
      </c>
      <c r="K335" s="14" t="s">
        <v>59</v>
      </c>
      <c r="L335" s="14" t="s">
        <v>103</v>
      </c>
      <c r="M335" s="14" t="s">
        <v>132</v>
      </c>
      <c r="N335" s="18" t="s">
        <v>24</v>
      </c>
      <c r="O335" s="14" t="s">
        <v>24</v>
      </c>
      <c r="P335" s="19">
        <v>42753.494444444441</v>
      </c>
      <c r="Q335" s="19">
        <v>42771.564583333333</v>
      </c>
      <c r="R335" s="19">
        <v>42753.683333333334</v>
      </c>
      <c r="S335" s="14" t="s">
        <v>518</v>
      </c>
      <c r="T335" s="14"/>
      <c r="U335" s="14" t="s">
        <v>241</v>
      </c>
      <c r="V335" s="28">
        <v>42755</v>
      </c>
      <c r="W335" s="14">
        <v>0</v>
      </c>
      <c r="X335" s="14">
        <v>0</v>
      </c>
      <c r="Y335" s="14"/>
      <c r="Z335" s="14"/>
      <c r="AA335" s="14"/>
      <c r="AB335" s="14"/>
      <c r="AC335" s="14"/>
      <c r="AD335" s="14"/>
      <c r="AE335" s="14"/>
      <c r="AF335" s="14" t="s">
        <v>1774</v>
      </c>
      <c r="AG335" s="14" t="s">
        <v>1775</v>
      </c>
      <c r="AH335" s="14"/>
      <c r="AI335" s="14"/>
      <c r="AJ335" s="14"/>
      <c r="AK335" s="14"/>
      <c r="AL335" s="14"/>
      <c r="AM335" s="14"/>
      <c r="AN335" s="14" t="s">
        <v>123</v>
      </c>
      <c r="AO335" s="14" t="s">
        <v>1776</v>
      </c>
      <c r="AP335" s="14" t="s">
        <v>556</v>
      </c>
      <c r="AQ335" s="14"/>
      <c r="AR335" s="22"/>
      <c r="AS335" s="22" t="s">
        <v>241</v>
      </c>
      <c r="AT335" s="22" t="s">
        <v>1262</v>
      </c>
      <c r="AU335" s="25" t="str">
        <f>VLOOKUP(O335,[1]Lookup!A:B,2,FALSE)</f>
        <v>Test-SIT</v>
      </c>
    </row>
    <row r="336" spans="1:47" ht="51.75" customHeight="1" x14ac:dyDescent="0.2">
      <c r="A336" s="27" t="s">
        <v>86</v>
      </c>
      <c r="B336" s="29" t="s">
        <v>1777</v>
      </c>
      <c r="C336" s="27" t="s">
        <v>1778</v>
      </c>
      <c r="D336" s="22" t="s">
        <v>89</v>
      </c>
      <c r="E336" s="22" t="s">
        <v>193</v>
      </c>
      <c r="F336" s="27"/>
      <c r="G336" s="27" t="s">
        <v>518</v>
      </c>
      <c r="H336" s="27"/>
      <c r="I336" s="27"/>
      <c r="J336" s="14" t="s">
        <v>91</v>
      </c>
      <c r="K336" s="14" t="s">
        <v>59</v>
      </c>
      <c r="L336" s="14" t="s">
        <v>93</v>
      </c>
      <c r="M336" s="14" t="s">
        <v>624</v>
      </c>
      <c r="N336" s="18" t="s">
        <v>24</v>
      </c>
      <c r="O336" s="14" t="s">
        <v>24</v>
      </c>
      <c r="P336" s="19">
        <v>42753.46875</v>
      </c>
      <c r="Q336" s="19">
        <v>42771.567361111112</v>
      </c>
      <c r="R336" s="19">
        <v>42753.74722222222</v>
      </c>
      <c r="S336" s="14" t="s">
        <v>518</v>
      </c>
      <c r="T336" s="14" t="s">
        <v>518</v>
      </c>
      <c r="U336" s="14" t="s">
        <v>412</v>
      </c>
      <c r="V336" s="28">
        <v>42754</v>
      </c>
      <c r="W336" s="14">
        <v>0</v>
      </c>
      <c r="X336" s="14">
        <v>0</v>
      </c>
      <c r="Y336" s="14"/>
      <c r="Z336" s="14"/>
      <c r="AA336" s="14"/>
      <c r="AB336" s="14"/>
      <c r="AC336" s="14"/>
      <c r="AD336" s="14"/>
      <c r="AE336" s="14" t="s">
        <v>1763</v>
      </c>
      <c r="AF336" s="14" t="s">
        <v>1779</v>
      </c>
      <c r="AG336" s="14" t="s">
        <v>1780</v>
      </c>
      <c r="AH336" s="14"/>
      <c r="AI336" s="14"/>
      <c r="AJ336" s="14"/>
      <c r="AK336" s="14"/>
      <c r="AL336" s="14"/>
      <c r="AM336" s="14"/>
      <c r="AN336" s="14" t="s">
        <v>624</v>
      </c>
      <c r="AO336" s="14" t="s">
        <v>1781</v>
      </c>
      <c r="AP336" s="14" t="s">
        <v>865</v>
      </c>
      <c r="AQ336" s="14" t="s">
        <v>1771</v>
      </c>
      <c r="AR336" s="22"/>
      <c r="AS336" s="22" t="s">
        <v>89</v>
      </c>
      <c r="AT336" s="22" t="s">
        <v>193</v>
      </c>
      <c r="AU336" s="25" t="str">
        <f>VLOOKUP(O336,[1]Lookup!A:B,2,FALSE)</f>
        <v>Test-SIT</v>
      </c>
    </row>
    <row r="337" spans="1:47" ht="51.75" customHeight="1" x14ac:dyDescent="0.2">
      <c r="A337" s="27" t="s">
        <v>86</v>
      </c>
      <c r="B337" s="29" t="s">
        <v>926</v>
      </c>
      <c r="C337" s="27" t="s">
        <v>1782</v>
      </c>
      <c r="D337" s="22" t="s">
        <v>89</v>
      </c>
      <c r="E337" s="22" t="s">
        <v>193</v>
      </c>
      <c r="F337" s="27"/>
      <c r="G337" s="27" t="s">
        <v>518</v>
      </c>
      <c r="H337" s="27"/>
      <c r="I337" s="27"/>
      <c r="J337" s="14" t="s">
        <v>91</v>
      </c>
      <c r="K337" s="14" t="s">
        <v>59</v>
      </c>
      <c r="L337" s="14" t="s">
        <v>103</v>
      </c>
      <c r="M337" s="14" t="s">
        <v>132</v>
      </c>
      <c r="N337" s="18" t="s">
        <v>21</v>
      </c>
      <c r="O337" s="14" t="s">
        <v>21</v>
      </c>
      <c r="P337" s="19">
        <v>42753.467361111114</v>
      </c>
      <c r="Q337" s="19">
        <v>42781.874305555553</v>
      </c>
      <c r="R337" s="19">
        <v>42755.368055555555</v>
      </c>
      <c r="S337" s="14" t="s">
        <v>518</v>
      </c>
      <c r="T337" s="14" t="s">
        <v>518</v>
      </c>
      <c r="U337" s="14" t="s">
        <v>89</v>
      </c>
      <c r="V337" s="28">
        <v>42755</v>
      </c>
      <c r="W337" s="14">
        <v>0</v>
      </c>
      <c r="X337" s="14">
        <v>0</v>
      </c>
      <c r="Y337" s="14"/>
      <c r="Z337" s="14"/>
      <c r="AA337" s="14"/>
      <c r="AB337" s="14"/>
      <c r="AC337" s="14"/>
      <c r="AD337" s="14"/>
      <c r="AE337" s="14" t="s">
        <v>929</v>
      </c>
      <c r="AF337" s="14" t="s">
        <v>1783</v>
      </c>
      <c r="AG337" s="14" t="s">
        <v>1784</v>
      </c>
      <c r="AH337" s="14"/>
      <c r="AI337" s="14"/>
      <c r="AJ337" s="14"/>
      <c r="AK337" s="14"/>
      <c r="AL337" s="14"/>
      <c r="AM337" s="14"/>
      <c r="AN337" s="14" t="s">
        <v>193</v>
      </c>
      <c r="AO337" s="14" t="s">
        <v>1785</v>
      </c>
      <c r="AP337" s="14"/>
      <c r="AQ337" s="14"/>
      <c r="AR337" s="22"/>
      <c r="AS337" s="22" t="s">
        <v>89</v>
      </c>
      <c r="AT337" s="22" t="s">
        <v>193</v>
      </c>
      <c r="AU337" s="25" t="str">
        <f>VLOOKUP(O337,[1]Lookup!A:B,2,FALSE)</f>
        <v>Test-SIT</v>
      </c>
    </row>
    <row r="338" spans="1:47" ht="51.75" customHeight="1" x14ac:dyDescent="0.2">
      <c r="A338" s="27" t="s">
        <v>86</v>
      </c>
      <c r="B338" s="29" t="s">
        <v>1380</v>
      </c>
      <c r="C338" s="26" t="s">
        <v>1786</v>
      </c>
      <c r="D338" s="22" t="s">
        <v>89</v>
      </c>
      <c r="E338" s="22" t="s">
        <v>1628</v>
      </c>
      <c r="F338" s="26" t="s">
        <v>1787</v>
      </c>
      <c r="G338" s="26" t="s">
        <v>155</v>
      </c>
      <c r="H338" s="26"/>
      <c r="I338" s="26" t="s">
        <v>527</v>
      </c>
      <c r="J338" s="14" t="s">
        <v>91</v>
      </c>
      <c r="K338" s="14" t="s">
        <v>110</v>
      </c>
      <c r="L338" s="14" t="s">
        <v>93</v>
      </c>
      <c r="M338" s="17" t="s">
        <v>94</v>
      </c>
      <c r="N338" s="18" t="s">
        <v>28</v>
      </c>
      <c r="O338" s="14" t="s">
        <v>21</v>
      </c>
      <c r="P338" s="19">
        <v>42753.452777777777</v>
      </c>
      <c r="Q338" s="19">
        <v>42800.79791666667</v>
      </c>
      <c r="R338" s="14"/>
      <c r="S338" s="14" t="s">
        <v>518</v>
      </c>
      <c r="T338" s="14" t="s">
        <v>155</v>
      </c>
      <c r="U338" s="14" t="s">
        <v>89</v>
      </c>
      <c r="V338" s="28">
        <v>42755</v>
      </c>
      <c r="W338" s="14">
        <v>0</v>
      </c>
      <c r="X338" s="14">
        <v>0</v>
      </c>
      <c r="Y338" s="14"/>
      <c r="Z338" s="14"/>
      <c r="AA338" s="14"/>
      <c r="AB338" s="14"/>
      <c r="AC338" s="14"/>
      <c r="AD338" s="14"/>
      <c r="AE338" s="14" t="s">
        <v>1377</v>
      </c>
      <c r="AF338" s="14" t="s">
        <v>1788</v>
      </c>
      <c r="AG338" s="14" t="s">
        <v>1789</v>
      </c>
      <c r="AH338" s="14"/>
      <c r="AI338" s="14"/>
      <c r="AJ338" s="14"/>
      <c r="AK338" s="14"/>
      <c r="AL338" s="14"/>
      <c r="AM338" s="14"/>
      <c r="AN338" s="14" t="s">
        <v>1632</v>
      </c>
      <c r="AO338" s="14" t="s">
        <v>1790</v>
      </c>
      <c r="AP338" s="14"/>
      <c r="AQ338" s="14"/>
      <c r="AR338" s="22"/>
      <c r="AS338" s="22" t="s">
        <v>89</v>
      </c>
      <c r="AT338" s="22" t="s">
        <v>1628</v>
      </c>
      <c r="AU338" s="25" t="str">
        <f>VLOOKUP(O338,[1]Lookup!A:B,2,FALSE)</f>
        <v>Test-SIT</v>
      </c>
    </row>
    <row r="339" spans="1:47" ht="51.75" customHeight="1" x14ac:dyDescent="0.2">
      <c r="A339" s="27" t="s">
        <v>86</v>
      </c>
      <c r="B339" s="29" t="s">
        <v>1791</v>
      </c>
      <c r="C339" s="27" t="s">
        <v>1792</v>
      </c>
      <c r="D339" s="22" t="s">
        <v>96</v>
      </c>
      <c r="E339" s="22" t="s">
        <v>166</v>
      </c>
      <c r="F339" s="27"/>
      <c r="G339" s="27" t="s">
        <v>139</v>
      </c>
      <c r="H339" s="27"/>
      <c r="I339" s="27"/>
      <c r="J339" s="14" t="s">
        <v>91</v>
      </c>
      <c r="K339" s="14" t="s">
        <v>59</v>
      </c>
      <c r="L339" s="14" t="s">
        <v>167</v>
      </c>
      <c r="M339" s="14" t="s">
        <v>132</v>
      </c>
      <c r="N339" s="18" t="s">
        <v>21</v>
      </c>
      <c r="O339" s="14" t="s">
        <v>21</v>
      </c>
      <c r="P339" s="19">
        <v>42752.899305555555</v>
      </c>
      <c r="Q339" s="19">
        <v>42772.527777777781</v>
      </c>
      <c r="R339" s="19">
        <v>42764.722222222219</v>
      </c>
      <c r="S339" s="14" t="s">
        <v>518</v>
      </c>
      <c r="T339" s="14" t="s">
        <v>139</v>
      </c>
      <c r="U339" s="14" t="s">
        <v>96</v>
      </c>
      <c r="V339" s="28">
        <v>42755</v>
      </c>
      <c r="W339" s="14">
        <v>0</v>
      </c>
      <c r="X339" s="14">
        <v>0</v>
      </c>
      <c r="Y339" s="14"/>
      <c r="Z339" s="14"/>
      <c r="AA339" s="14"/>
      <c r="AB339" s="14"/>
      <c r="AC339" s="14"/>
      <c r="AD339" s="14"/>
      <c r="AE339" s="14"/>
      <c r="AF339" s="14" t="s">
        <v>1793</v>
      </c>
      <c r="AG339" s="14" t="s">
        <v>1794</v>
      </c>
      <c r="AH339" s="14"/>
      <c r="AI339" s="14"/>
      <c r="AJ339" s="14"/>
      <c r="AK339" s="14"/>
      <c r="AL339" s="14"/>
      <c r="AM339" s="14"/>
      <c r="AN339" s="14" t="s">
        <v>235</v>
      </c>
      <c r="AO339" s="14" t="s">
        <v>1795</v>
      </c>
      <c r="AP339" s="14"/>
      <c r="AQ339" s="14"/>
      <c r="AR339" s="22"/>
      <c r="AS339" s="22" t="s">
        <v>96</v>
      </c>
      <c r="AT339" s="22" t="s">
        <v>166</v>
      </c>
      <c r="AU339" s="25" t="str">
        <f>VLOOKUP(O339,[1]Lookup!A:B,2,FALSE)</f>
        <v>Test-SIT</v>
      </c>
    </row>
    <row r="340" spans="1:47" ht="51.75" customHeight="1" x14ac:dyDescent="0.2">
      <c r="A340" s="27" t="s">
        <v>86</v>
      </c>
      <c r="B340" s="29" t="s">
        <v>1796</v>
      </c>
      <c r="C340" s="27" t="s">
        <v>1797</v>
      </c>
      <c r="D340" s="22" t="s">
        <v>89</v>
      </c>
      <c r="E340" s="22" t="s">
        <v>1798</v>
      </c>
      <c r="F340" s="27"/>
      <c r="G340" s="27" t="s">
        <v>139</v>
      </c>
      <c r="H340" s="27"/>
      <c r="I340" s="27"/>
      <c r="J340" s="14" t="s">
        <v>91</v>
      </c>
      <c r="K340" s="14" t="s">
        <v>59</v>
      </c>
      <c r="L340" s="14" t="s">
        <v>103</v>
      </c>
      <c r="M340" s="14" t="s">
        <v>132</v>
      </c>
      <c r="N340" s="18" t="s">
        <v>21</v>
      </c>
      <c r="O340" s="14" t="s">
        <v>21</v>
      </c>
      <c r="P340" s="19">
        <v>42752.893750000003</v>
      </c>
      <c r="Q340" s="19">
        <v>42771.638888888891</v>
      </c>
      <c r="R340" s="19">
        <v>42771.638888888891</v>
      </c>
      <c r="S340" s="14" t="s">
        <v>518</v>
      </c>
      <c r="T340" s="14" t="s">
        <v>139</v>
      </c>
      <c r="U340" s="14" t="s">
        <v>412</v>
      </c>
      <c r="V340" s="28">
        <v>42754</v>
      </c>
      <c r="W340" s="14">
        <v>0</v>
      </c>
      <c r="X340" s="14">
        <v>0</v>
      </c>
      <c r="Y340" s="14"/>
      <c r="Z340" s="14"/>
      <c r="AA340" s="14"/>
      <c r="AB340" s="14"/>
      <c r="AC340" s="14"/>
      <c r="AD340" s="14"/>
      <c r="AE340" s="14" t="s">
        <v>1799</v>
      </c>
      <c r="AF340" s="14" t="s">
        <v>1800</v>
      </c>
      <c r="AG340" s="14" t="s">
        <v>1801</v>
      </c>
      <c r="AH340" s="14"/>
      <c r="AI340" s="14"/>
      <c r="AJ340" s="14"/>
      <c r="AK340" s="14"/>
      <c r="AL340" s="14"/>
      <c r="AM340" s="14"/>
      <c r="AN340" s="14" t="s">
        <v>193</v>
      </c>
      <c r="AO340" s="14" t="s">
        <v>1802</v>
      </c>
      <c r="AP340" s="14"/>
      <c r="AQ340" s="14"/>
      <c r="AR340" s="22"/>
      <c r="AS340" s="22" t="s">
        <v>89</v>
      </c>
      <c r="AT340" s="22" t="s">
        <v>1798</v>
      </c>
      <c r="AU340" s="25" t="str">
        <f>VLOOKUP(O340,[1]Lookup!A:B,2,FALSE)</f>
        <v>Test-SIT</v>
      </c>
    </row>
    <row r="341" spans="1:47" ht="51.75" customHeight="1" x14ac:dyDescent="0.2">
      <c r="A341" s="27" t="s">
        <v>86</v>
      </c>
      <c r="B341" s="29" t="s">
        <v>1799</v>
      </c>
      <c r="C341" s="27" t="s">
        <v>1803</v>
      </c>
      <c r="D341" s="22" t="s">
        <v>89</v>
      </c>
      <c r="E341" s="22" t="s">
        <v>1798</v>
      </c>
      <c r="F341" s="27"/>
      <c r="G341" s="27" t="s">
        <v>518</v>
      </c>
      <c r="H341" s="27"/>
      <c r="I341" s="27"/>
      <c r="J341" s="14" t="s">
        <v>91</v>
      </c>
      <c r="K341" s="14" t="s">
        <v>59</v>
      </c>
      <c r="L341" s="14" t="s">
        <v>93</v>
      </c>
      <c r="M341" s="14" t="s">
        <v>132</v>
      </c>
      <c r="N341" s="18" t="s">
        <v>19</v>
      </c>
      <c r="O341" s="14" t="s">
        <v>19</v>
      </c>
      <c r="P341" s="19">
        <v>42752.836805555555</v>
      </c>
      <c r="Q341" s="19">
        <v>42771.545138888891</v>
      </c>
      <c r="R341" s="19">
        <v>42759.481944444444</v>
      </c>
      <c r="S341" s="14" t="s">
        <v>518</v>
      </c>
      <c r="T341" s="14" t="s">
        <v>518</v>
      </c>
      <c r="U341" s="14" t="s">
        <v>412</v>
      </c>
      <c r="V341" s="14"/>
      <c r="W341" s="14">
        <v>0</v>
      </c>
      <c r="X341" s="14">
        <v>0</v>
      </c>
      <c r="Y341" s="14"/>
      <c r="Z341" s="14"/>
      <c r="AA341" s="14"/>
      <c r="AB341" s="14"/>
      <c r="AC341" s="14"/>
      <c r="AD341" s="14"/>
      <c r="AE341" s="14" t="s">
        <v>1796</v>
      </c>
      <c r="AF341" s="14" t="s">
        <v>1804</v>
      </c>
      <c r="AG341" s="14" t="s">
        <v>1805</v>
      </c>
      <c r="AH341" s="14"/>
      <c r="AI341" s="14"/>
      <c r="AJ341" s="14"/>
      <c r="AK341" s="14"/>
      <c r="AL341" s="14"/>
      <c r="AM341" s="14"/>
      <c r="AN341" s="14" t="s">
        <v>193</v>
      </c>
      <c r="AO341" s="14" t="s">
        <v>1806</v>
      </c>
      <c r="AP341" s="14"/>
      <c r="AQ341" s="14"/>
      <c r="AR341" s="22"/>
      <c r="AS341" s="22" t="s">
        <v>89</v>
      </c>
      <c r="AT341" s="22" t="s">
        <v>1798</v>
      </c>
      <c r="AU341" s="25" t="str">
        <f>VLOOKUP(O341,[1]Lookup!A:B,2,FALSE)</f>
        <v>Test-SIT</v>
      </c>
    </row>
    <row r="342" spans="1:47" ht="51.75" customHeight="1" x14ac:dyDescent="0.2">
      <c r="A342" s="27" t="s">
        <v>86</v>
      </c>
      <c r="B342" s="29" t="s">
        <v>1807</v>
      </c>
      <c r="C342" s="27" t="s">
        <v>1808</v>
      </c>
      <c r="D342" s="22" t="s">
        <v>89</v>
      </c>
      <c r="E342" s="22" t="s">
        <v>1556</v>
      </c>
      <c r="F342" s="27"/>
      <c r="G342" s="27" t="s">
        <v>518</v>
      </c>
      <c r="H342" s="27"/>
      <c r="I342" s="27"/>
      <c r="J342" s="14" t="s">
        <v>91</v>
      </c>
      <c r="K342" s="14" t="s">
        <v>59</v>
      </c>
      <c r="L342" s="14" t="s">
        <v>93</v>
      </c>
      <c r="M342" s="14" t="s">
        <v>132</v>
      </c>
      <c r="N342" s="18" t="s">
        <v>24</v>
      </c>
      <c r="O342" s="14" t="s">
        <v>24</v>
      </c>
      <c r="P342" s="19">
        <v>42752.561111111114</v>
      </c>
      <c r="Q342" s="19">
        <v>42771.640972222223</v>
      </c>
      <c r="R342" s="19">
        <v>42754.565972222219</v>
      </c>
      <c r="S342" s="14" t="s">
        <v>518</v>
      </c>
      <c r="T342" s="14" t="s">
        <v>518</v>
      </c>
      <c r="U342" s="14" t="s">
        <v>89</v>
      </c>
      <c r="V342" s="28">
        <v>42753</v>
      </c>
      <c r="W342" s="14">
        <v>0</v>
      </c>
      <c r="X342" s="14">
        <v>0</v>
      </c>
      <c r="Y342" s="14"/>
      <c r="Z342" s="14"/>
      <c r="AA342" s="14"/>
      <c r="AB342" s="14"/>
      <c r="AC342" s="14"/>
      <c r="AD342" s="14"/>
      <c r="AE342" s="14"/>
      <c r="AF342" s="14" t="s">
        <v>1809</v>
      </c>
      <c r="AG342" s="14" t="s">
        <v>1810</v>
      </c>
      <c r="AH342" s="14"/>
      <c r="AI342" s="14"/>
      <c r="AJ342" s="14"/>
      <c r="AK342" s="14"/>
      <c r="AL342" s="14"/>
      <c r="AM342" s="14"/>
      <c r="AN342" s="14" t="s">
        <v>1523</v>
      </c>
      <c r="AO342" s="14"/>
      <c r="AP342" s="14"/>
      <c r="AQ342" s="14" t="s">
        <v>1771</v>
      </c>
      <c r="AR342" s="22"/>
      <c r="AS342" s="22" t="s">
        <v>89</v>
      </c>
      <c r="AT342" s="22" t="s">
        <v>1556</v>
      </c>
      <c r="AU342" s="25" t="str">
        <f>VLOOKUP(O342,[1]Lookup!A:B,2,FALSE)</f>
        <v>Test-SIT</v>
      </c>
    </row>
    <row r="343" spans="1:47" ht="51.75" customHeight="1" x14ac:dyDescent="0.2">
      <c r="A343" s="27" t="s">
        <v>86</v>
      </c>
      <c r="B343" s="29" t="s">
        <v>1811</v>
      </c>
      <c r="C343" s="27" t="s">
        <v>1812</v>
      </c>
      <c r="D343" s="22" t="s">
        <v>89</v>
      </c>
      <c r="E343" s="22" t="s">
        <v>1556</v>
      </c>
      <c r="F343" s="27"/>
      <c r="G343" s="27" t="s">
        <v>518</v>
      </c>
      <c r="H343" s="27"/>
      <c r="I343" s="27"/>
      <c r="J343" s="14" t="s">
        <v>91</v>
      </c>
      <c r="K343" s="14" t="s">
        <v>59</v>
      </c>
      <c r="L343" s="14" t="s">
        <v>93</v>
      </c>
      <c r="M343" s="14" t="s">
        <v>132</v>
      </c>
      <c r="N343" s="18" t="s">
        <v>21</v>
      </c>
      <c r="O343" s="14" t="s">
        <v>21</v>
      </c>
      <c r="P343" s="19">
        <v>42752.438888888886</v>
      </c>
      <c r="Q343" s="19">
        <v>42771.543749999997</v>
      </c>
      <c r="R343" s="19">
        <v>42754.497916666667</v>
      </c>
      <c r="S343" s="14" t="s">
        <v>518</v>
      </c>
      <c r="T343" s="14" t="s">
        <v>518</v>
      </c>
      <c r="U343" s="14" t="s">
        <v>89</v>
      </c>
      <c r="V343" s="28">
        <v>42753</v>
      </c>
      <c r="W343" s="14">
        <v>0</v>
      </c>
      <c r="X343" s="14">
        <v>0</v>
      </c>
      <c r="Y343" s="14"/>
      <c r="Z343" s="14"/>
      <c r="AA343" s="14"/>
      <c r="AB343" s="14"/>
      <c r="AC343" s="14"/>
      <c r="AD343" s="14"/>
      <c r="AE343" s="14"/>
      <c r="AF343" s="14" t="s">
        <v>1813</v>
      </c>
      <c r="AG343" s="14" t="s">
        <v>1814</v>
      </c>
      <c r="AH343" s="14"/>
      <c r="AI343" s="14"/>
      <c r="AJ343" s="14"/>
      <c r="AK343" s="14"/>
      <c r="AL343" s="14"/>
      <c r="AM343" s="14"/>
      <c r="AN343" s="14" t="s">
        <v>1523</v>
      </c>
      <c r="AO343" s="14" t="s">
        <v>1815</v>
      </c>
      <c r="AP343" s="14" t="s">
        <v>1816</v>
      </c>
      <c r="AQ343" s="14"/>
      <c r="AR343" s="22"/>
      <c r="AS343" s="22" t="s">
        <v>89</v>
      </c>
      <c r="AT343" s="22" t="s">
        <v>1556</v>
      </c>
      <c r="AU343" s="25" t="str">
        <f>VLOOKUP(O343,[1]Lookup!A:B,2,FALSE)</f>
        <v>Test-SIT</v>
      </c>
    </row>
    <row r="344" spans="1:47" ht="51.75" customHeight="1" x14ac:dyDescent="0.2">
      <c r="A344" s="27" t="s">
        <v>86</v>
      </c>
      <c r="B344" s="29" t="s">
        <v>1817</v>
      </c>
      <c r="C344" s="27" t="s">
        <v>1818</v>
      </c>
      <c r="D344" s="22" t="s">
        <v>241</v>
      </c>
      <c r="E344" s="22" t="s">
        <v>166</v>
      </c>
      <c r="F344" s="27"/>
      <c r="G344" s="27" t="s">
        <v>139</v>
      </c>
      <c r="H344" s="27"/>
      <c r="I344" s="27"/>
      <c r="J344" s="14" t="s">
        <v>91</v>
      </c>
      <c r="K344" s="14" t="s">
        <v>59</v>
      </c>
      <c r="L344" s="14" t="s">
        <v>93</v>
      </c>
      <c r="M344" s="14" t="s">
        <v>132</v>
      </c>
      <c r="N344" s="18" t="s">
        <v>21</v>
      </c>
      <c r="O344" s="14" t="s">
        <v>21</v>
      </c>
      <c r="P344" s="19">
        <v>42752.401388888888</v>
      </c>
      <c r="Q344" s="19">
        <v>42771.541666666664</v>
      </c>
      <c r="R344" s="19">
        <v>42764.724305555559</v>
      </c>
      <c r="S344" s="14" t="s">
        <v>518</v>
      </c>
      <c r="T344" s="14" t="s">
        <v>139</v>
      </c>
      <c r="U344" s="14" t="s">
        <v>241</v>
      </c>
      <c r="V344" s="14"/>
      <c r="W344" s="14">
        <v>0</v>
      </c>
      <c r="X344" s="14">
        <v>1</v>
      </c>
      <c r="Y344" s="14"/>
      <c r="Z344" s="14"/>
      <c r="AA344" s="14"/>
      <c r="AB344" s="14"/>
      <c r="AC344" s="14"/>
      <c r="AD344" s="14"/>
      <c r="AE344" s="14"/>
      <c r="AF344" s="14" t="s">
        <v>1819</v>
      </c>
      <c r="AG344" s="14" t="s">
        <v>1820</v>
      </c>
      <c r="AH344" s="14"/>
      <c r="AI344" s="14"/>
      <c r="AJ344" s="14"/>
      <c r="AK344" s="14"/>
      <c r="AL344" s="14"/>
      <c r="AM344" s="14"/>
      <c r="AN344" s="14" t="s">
        <v>235</v>
      </c>
      <c r="AO344" s="14" t="s">
        <v>261</v>
      </c>
      <c r="AP344" s="14"/>
      <c r="AQ344" s="14"/>
      <c r="AR344" s="22"/>
      <c r="AS344" s="22" t="s">
        <v>241</v>
      </c>
      <c r="AT344" s="22" t="s">
        <v>959</v>
      </c>
      <c r="AU344" s="25" t="str">
        <f>VLOOKUP(O344,[1]Lookup!A:B,2,FALSE)</f>
        <v>Test-SIT</v>
      </c>
    </row>
    <row r="345" spans="1:47" ht="51.75" customHeight="1" x14ac:dyDescent="0.2">
      <c r="A345" s="27" t="s">
        <v>86</v>
      </c>
      <c r="B345" s="29" t="s">
        <v>1821</v>
      </c>
      <c r="C345" s="27" t="s">
        <v>1822</v>
      </c>
      <c r="D345" s="22" t="s">
        <v>130</v>
      </c>
      <c r="E345" s="22" t="s">
        <v>692</v>
      </c>
      <c r="F345" s="27"/>
      <c r="G345" s="27"/>
      <c r="H345" s="27"/>
      <c r="I345" s="27"/>
      <c r="J345" s="14" t="s">
        <v>91</v>
      </c>
      <c r="K345" s="14" t="s">
        <v>59</v>
      </c>
      <c r="L345" s="14" t="s">
        <v>124</v>
      </c>
      <c r="M345" s="14" t="s">
        <v>132</v>
      </c>
      <c r="N345" s="18" t="s">
        <v>24</v>
      </c>
      <c r="O345" s="14" t="s">
        <v>24</v>
      </c>
      <c r="P345" s="19">
        <v>42751.836111111108</v>
      </c>
      <c r="Q345" s="19">
        <v>42771.540972222225</v>
      </c>
      <c r="R345" s="19">
        <v>42753.484027777777</v>
      </c>
      <c r="S345" s="14" t="s">
        <v>518</v>
      </c>
      <c r="T345" s="14"/>
      <c r="U345" s="14" t="s">
        <v>130</v>
      </c>
      <c r="V345" s="28">
        <v>42751</v>
      </c>
      <c r="W345" s="14">
        <v>0</v>
      </c>
      <c r="X345" s="14">
        <v>1</v>
      </c>
      <c r="Y345" s="14"/>
      <c r="Z345" s="14"/>
      <c r="AA345" s="14"/>
      <c r="AB345" s="14"/>
      <c r="AC345" s="14"/>
      <c r="AD345" s="14"/>
      <c r="AE345" s="14"/>
      <c r="AF345" s="14" t="s">
        <v>1823</v>
      </c>
      <c r="AG345" s="14" t="s">
        <v>1824</v>
      </c>
      <c r="AH345" s="14"/>
      <c r="AI345" s="14"/>
      <c r="AJ345" s="14"/>
      <c r="AK345" s="14"/>
      <c r="AL345" s="14"/>
      <c r="AM345" s="14"/>
      <c r="AN345" s="14" t="s">
        <v>408</v>
      </c>
      <c r="AO345" s="14" t="s">
        <v>1825</v>
      </c>
      <c r="AP345" s="14" t="s">
        <v>865</v>
      </c>
      <c r="AQ345" s="14" t="s">
        <v>1771</v>
      </c>
      <c r="AR345" s="22"/>
      <c r="AS345" s="22" t="s">
        <v>130</v>
      </c>
      <c r="AT345" s="22" t="s">
        <v>408</v>
      </c>
      <c r="AU345" s="25" t="str">
        <f>VLOOKUP(O345,[1]Lookup!A:B,2,FALSE)</f>
        <v>Test-SIT</v>
      </c>
    </row>
    <row r="346" spans="1:47" ht="51.75" customHeight="1" x14ac:dyDescent="0.2">
      <c r="A346" s="27" t="s">
        <v>86</v>
      </c>
      <c r="B346" s="29" t="s">
        <v>1826</v>
      </c>
      <c r="C346" s="27" t="s">
        <v>1827</v>
      </c>
      <c r="D346" s="22" t="s">
        <v>130</v>
      </c>
      <c r="E346" s="22" t="s">
        <v>692</v>
      </c>
      <c r="F346" s="27"/>
      <c r="G346" s="27"/>
      <c r="H346" s="27"/>
      <c r="I346" s="27"/>
      <c r="J346" s="14" t="s">
        <v>91</v>
      </c>
      <c r="K346" s="14" t="s">
        <v>59</v>
      </c>
      <c r="L346" s="14" t="s">
        <v>124</v>
      </c>
      <c r="M346" s="14" t="s">
        <v>132</v>
      </c>
      <c r="N346" s="18" t="s">
        <v>24</v>
      </c>
      <c r="O346" s="14" t="s">
        <v>24</v>
      </c>
      <c r="P346" s="19">
        <v>42751.834722222222</v>
      </c>
      <c r="Q346" s="19">
        <v>42771.540972222225</v>
      </c>
      <c r="R346" s="19">
        <v>42753.474305555559</v>
      </c>
      <c r="S346" s="14" t="s">
        <v>518</v>
      </c>
      <c r="T346" s="14"/>
      <c r="U346" s="14" t="s">
        <v>130</v>
      </c>
      <c r="V346" s="28">
        <v>42751</v>
      </c>
      <c r="W346" s="14">
        <v>0</v>
      </c>
      <c r="X346" s="14">
        <v>0</v>
      </c>
      <c r="Y346" s="14"/>
      <c r="Z346" s="14"/>
      <c r="AA346" s="14"/>
      <c r="AB346" s="14"/>
      <c r="AC346" s="14"/>
      <c r="AD346" s="14"/>
      <c r="AE346" s="14"/>
      <c r="AF346" s="14" t="s">
        <v>1828</v>
      </c>
      <c r="AG346" s="14" t="s">
        <v>1829</v>
      </c>
      <c r="AH346" s="14"/>
      <c r="AI346" s="14"/>
      <c r="AJ346" s="14"/>
      <c r="AK346" s="14"/>
      <c r="AL346" s="14"/>
      <c r="AM346" s="14"/>
      <c r="AN346" s="14" t="s">
        <v>408</v>
      </c>
      <c r="AO346" s="14" t="s">
        <v>1830</v>
      </c>
      <c r="AP346" s="14" t="s">
        <v>865</v>
      </c>
      <c r="AQ346" s="14" t="s">
        <v>1771</v>
      </c>
      <c r="AR346" s="22"/>
      <c r="AS346" s="22" t="s">
        <v>130</v>
      </c>
      <c r="AT346" s="22" t="s">
        <v>408</v>
      </c>
      <c r="AU346" s="25" t="str">
        <f>VLOOKUP(O346,[1]Lookup!A:B,2,FALSE)</f>
        <v>Test-SIT</v>
      </c>
    </row>
    <row r="347" spans="1:47" ht="51.75" customHeight="1" x14ac:dyDescent="0.2">
      <c r="A347" s="27" t="s">
        <v>86</v>
      </c>
      <c r="B347" s="29" t="s">
        <v>1831</v>
      </c>
      <c r="C347" s="27" t="s">
        <v>1832</v>
      </c>
      <c r="D347" s="22" t="s">
        <v>130</v>
      </c>
      <c r="E347" s="22" t="s">
        <v>692</v>
      </c>
      <c r="F347" s="27"/>
      <c r="G347" s="27"/>
      <c r="H347" s="27"/>
      <c r="I347" s="27"/>
      <c r="J347" s="14" t="s">
        <v>91</v>
      </c>
      <c r="K347" s="14" t="s">
        <v>59</v>
      </c>
      <c r="L347" s="14" t="s">
        <v>124</v>
      </c>
      <c r="M347" s="14" t="s">
        <v>132</v>
      </c>
      <c r="N347" s="18" t="s">
        <v>24</v>
      </c>
      <c r="O347" s="14" t="s">
        <v>24</v>
      </c>
      <c r="P347" s="19">
        <v>42751.824305555558</v>
      </c>
      <c r="Q347" s="19">
        <v>42771.540972222225</v>
      </c>
      <c r="R347" s="19">
        <v>42753.473611111112</v>
      </c>
      <c r="S347" s="14" t="s">
        <v>518</v>
      </c>
      <c r="T347" s="14"/>
      <c r="U347" s="14" t="s">
        <v>130</v>
      </c>
      <c r="V347" s="28">
        <v>42751</v>
      </c>
      <c r="W347" s="14">
        <v>0</v>
      </c>
      <c r="X347" s="14">
        <v>0</v>
      </c>
      <c r="Y347" s="14"/>
      <c r="Z347" s="14"/>
      <c r="AA347" s="14"/>
      <c r="AB347" s="14"/>
      <c r="AC347" s="14"/>
      <c r="AD347" s="14"/>
      <c r="AE347" s="14"/>
      <c r="AF347" s="14" t="s">
        <v>1833</v>
      </c>
      <c r="AG347" s="14" t="s">
        <v>1834</v>
      </c>
      <c r="AH347" s="14"/>
      <c r="AI347" s="14"/>
      <c r="AJ347" s="14"/>
      <c r="AK347" s="14"/>
      <c r="AL347" s="14"/>
      <c r="AM347" s="14"/>
      <c r="AN347" s="14" t="s">
        <v>408</v>
      </c>
      <c r="AO347" s="14" t="s">
        <v>1830</v>
      </c>
      <c r="AP347" s="14" t="s">
        <v>865</v>
      </c>
      <c r="AQ347" s="14"/>
      <c r="AR347" s="22"/>
      <c r="AS347" s="22" t="s">
        <v>130</v>
      </c>
      <c r="AT347" s="22" t="s">
        <v>408</v>
      </c>
      <c r="AU347" s="25" t="str">
        <f>VLOOKUP(O347,[1]Lookup!A:B,2,FALSE)</f>
        <v>Test-SIT</v>
      </c>
    </row>
    <row r="348" spans="1:47" ht="51.75" customHeight="1" x14ac:dyDescent="0.2">
      <c r="A348" s="27" t="s">
        <v>86</v>
      </c>
      <c r="B348" s="29" t="s">
        <v>1835</v>
      </c>
      <c r="C348" s="27" t="s">
        <v>1836</v>
      </c>
      <c r="D348" s="22" t="s">
        <v>130</v>
      </c>
      <c r="E348" s="22" t="s">
        <v>692</v>
      </c>
      <c r="F348" s="27"/>
      <c r="G348" s="27"/>
      <c r="H348" s="27"/>
      <c r="I348" s="27"/>
      <c r="J348" s="14" t="s">
        <v>91</v>
      </c>
      <c r="K348" s="14" t="s">
        <v>59</v>
      </c>
      <c r="L348" s="14" t="s">
        <v>124</v>
      </c>
      <c r="M348" s="14" t="s">
        <v>132</v>
      </c>
      <c r="N348" s="18" t="s">
        <v>24</v>
      </c>
      <c r="O348" s="14" t="s">
        <v>24</v>
      </c>
      <c r="P348" s="19">
        <v>42751.822222222225</v>
      </c>
      <c r="Q348" s="19">
        <v>42771.540277777778</v>
      </c>
      <c r="R348" s="19">
        <v>42753.472916666666</v>
      </c>
      <c r="S348" s="14" t="s">
        <v>518</v>
      </c>
      <c r="T348" s="14"/>
      <c r="U348" s="14" t="s">
        <v>130</v>
      </c>
      <c r="V348" s="28">
        <v>42751</v>
      </c>
      <c r="W348" s="14">
        <v>0</v>
      </c>
      <c r="X348" s="14">
        <v>0</v>
      </c>
      <c r="Y348" s="14"/>
      <c r="Z348" s="14"/>
      <c r="AA348" s="14"/>
      <c r="AB348" s="14"/>
      <c r="AC348" s="14"/>
      <c r="AD348" s="14"/>
      <c r="AE348" s="14"/>
      <c r="AF348" s="14" t="s">
        <v>1837</v>
      </c>
      <c r="AG348" s="14" t="s">
        <v>1838</v>
      </c>
      <c r="AH348" s="14"/>
      <c r="AI348" s="14"/>
      <c r="AJ348" s="14"/>
      <c r="AK348" s="14"/>
      <c r="AL348" s="14"/>
      <c r="AM348" s="14"/>
      <c r="AN348" s="14" t="s">
        <v>408</v>
      </c>
      <c r="AO348" s="14" t="s">
        <v>1830</v>
      </c>
      <c r="AP348" s="14" t="s">
        <v>865</v>
      </c>
      <c r="AQ348" s="14"/>
      <c r="AR348" s="22"/>
      <c r="AS348" s="22" t="s">
        <v>130</v>
      </c>
      <c r="AT348" s="22" t="s">
        <v>408</v>
      </c>
      <c r="AU348" s="25" t="str">
        <f>VLOOKUP(O348,[1]Lookup!A:B,2,FALSE)</f>
        <v>Test-SIT</v>
      </c>
    </row>
    <row r="349" spans="1:47" ht="51.75" customHeight="1" x14ac:dyDescent="0.2">
      <c r="A349" s="27" t="s">
        <v>86</v>
      </c>
      <c r="B349" s="29" t="s">
        <v>1839</v>
      </c>
      <c r="C349" s="27" t="s">
        <v>1840</v>
      </c>
      <c r="D349" s="22" t="s">
        <v>130</v>
      </c>
      <c r="E349" s="22" t="s">
        <v>692</v>
      </c>
      <c r="F349" s="27"/>
      <c r="G349" s="27"/>
      <c r="H349" s="27"/>
      <c r="I349" s="27"/>
      <c r="J349" s="14" t="s">
        <v>91</v>
      </c>
      <c r="K349" s="14" t="s">
        <v>59</v>
      </c>
      <c r="L349" s="14" t="s">
        <v>124</v>
      </c>
      <c r="M349" s="14" t="s">
        <v>132</v>
      </c>
      <c r="N349" s="18" t="s">
        <v>24</v>
      </c>
      <c r="O349" s="14" t="s">
        <v>24</v>
      </c>
      <c r="P349" s="19">
        <v>42751.813888888886</v>
      </c>
      <c r="Q349" s="19">
        <v>42771.540277777778</v>
      </c>
      <c r="R349" s="19">
        <v>42753.621527777781</v>
      </c>
      <c r="S349" s="14" t="s">
        <v>518</v>
      </c>
      <c r="T349" s="14"/>
      <c r="U349" s="14" t="s">
        <v>130</v>
      </c>
      <c r="V349" s="28">
        <v>42751</v>
      </c>
      <c r="W349" s="14">
        <v>0</v>
      </c>
      <c r="X349" s="14">
        <v>0</v>
      </c>
      <c r="Y349" s="14"/>
      <c r="Z349" s="14"/>
      <c r="AA349" s="14"/>
      <c r="AB349" s="14"/>
      <c r="AC349" s="14"/>
      <c r="AD349" s="14"/>
      <c r="AE349" s="14" t="s">
        <v>1841</v>
      </c>
      <c r="AF349" s="14" t="s">
        <v>1842</v>
      </c>
      <c r="AG349" s="14" t="s">
        <v>1843</v>
      </c>
      <c r="AH349" s="14"/>
      <c r="AI349" s="14"/>
      <c r="AJ349" s="14"/>
      <c r="AK349" s="14"/>
      <c r="AL349" s="14"/>
      <c r="AM349" s="14"/>
      <c r="AN349" s="14" t="s">
        <v>408</v>
      </c>
      <c r="AO349" s="14" t="s">
        <v>1844</v>
      </c>
      <c r="AP349" s="14" t="s">
        <v>556</v>
      </c>
      <c r="AQ349" s="14"/>
      <c r="AR349" s="22"/>
      <c r="AS349" s="22" t="s">
        <v>130</v>
      </c>
      <c r="AT349" s="22" t="s">
        <v>408</v>
      </c>
      <c r="AU349" s="25" t="str">
        <f>VLOOKUP(O349,[1]Lookup!A:B,2,FALSE)</f>
        <v>Test-SIT</v>
      </c>
    </row>
    <row r="350" spans="1:47" ht="51.75" customHeight="1" x14ac:dyDescent="0.2">
      <c r="A350" s="27" t="s">
        <v>86</v>
      </c>
      <c r="B350" s="29" t="s">
        <v>1845</v>
      </c>
      <c r="C350" s="27" t="s">
        <v>1846</v>
      </c>
      <c r="D350" s="22" t="s">
        <v>89</v>
      </c>
      <c r="E350" s="22" t="s">
        <v>1540</v>
      </c>
      <c r="F350" s="27"/>
      <c r="G350" s="27"/>
      <c r="H350" s="27"/>
      <c r="I350" s="27"/>
      <c r="J350" s="14" t="s">
        <v>91</v>
      </c>
      <c r="K350" s="14" t="s">
        <v>59</v>
      </c>
      <c r="L350" s="14" t="s">
        <v>124</v>
      </c>
      <c r="M350" s="14" t="s">
        <v>132</v>
      </c>
      <c r="N350" s="18" t="s">
        <v>24</v>
      </c>
      <c r="O350" s="14" t="s">
        <v>24</v>
      </c>
      <c r="P350" s="19">
        <v>42751.8</v>
      </c>
      <c r="Q350" s="19">
        <v>42771.540277777778</v>
      </c>
      <c r="R350" s="19">
        <v>42753.576388888891</v>
      </c>
      <c r="S350" s="14" t="s">
        <v>518</v>
      </c>
      <c r="T350" s="14"/>
      <c r="U350" s="14" t="s">
        <v>130</v>
      </c>
      <c r="V350" s="28">
        <v>42751</v>
      </c>
      <c r="W350" s="14">
        <v>0</v>
      </c>
      <c r="X350" s="14">
        <v>0</v>
      </c>
      <c r="Y350" s="14"/>
      <c r="Z350" s="14"/>
      <c r="AA350" s="14"/>
      <c r="AB350" s="14"/>
      <c r="AC350" s="14"/>
      <c r="AD350" s="14"/>
      <c r="AE350" s="14"/>
      <c r="AF350" s="14" t="s">
        <v>1847</v>
      </c>
      <c r="AG350" s="14" t="s">
        <v>1848</v>
      </c>
      <c r="AH350" s="14"/>
      <c r="AI350" s="14"/>
      <c r="AJ350" s="14"/>
      <c r="AK350" s="14"/>
      <c r="AL350" s="14"/>
      <c r="AM350" s="14"/>
      <c r="AN350" s="14" t="s">
        <v>408</v>
      </c>
      <c r="AO350" s="14" t="s">
        <v>1830</v>
      </c>
      <c r="AP350" s="14" t="s">
        <v>556</v>
      </c>
      <c r="AQ350" s="14"/>
      <c r="AR350" s="22"/>
      <c r="AS350" s="22" t="s">
        <v>89</v>
      </c>
      <c r="AT350" s="22" t="s">
        <v>1540</v>
      </c>
      <c r="AU350" s="25" t="str">
        <f>VLOOKUP(O350,[1]Lookup!A:B,2,FALSE)</f>
        <v>Test-SIT</v>
      </c>
    </row>
    <row r="351" spans="1:47" ht="51.75" customHeight="1" x14ac:dyDescent="0.2">
      <c r="A351" s="27" t="s">
        <v>86</v>
      </c>
      <c r="B351" s="29" t="s">
        <v>1849</v>
      </c>
      <c r="C351" s="27" t="s">
        <v>1850</v>
      </c>
      <c r="D351" s="22" t="s">
        <v>89</v>
      </c>
      <c r="E351" s="22" t="s">
        <v>1540</v>
      </c>
      <c r="F351" s="27"/>
      <c r="G351" s="27"/>
      <c r="H351" s="27"/>
      <c r="I351" s="27"/>
      <c r="J351" s="14" t="s">
        <v>91</v>
      </c>
      <c r="K351" s="14" t="s">
        <v>59</v>
      </c>
      <c r="L351" s="14" t="s">
        <v>124</v>
      </c>
      <c r="M351" s="14" t="s">
        <v>132</v>
      </c>
      <c r="N351" s="18" t="s">
        <v>24</v>
      </c>
      <c r="O351" s="14" t="s">
        <v>24</v>
      </c>
      <c r="P351" s="19">
        <v>42751.790277777778</v>
      </c>
      <c r="Q351" s="19">
        <v>42771.531944444447</v>
      </c>
      <c r="R351" s="19">
        <v>42753.574999999997</v>
      </c>
      <c r="S351" s="14" t="s">
        <v>518</v>
      </c>
      <c r="T351" s="14"/>
      <c r="U351" s="14" t="s">
        <v>130</v>
      </c>
      <c r="V351" s="28">
        <v>42751</v>
      </c>
      <c r="W351" s="14">
        <v>0</v>
      </c>
      <c r="X351" s="14">
        <v>0</v>
      </c>
      <c r="Y351" s="14"/>
      <c r="Z351" s="14"/>
      <c r="AA351" s="14"/>
      <c r="AB351" s="14"/>
      <c r="AC351" s="14"/>
      <c r="AD351" s="14"/>
      <c r="AE351" s="14" t="s">
        <v>1841</v>
      </c>
      <c r="AF351" s="14" t="s">
        <v>1851</v>
      </c>
      <c r="AG351" s="14" t="s">
        <v>1852</v>
      </c>
      <c r="AH351" s="14"/>
      <c r="AI351" s="14"/>
      <c r="AJ351" s="14"/>
      <c r="AK351" s="14"/>
      <c r="AL351" s="14"/>
      <c r="AM351" s="14"/>
      <c r="AN351" s="14" t="s">
        <v>255</v>
      </c>
      <c r="AO351" s="14" t="s">
        <v>1853</v>
      </c>
      <c r="AP351" s="14" t="s">
        <v>556</v>
      </c>
      <c r="AQ351" s="14"/>
      <c r="AR351" s="22"/>
      <c r="AS351" s="22" t="s">
        <v>89</v>
      </c>
      <c r="AT351" s="22" t="s">
        <v>1540</v>
      </c>
      <c r="AU351" s="25" t="str">
        <f>VLOOKUP(O351,[1]Lookup!A:B,2,FALSE)</f>
        <v>Test-SIT</v>
      </c>
    </row>
    <row r="352" spans="1:47" ht="51.75" customHeight="1" x14ac:dyDescent="0.2">
      <c r="A352" s="27" t="s">
        <v>86</v>
      </c>
      <c r="B352" s="29" t="s">
        <v>1854</v>
      </c>
      <c r="C352" s="27" t="s">
        <v>1855</v>
      </c>
      <c r="D352" s="22" t="s">
        <v>89</v>
      </c>
      <c r="E352" s="22" t="s">
        <v>1540</v>
      </c>
      <c r="F352" s="27"/>
      <c r="G352" s="27"/>
      <c r="H352" s="27"/>
      <c r="I352" s="27"/>
      <c r="J352" s="14" t="s">
        <v>91</v>
      </c>
      <c r="K352" s="14" t="s">
        <v>59</v>
      </c>
      <c r="L352" s="14" t="s">
        <v>124</v>
      </c>
      <c r="M352" s="14" t="s">
        <v>132</v>
      </c>
      <c r="N352" s="18" t="s">
        <v>24</v>
      </c>
      <c r="O352" s="14" t="s">
        <v>24</v>
      </c>
      <c r="P352" s="19">
        <v>42751.78125</v>
      </c>
      <c r="Q352" s="19">
        <v>42771.531944444447</v>
      </c>
      <c r="R352" s="19">
        <v>42754.56527777778</v>
      </c>
      <c r="S352" s="14" t="s">
        <v>518</v>
      </c>
      <c r="T352" s="14"/>
      <c r="U352" s="14" t="s">
        <v>130</v>
      </c>
      <c r="V352" s="28">
        <v>42751</v>
      </c>
      <c r="W352" s="14">
        <v>0</v>
      </c>
      <c r="X352" s="14">
        <v>0</v>
      </c>
      <c r="Y352" s="14"/>
      <c r="Z352" s="14"/>
      <c r="AA352" s="14"/>
      <c r="AB352" s="14"/>
      <c r="AC352" s="14"/>
      <c r="AD352" s="14"/>
      <c r="AE352" s="14"/>
      <c r="AF352" s="14" t="s">
        <v>1856</v>
      </c>
      <c r="AG352" s="14" t="s">
        <v>1857</v>
      </c>
      <c r="AH352" s="14"/>
      <c r="AI352" s="14"/>
      <c r="AJ352" s="14"/>
      <c r="AK352" s="14"/>
      <c r="AL352" s="14"/>
      <c r="AM352" s="14"/>
      <c r="AN352" s="14" t="s">
        <v>255</v>
      </c>
      <c r="AO352" s="14"/>
      <c r="AP352" s="14" t="s">
        <v>163</v>
      </c>
      <c r="AQ352" s="14"/>
      <c r="AR352" s="22"/>
      <c r="AS352" s="22" t="s">
        <v>89</v>
      </c>
      <c r="AT352" s="22" t="s">
        <v>1540</v>
      </c>
      <c r="AU352" s="25" t="str">
        <f>VLOOKUP(O352,[1]Lookup!A:B,2,FALSE)</f>
        <v>Test-SIT</v>
      </c>
    </row>
    <row r="353" spans="1:47" ht="51.75" customHeight="1" x14ac:dyDescent="0.2">
      <c r="A353" s="27" t="s">
        <v>86</v>
      </c>
      <c r="B353" s="29" t="s">
        <v>1858</v>
      </c>
      <c r="C353" s="27" t="s">
        <v>1859</v>
      </c>
      <c r="D353" s="22" t="s">
        <v>89</v>
      </c>
      <c r="E353" s="22" t="s">
        <v>1540</v>
      </c>
      <c r="F353" s="27"/>
      <c r="G353" s="27"/>
      <c r="H353" s="27"/>
      <c r="I353" s="27"/>
      <c r="J353" s="14" t="s">
        <v>91</v>
      </c>
      <c r="K353" s="14" t="s">
        <v>59</v>
      </c>
      <c r="L353" s="14" t="s">
        <v>124</v>
      </c>
      <c r="M353" s="14" t="s">
        <v>132</v>
      </c>
      <c r="N353" s="18" t="s">
        <v>24</v>
      </c>
      <c r="O353" s="14" t="s">
        <v>24</v>
      </c>
      <c r="P353" s="19">
        <v>42751.775694444441</v>
      </c>
      <c r="Q353" s="19">
        <v>42771.53125</v>
      </c>
      <c r="R353" s="19">
        <v>42754.564583333333</v>
      </c>
      <c r="S353" s="14" t="s">
        <v>518</v>
      </c>
      <c r="T353" s="14"/>
      <c r="U353" s="14" t="s">
        <v>130</v>
      </c>
      <c r="V353" s="28">
        <v>42751</v>
      </c>
      <c r="W353" s="14">
        <v>0</v>
      </c>
      <c r="X353" s="14">
        <v>0</v>
      </c>
      <c r="Y353" s="14"/>
      <c r="Z353" s="14"/>
      <c r="AA353" s="14"/>
      <c r="AB353" s="14"/>
      <c r="AC353" s="14"/>
      <c r="AD353" s="14"/>
      <c r="AE353" s="14" t="s">
        <v>1841</v>
      </c>
      <c r="AF353" s="14" t="s">
        <v>1860</v>
      </c>
      <c r="AG353" s="14" t="s">
        <v>1861</v>
      </c>
      <c r="AH353" s="14"/>
      <c r="AI353" s="14"/>
      <c r="AJ353" s="14"/>
      <c r="AK353" s="14"/>
      <c r="AL353" s="14"/>
      <c r="AM353" s="14"/>
      <c r="AN353" s="14" t="s">
        <v>255</v>
      </c>
      <c r="AO353" s="14" t="s">
        <v>1862</v>
      </c>
      <c r="AP353" s="14" t="s">
        <v>950</v>
      </c>
      <c r="AQ353" s="14" t="s">
        <v>1771</v>
      </c>
      <c r="AR353" s="22"/>
      <c r="AS353" s="22" t="s">
        <v>89</v>
      </c>
      <c r="AT353" s="22" t="s">
        <v>1540</v>
      </c>
      <c r="AU353" s="25" t="str">
        <f>VLOOKUP(O353,[1]Lookup!A:B,2,FALSE)</f>
        <v>Test-SIT</v>
      </c>
    </row>
    <row r="354" spans="1:47" ht="51.75" customHeight="1" x14ac:dyDescent="0.2">
      <c r="A354" s="27" t="s">
        <v>86</v>
      </c>
      <c r="B354" s="29" t="s">
        <v>1863</v>
      </c>
      <c r="C354" s="27" t="s">
        <v>1864</v>
      </c>
      <c r="D354" s="22" t="s">
        <v>89</v>
      </c>
      <c r="E354" s="22" t="s">
        <v>1540</v>
      </c>
      <c r="F354" s="27"/>
      <c r="G354" s="27"/>
      <c r="H354" s="27"/>
      <c r="I354" s="27"/>
      <c r="J354" s="14" t="s">
        <v>91</v>
      </c>
      <c r="K354" s="14" t="s">
        <v>59</v>
      </c>
      <c r="L354" s="14" t="s">
        <v>124</v>
      </c>
      <c r="M354" s="14" t="s">
        <v>132</v>
      </c>
      <c r="N354" s="18" t="s">
        <v>24</v>
      </c>
      <c r="O354" s="14" t="s">
        <v>24</v>
      </c>
      <c r="P354" s="19">
        <v>42751.763888888891</v>
      </c>
      <c r="Q354" s="19">
        <v>42771.53125</v>
      </c>
      <c r="R354" s="19">
        <v>42753.681944444441</v>
      </c>
      <c r="S354" s="14" t="s">
        <v>518</v>
      </c>
      <c r="T354" s="14"/>
      <c r="U354" s="14" t="s">
        <v>130</v>
      </c>
      <c r="V354" s="28">
        <v>42751</v>
      </c>
      <c r="W354" s="14">
        <v>0</v>
      </c>
      <c r="X354" s="14">
        <v>0</v>
      </c>
      <c r="Y354" s="14"/>
      <c r="Z354" s="14"/>
      <c r="AA354" s="14"/>
      <c r="AB354" s="14"/>
      <c r="AC354" s="14"/>
      <c r="AD354" s="14"/>
      <c r="AE354" s="14"/>
      <c r="AF354" s="14" t="s">
        <v>1865</v>
      </c>
      <c r="AG354" s="14" t="s">
        <v>1866</v>
      </c>
      <c r="AH354" s="14"/>
      <c r="AI354" s="14"/>
      <c r="AJ354" s="14"/>
      <c r="AK354" s="14"/>
      <c r="AL354" s="14"/>
      <c r="AM354" s="14"/>
      <c r="AN354" s="14" t="s">
        <v>255</v>
      </c>
      <c r="AO354" s="14" t="s">
        <v>1830</v>
      </c>
      <c r="AP354" s="14" t="s">
        <v>250</v>
      </c>
      <c r="AQ354" s="14" t="s">
        <v>1771</v>
      </c>
      <c r="AR354" s="22"/>
      <c r="AS354" s="22" t="s">
        <v>89</v>
      </c>
      <c r="AT354" s="22" t="s">
        <v>1540</v>
      </c>
      <c r="AU354" s="25" t="str">
        <f>VLOOKUP(O354,[1]Lookup!A:B,2,FALSE)</f>
        <v>Test-SIT</v>
      </c>
    </row>
    <row r="355" spans="1:47" ht="51.75" customHeight="1" x14ac:dyDescent="0.2">
      <c r="A355" s="27" t="s">
        <v>86</v>
      </c>
      <c r="B355" s="29" t="s">
        <v>1867</v>
      </c>
      <c r="C355" s="27" t="s">
        <v>1868</v>
      </c>
      <c r="D355" s="22" t="s">
        <v>89</v>
      </c>
      <c r="E355" s="22" t="s">
        <v>507</v>
      </c>
      <c r="F355" s="27"/>
      <c r="G355" s="27" t="s">
        <v>139</v>
      </c>
      <c r="H355" s="27"/>
      <c r="I355" s="27"/>
      <c r="J355" s="14" t="s">
        <v>91</v>
      </c>
      <c r="K355" s="14" t="s">
        <v>59</v>
      </c>
      <c r="L355" s="14" t="s">
        <v>93</v>
      </c>
      <c r="M355" s="14" t="s">
        <v>132</v>
      </c>
      <c r="N355" s="18" t="s">
        <v>21</v>
      </c>
      <c r="O355" s="14" t="s">
        <v>24</v>
      </c>
      <c r="P355" s="19">
        <v>42751.607638888891</v>
      </c>
      <c r="Q355" s="19">
        <v>42771.684027777781</v>
      </c>
      <c r="R355" s="19">
        <v>42771.684027777781</v>
      </c>
      <c r="S355" s="14" t="s">
        <v>518</v>
      </c>
      <c r="T355" s="14" t="s">
        <v>139</v>
      </c>
      <c r="U355" s="14" t="s">
        <v>412</v>
      </c>
      <c r="V355" s="28">
        <v>42752</v>
      </c>
      <c r="W355" s="14">
        <v>0</v>
      </c>
      <c r="X355" s="14">
        <v>0</v>
      </c>
      <c r="Y355" s="14"/>
      <c r="Z355" s="14"/>
      <c r="AA355" s="14"/>
      <c r="AB355" s="14"/>
      <c r="AC355" s="14"/>
      <c r="AD355" s="14"/>
      <c r="AE355" s="14"/>
      <c r="AF355" s="14" t="s">
        <v>1869</v>
      </c>
      <c r="AG355" s="14" t="s">
        <v>1870</v>
      </c>
      <c r="AH355" s="14"/>
      <c r="AI355" s="14"/>
      <c r="AJ355" s="14"/>
      <c r="AK355" s="14"/>
      <c r="AL355" s="14"/>
      <c r="AM355" s="14"/>
      <c r="AN355" s="14" t="s">
        <v>149</v>
      </c>
      <c r="AO355" s="14" t="s">
        <v>1755</v>
      </c>
      <c r="AP355" s="14" t="s">
        <v>163</v>
      </c>
      <c r="AQ355" s="14" t="s">
        <v>1771</v>
      </c>
      <c r="AR355" s="22"/>
      <c r="AS355" s="22" t="s">
        <v>89</v>
      </c>
      <c r="AT355" s="22" t="s">
        <v>513</v>
      </c>
      <c r="AU355" s="25" t="str">
        <f>VLOOKUP(O355,[1]Lookup!A:B,2,FALSE)</f>
        <v>Test-SIT</v>
      </c>
    </row>
    <row r="356" spans="1:47" ht="51.75" customHeight="1" x14ac:dyDescent="0.2">
      <c r="A356" s="27" t="s">
        <v>86</v>
      </c>
      <c r="B356" s="29" t="s">
        <v>1763</v>
      </c>
      <c r="C356" s="27" t="s">
        <v>1871</v>
      </c>
      <c r="D356" s="22" t="s">
        <v>89</v>
      </c>
      <c r="E356" s="22" t="s">
        <v>193</v>
      </c>
      <c r="F356" s="27"/>
      <c r="G356" s="27" t="s">
        <v>518</v>
      </c>
      <c r="H356" s="27"/>
      <c r="I356" s="27"/>
      <c r="J356" s="14" t="s">
        <v>91</v>
      </c>
      <c r="K356" s="14" t="s">
        <v>59</v>
      </c>
      <c r="L356" s="14" t="s">
        <v>93</v>
      </c>
      <c r="M356" s="14" t="s">
        <v>132</v>
      </c>
      <c r="N356" s="18" t="s">
        <v>21</v>
      </c>
      <c r="O356" s="14" t="s">
        <v>24</v>
      </c>
      <c r="P356" s="19">
        <v>42751.602777777778</v>
      </c>
      <c r="Q356" s="19">
        <v>42771.573611111111</v>
      </c>
      <c r="R356" s="19">
        <v>42758.78125</v>
      </c>
      <c r="S356" s="14" t="s">
        <v>518</v>
      </c>
      <c r="T356" s="14" t="s">
        <v>518</v>
      </c>
      <c r="U356" s="14" t="s">
        <v>412</v>
      </c>
      <c r="V356" s="28">
        <v>42752</v>
      </c>
      <c r="W356" s="14">
        <v>0</v>
      </c>
      <c r="X356" s="14">
        <v>0</v>
      </c>
      <c r="Y356" s="14"/>
      <c r="Z356" s="14"/>
      <c r="AA356" s="14"/>
      <c r="AB356" s="14"/>
      <c r="AC356" s="14"/>
      <c r="AD356" s="14"/>
      <c r="AE356" s="14" t="s">
        <v>1872</v>
      </c>
      <c r="AF356" s="14" t="s">
        <v>1873</v>
      </c>
      <c r="AG356" s="14" t="s">
        <v>1874</v>
      </c>
      <c r="AH356" s="14"/>
      <c r="AI356" s="14"/>
      <c r="AJ356" s="14"/>
      <c r="AK356" s="14"/>
      <c r="AL356" s="14"/>
      <c r="AM356" s="14"/>
      <c r="AN356" s="14" t="s">
        <v>1105</v>
      </c>
      <c r="AO356" s="14" t="s">
        <v>1875</v>
      </c>
      <c r="AP356" s="14" t="s">
        <v>163</v>
      </c>
      <c r="AQ356" s="14" t="s">
        <v>1771</v>
      </c>
      <c r="AR356" s="22"/>
      <c r="AS356" s="22" t="s">
        <v>89</v>
      </c>
      <c r="AT356" s="22" t="s">
        <v>193</v>
      </c>
      <c r="AU356" s="25" t="str">
        <f>VLOOKUP(O356,[1]Lookup!A:B,2,FALSE)</f>
        <v>Test-SIT</v>
      </c>
    </row>
    <row r="357" spans="1:47" ht="51.75" customHeight="1" x14ac:dyDescent="0.2">
      <c r="A357" s="27" t="s">
        <v>86</v>
      </c>
      <c r="B357" s="29" t="s">
        <v>1876</v>
      </c>
      <c r="C357" s="27" t="s">
        <v>1877</v>
      </c>
      <c r="D357" s="22" t="s">
        <v>130</v>
      </c>
      <c r="E357" s="22" t="s">
        <v>416</v>
      </c>
      <c r="F357" s="37" t="s">
        <v>608</v>
      </c>
      <c r="G357" s="37" t="s">
        <v>659</v>
      </c>
      <c r="H357" s="37"/>
      <c r="I357" s="37" t="s">
        <v>609</v>
      </c>
      <c r="J357" s="14" t="s">
        <v>91</v>
      </c>
      <c r="K357" s="14" t="s">
        <v>59</v>
      </c>
      <c r="L357" s="14" t="s">
        <v>103</v>
      </c>
      <c r="M357" s="14" t="s">
        <v>132</v>
      </c>
      <c r="N357" s="18" t="s">
        <v>30</v>
      </c>
      <c r="O357" s="14" t="s">
        <v>24</v>
      </c>
      <c r="P357" s="19">
        <v>42751.561805555553</v>
      </c>
      <c r="Q357" s="19">
        <v>42794.549305555556</v>
      </c>
      <c r="R357" s="19">
        <v>42794.549305555556</v>
      </c>
      <c r="S357" s="14" t="s">
        <v>518</v>
      </c>
      <c r="T357" s="14" t="s">
        <v>659</v>
      </c>
      <c r="U357" s="14" t="s">
        <v>130</v>
      </c>
      <c r="V357" s="28">
        <v>42769</v>
      </c>
      <c r="W357" s="14">
        <v>0</v>
      </c>
      <c r="X357" s="14">
        <v>0</v>
      </c>
      <c r="Y357" s="14"/>
      <c r="Z357" s="14"/>
      <c r="AA357" s="14"/>
      <c r="AB357" s="14"/>
      <c r="AC357" s="14"/>
      <c r="AD357" s="14"/>
      <c r="AE357" s="14"/>
      <c r="AF357" s="14" t="s">
        <v>1878</v>
      </c>
      <c r="AG357" s="14" t="s">
        <v>1879</v>
      </c>
      <c r="AH357" s="14"/>
      <c r="AI357" s="14"/>
      <c r="AJ357" s="14"/>
      <c r="AK357" s="14"/>
      <c r="AL357" s="14"/>
      <c r="AM357" s="14"/>
      <c r="AN357" s="14" t="s">
        <v>416</v>
      </c>
      <c r="AO357" s="14" t="s">
        <v>605</v>
      </c>
      <c r="AP357" s="14" t="s">
        <v>950</v>
      </c>
      <c r="AQ357" s="14" t="s">
        <v>1771</v>
      </c>
      <c r="AR357" s="22"/>
      <c r="AS357" s="22" t="s">
        <v>130</v>
      </c>
      <c r="AT357" s="22" t="s">
        <v>416</v>
      </c>
      <c r="AU357" s="25" t="str">
        <f>VLOOKUP(O357,[1]Lookup!A:B,2,FALSE)</f>
        <v>Test-SIT</v>
      </c>
    </row>
    <row r="358" spans="1:47" ht="51.75" customHeight="1" x14ac:dyDescent="0.2">
      <c r="A358" s="27" t="s">
        <v>86</v>
      </c>
      <c r="B358" s="29" t="s">
        <v>1880</v>
      </c>
      <c r="C358" s="27" t="s">
        <v>1881</v>
      </c>
      <c r="D358" s="22" t="s">
        <v>89</v>
      </c>
      <c r="E358" s="22" t="s">
        <v>507</v>
      </c>
      <c r="F358" s="27" t="s">
        <v>1201</v>
      </c>
      <c r="G358" s="27" t="s">
        <v>139</v>
      </c>
      <c r="H358" s="27"/>
      <c r="I358" s="27"/>
      <c r="J358" s="14" t="s">
        <v>91</v>
      </c>
      <c r="K358" s="14" t="s">
        <v>59</v>
      </c>
      <c r="L358" s="14" t="s">
        <v>93</v>
      </c>
      <c r="M358" s="14" t="s">
        <v>132</v>
      </c>
      <c r="N358" s="18" t="s">
        <v>21</v>
      </c>
      <c r="O358" s="14" t="s">
        <v>24</v>
      </c>
      <c r="P358" s="19">
        <v>42751.554166666669</v>
      </c>
      <c r="Q358" s="19">
        <v>42773.414583333331</v>
      </c>
      <c r="R358" s="19">
        <v>42773.414583333331</v>
      </c>
      <c r="S358" s="14" t="s">
        <v>518</v>
      </c>
      <c r="T358" s="14" t="s">
        <v>139</v>
      </c>
      <c r="U358" s="14" t="s">
        <v>412</v>
      </c>
      <c r="V358" s="28">
        <v>42752</v>
      </c>
      <c r="W358" s="14">
        <v>0</v>
      </c>
      <c r="X358" s="14">
        <v>0</v>
      </c>
      <c r="Y358" s="14"/>
      <c r="Z358" s="14"/>
      <c r="AA358" s="14"/>
      <c r="AB358" s="14"/>
      <c r="AC358" s="14"/>
      <c r="AD358" s="14"/>
      <c r="AE358" s="14"/>
      <c r="AF358" s="14" t="s">
        <v>1882</v>
      </c>
      <c r="AG358" s="14" t="s">
        <v>1883</v>
      </c>
      <c r="AH358" s="14"/>
      <c r="AI358" s="14"/>
      <c r="AJ358" s="14"/>
      <c r="AK358" s="14"/>
      <c r="AL358" s="14"/>
      <c r="AM358" s="14"/>
      <c r="AN358" s="14" t="s">
        <v>149</v>
      </c>
      <c r="AO358" s="14" t="s">
        <v>1755</v>
      </c>
      <c r="AP358" s="14" t="s">
        <v>950</v>
      </c>
      <c r="AQ358" s="14"/>
      <c r="AR358" s="22"/>
      <c r="AS358" s="22" t="s">
        <v>89</v>
      </c>
      <c r="AT358" s="22" t="s">
        <v>513</v>
      </c>
      <c r="AU358" s="25" t="str">
        <f>VLOOKUP(O358,[1]Lookup!A:B,2,FALSE)</f>
        <v>Test-SIT</v>
      </c>
    </row>
    <row r="359" spans="1:47" ht="51.75" customHeight="1" x14ac:dyDescent="0.2">
      <c r="A359" s="27" t="s">
        <v>86</v>
      </c>
      <c r="B359" s="29" t="s">
        <v>1841</v>
      </c>
      <c r="C359" s="27" t="s">
        <v>1884</v>
      </c>
      <c r="D359" s="22" t="s">
        <v>89</v>
      </c>
      <c r="E359" s="22" t="s">
        <v>1540</v>
      </c>
      <c r="F359" s="27"/>
      <c r="G359" s="27"/>
      <c r="H359" s="27"/>
      <c r="I359" s="27"/>
      <c r="J359" s="14" t="s">
        <v>91</v>
      </c>
      <c r="K359" s="14" t="s">
        <v>59</v>
      </c>
      <c r="L359" s="14" t="s">
        <v>124</v>
      </c>
      <c r="M359" s="14" t="s">
        <v>132</v>
      </c>
      <c r="N359" s="18" t="s">
        <v>24</v>
      </c>
      <c r="O359" s="14" t="s">
        <v>24</v>
      </c>
      <c r="P359" s="19">
        <v>42751.55</v>
      </c>
      <c r="Q359" s="19">
        <v>42771.526388888888</v>
      </c>
      <c r="R359" s="19">
        <v>42754.563888888886</v>
      </c>
      <c r="S359" s="14" t="s">
        <v>518</v>
      </c>
      <c r="T359" s="14"/>
      <c r="U359" s="14" t="s">
        <v>130</v>
      </c>
      <c r="V359" s="28">
        <v>42751</v>
      </c>
      <c r="W359" s="14">
        <v>0</v>
      </c>
      <c r="X359" s="14">
        <v>0</v>
      </c>
      <c r="Y359" s="14"/>
      <c r="Z359" s="14"/>
      <c r="AA359" s="14"/>
      <c r="AB359" s="14"/>
      <c r="AC359" s="14"/>
      <c r="AD359" s="14"/>
      <c r="AE359" s="14" t="s">
        <v>1885</v>
      </c>
      <c r="AF359" s="14" t="s">
        <v>1886</v>
      </c>
      <c r="AG359" s="14" t="s">
        <v>1887</v>
      </c>
      <c r="AH359" s="14"/>
      <c r="AI359" s="14"/>
      <c r="AJ359" s="14"/>
      <c r="AK359" s="14"/>
      <c r="AL359" s="14"/>
      <c r="AM359" s="14"/>
      <c r="AN359" s="14" t="s">
        <v>255</v>
      </c>
      <c r="AO359" s="14" t="s">
        <v>1888</v>
      </c>
      <c r="AP359" s="14" t="s">
        <v>950</v>
      </c>
      <c r="AQ359" s="14" t="s">
        <v>1889</v>
      </c>
      <c r="AR359" s="22"/>
      <c r="AS359" s="22" t="s">
        <v>89</v>
      </c>
      <c r="AT359" s="22" t="s">
        <v>1540</v>
      </c>
      <c r="AU359" s="25" t="str">
        <f>VLOOKUP(O359,[1]Lookup!A:B,2,FALSE)</f>
        <v>Test-SIT</v>
      </c>
    </row>
    <row r="360" spans="1:47" ht="51.75" customHeight="1" x14ac:dyDescent="0.2">
      <c r="A360" s="27" t="s">
        <v>86</v>
      </c>
      <c r="B360" s="29" t="s">
        <v>1890</v>
      </c>
      <c r="C360" s="27" t="s">
        <v>1891</v>
      </c>
      <c r="D360" s="22" t="s">
        <v>1892</v>
      </c>
      <c r="E360" s="22" t="s">
        <v>1893</v>
      </c>
      <c r="F360" s="27"/>
      <c r="G360" s="27" t="s">
        <v>518</v>
      </c>
      <c r="H360" s="27"/>
      <c r="I360" s="27"/>
      <c r="J360" s="14" t="s">
        <v>91</v>
      </c>
      <c r="K360" s="14" t="s">
        <v>59</v>
      </c>
      <c r="L360" s="14" t="s">
        <v>93</v>
      </c>
      <c r="M360" s="14" t="s">
        <v>132</v>
      </c>
      <c r="N360" s="18" t="s">
        <v>21</v>
      </c>
      <c r="O360" s="14" t="s">
        <v>24</v>
      </c>
      <c r="P360" s="19">
        <v>42751.544444444444</v>
      </c>
      <c r="Q360" s="19">
        <v>42771.526388888888</v>
      </c>
      <c r="R360" s="19">
        <v>42760.443055555559</v>
      </c>
      <c r="S360" s="14" t="s">
        <v>518</v>
      </c>
      <c r="T360" s="14" t="s">
        <v>518</v>
      </c>
      <c r="U360" s="14" t="s">
        <v>1894</v>
      </c>
      <c r="V360" s="28">
        <v>42752</v>
      </c>
      <c r="W360" s="14">
        <v>0</v>
      </c>
      <c r="X360" s="14">
        <v>0</v>
      </c>
      <c r="Y360" s="14"/>
      <c r="Z360" s="14"/>
      <c r="AA360" s="14"/>
      <c r="AB360" s="14"/>
      <c r="AC360" s="14"/>
      <c r="AD360" s="14"/>
      <c r="AE360" s="14" t="s">
        <v>1895</v>
      </c>
      <c r="AF360" s="14" t="s">
        <v>1896</v>
      </c>
      <c r="AG360" s="14" t="s">
        <v>1897</v>
      </c>
      <c r="AH360" s="14"/>
      <c r="AI360" s="14"/>
      <c r="AJ360" s="14"/>
      <c r="AK360" s="14"/>
      <c r="AL360" s="14"/>
      <c r="AM360" s="14"/>
      <c r="AN360" s="14" t="s">
        <v>1898</v>
      </c>
      <c r="AO360" s="14" t="s">
        <v>1899</v>
      </c>
      <c r="AP360" s="14" t="s">
        <v>950</v>
      </c>
      <c r="AQ360" s="14" t="s">
        <v>1900</v>
      </c>
      <c r="AR360" s="22"/>
      <c r="AS360" s="22" t="s">
        <v>1892</v>
      </c>
      <c r="AT360" s="22" t="s">
        <v>1893</v>
      </c>
      <c r="AU360" s="25" t="str">
        <f>VLOOKUP(O360,[1]Lookup!A:B,2,FALSE)</f>
        <v>Test-SIT</v>
      </c>
    </row>
    <row r="361" spans="1:47" ht="51.75" customHeight="1" x14ac:dyDescent="0.2">
      <c r="A361" s="27" t="s">
        <v>86</v>
      </c>
      <c r="B361" s="29" t="s">
        <v>1901</v>
      </c>
      <c r="C361" s="27" t="s">
        <v>1902</v>
      </c>
      <c r="D361" s="22" t="s">
        <v>89</v>
      </c>
      <c r="E361" s="22" t="s">
        <v>1540</v>
      </c>
      <c r="F361" s="27"/>
      <c r="G361" s="27" t="s">
        <v>139</v>
      </c>
      <c r="H361" s="27"/>
      <c r="I361" s="27"/>
      <c r="J361" s="14" t="s">
        <v>91</v>
      </c>
      <c r="K361" s="14" t="s">
        <v>59</v>
      </c>
      <c r="L361" s="14" t="s">
        <v>93</v>
      </c>
      <c r="M361" s="14" t="s">
        <v>132</v>
      </c>
      <c r="N361" s="18" t="s">
        <v>11</v>
      </c>
      <c r="O361" s="14" t="s">
        <v>24</v>
      </c>
      <c r="P361" s="19">
        <v>42751.512499999997</v>
      </c>
      <c r="Q361" s="19">
        <v>42773.417361111111</v>
      </c>
      <c r="R361" s="19">
        <v>42773.417361111111</v>
      </c>
      <c r="S361" s="14" t="s">
        <v>518</v>
      </c>
      <c r="T361" s="14" t="s">
        <v>139</v>
      </c>
      <c r="U361" s="14" t="s">
        <v>130</v>
      </c>
      <c r="V361" s="28">
        <v>42752</v>
      </c>
      <c r="W361" s="14">
        <v>0</v>
      </c>
      <c r="X361" s="14">
        <v>0</v>
      </c>
      <c r="Y361" s="14"/>
      <c r="Z361" s="14"/>
      <c r="AA361" s="14"/>
      <c r="AB361" s="14"/>
      <c r="AC361" s="14"/>
      <c r="AD361" s="14"/>
      <c r="AE361" s="14"/>
      <c r="AF361" s="14" t="s">
        <v>1903</v>
      </c>
      <c r="AG361" s="14" t="s">
        <v>1904</v>
      </c>
      <c r="AH361" s="14"/>
      <c r="AI361" s="14"/>
      <c r="AJ361" s="14"/>
      <c r="AK361" s="14"/>
      <c r="AL361" s="14"/>
      <c r="AM361" s="14"/>
      <c r="AN361" s="14" t="s">
        <v>255</v>
      </c>
      <c r="AO361" s="14" t="s">
        <v>1905</v>
      </c>
      <c r="AP361" s="14" t="s">
        <v>163</v>
      </c>
      <c r="AQ361" s="14" t="s">
        <v>1906</v>
      </c>
      <c r="AR361" s="22"/>
      <c r="AS361" s="22" t="s">
        <v>89</v>
      </c>
      <c r="AT361" s="22" t="s">
        <v>1540</v>
      </c>
      <c r="AU361" s="25" t="str">
        <f>VLOOKUP(O361,[1]Lookup!A:B,2,FALSE)</f>
        <v>Test-SIT</v>
      </c>
    </row>
    <row r="362" spans="1:47" ht="51.75" customHeight="1" x14ac:dyDescent="0.2">
      <c r="A362" s="27" t="s">
        <v>86</v>
      </c>
      <c r="B362" s="29" t="s">
        <v>1895</v>
      </c>
      <c r="C362" s="27" t="s">
        <v>1907</v>
      </c>
      <c r="D362" s="22" t="s">
        <v>1892</v>
      </c>
      <c r="E362" s="22" t="s">
        <v>1893</v>
      </c>
      <c r="F362" s="27"/>
      <c r="G362" s="27" t="s">
        <v>518</v>
      </c>
      <c r="H362" s="27"/>
      <c r="I362" s="27"/>
      <c r="J362" s="14" t="s">
        <v>91</v>
      </c>
      <c r="K362" s="14" t="s">
        <v>59</v>
      </c>
      <c r="L362" s="14" t="s">
        <v>93</v>
      </c>
      <c r="M362" s="14" t="s">
        <v>132</v>
      </c>
      <c r="N362" s="18" t="s">
        <v>21</v>
      </c>
      <c r="O362" s="14" t="s">
        <v>24</v>
      </c>
      <c r="P362" s="19">
        <v>42751.5</v>
      </c>
      <c r="Q362" s="19">
        <v>42771.525694444441</v>
      </c>
      <c r="R362" s="19">
        <v>42760.441666666666</v>
      </c>
      <c r="S362" s="14" t="s">
        <v>518</v>
      </c>
      <c r="T362" s="14" t="s">
        <v>518</v>
      </c>
      <c r="U362" s="14" t="s">
        <v>1894</v>
      </c>
      <c r="V362" s="28">
        <v>42752</v>
      </c>
      <c r="W362" s="14">
        <v>0</v>
      </c>
      <c r="X362" s="14">
        <v>0</v>
      </c>
      <c r="Y362" s="14"/>
      <c r="Z362" s="14"/>
      <c r="AA362" s="14"/>
      <c r="AB362" s="14"/>
      <c r="AC362" s="14"/>
      <c r="AD362" s="14"/>
      <c r="AE362" s="14" t="s">
        <v>1890</v>
      </c>
      <c r="AF362" s="14" t="s">
        <v>1908</v>
      </c>
      <c r="AG362" s="14" t="s">
        <v>1909</v>
      </c>
      <c r="AH362" s="14"/>
      <c r="AI362" s="14"/>
      <c r="AJ362" s="14"/>
      <c r="AK362" s="14"/>
      <c r="AL362" s="14"/>
      <c r="AM362" s="14"/>
      <c r="AN362" s="14" t="s">
        <v>1898</v>
      </c>
      <c r="AO362" s="14" t="s">
        <v>1910</v>
      </c>
      <c r="AP362" s="14" t="s">
        <v>163</v>
      </c>
      <c r="AQ362" s="14"/>
      <c r="AR362" s="22"/>
      <c r="AS362" s="22" t="s">
        <v>1892</v>
      </c>
      <c r="AT362" s="22" t="s">
        <v>1893</v>
      </c>
      <c r="AU362" s="25" t="str">
        <f>VLOOKUP(O362,[1]Lookup!A:B,2,FALSE)</f>
        <v>Test-SIT</v>
      </c>
    </row>
    <row r="363" spans="1:47" ht="51.75" customHeight="1" x14ac:dyDescent="0.2">
      <c r="A363" s="27" t="s">
        <v>86</v>
      </c>
      <c r="B363" s="29" t="s">
        <v>1911</v>
      </c>
      <c r="C363" s="27" t="s">
        <v>1912</v>
      </c>
      <c r="D363" s="22" t="s">
        <v>89</v>
      </c>
      <c r="E363" s="22" t="s">
        <v>507</v>
      </c>
      <c r="F363" s="27" t="s">
        <v>1201</v>
      </c>
      <c r="G363" s="27" t="s">
        <v>139</v>
      </c>
      <c r="H363" s="27"/>
      <c r="I363" s="27"/>
      <c r="J363" s="14" t="s">
        <v>91</v>
      </c>
      <c r="K363" s="14" t="s">
        <v>59</v>
      </c>
      <c r="L363" s="14" t="s">
        <v>93</v>
      </c>
      <c r="M363" s="14" t="s">
        <v>132</v>
      </c>
      <c r="N363" s="18" t="s">
        <v>21</v>
      </c>
      <c r="O363" s="14" t="s">
        <v>24</v>
      </c>
      <c r="P363" s="19">
        <v>42751.492361111108</v>
      </c>
      <c r="Q363" s="19">
        <v>42771.68472222222</v>
      </c>
      <c r="R363" s="19">
        <v>42771.68472222222</v>
      </c>
      <c r="S363" s="14" t="s">
        <v>518</v>
      </c>
      <c r="T363" s="14" t="s">
        <v>139</v>
      </c>
      <c r="U363" s="14" t="s">
        <v>412</v>
      </c>
      <c r="V363" s="28">
        <v>42752</v>
      </c>
      <c r="W363" s="14">
        <v>0</v>
      </c>
      <c r="X363" s="14">
        <v>0</v>
      </c>
      <c r="Y363" s="14"/>
      <c r="Z363" s="14"/>
      <c r="AA363" s="14"/>
      <c r="AB363" s="14"/>
      <c r="AC363" s="14"/>
      <c r="AD363" s="14"/>
      <c r="AE363" s="14"/>
      <c r="AF363" s="14" t="s">
        <v>1913</v>
      </c>
      <c r="AG363" s="14" t="s">
        <v>1914</v>
      </c>
      <c r="AH363" s="14"/>
      <c r="AI363" s="14"/>
      <c r="AJ363" s="14"/>
      <c r="AK363" s="14"/>
      <c r="AL363" s="14"/>
      <c r="AM363" s="14"/>
      <c r="AN363" s="14" t="s">
        <v>149</v>
      </c>
      <c r="AO363" s="14" t="s">
        <v>1755</v>
      </c>
      <c r="AP363" s="14" t="s">
        <v>163</v>
      </c>
      <c r="AQ363" s="14"/>
      <c r="AR363" s="22"/>
      <c r="AS363" s="22" t="s">
        <v>89</v>
      </c>
      <c r="AT363" s="22" t="s">
        <v>513</v>
      </c>
      <c r="AU363" s="25" t="str">
        <f>VLOOKUP(O363,[1]Lookup!A:B,2,FALSE)</f>
        <v>Test-SIT</v>
      </c>
    </row>
    <row r="364" spans="1:47" ht="51.75" customHeight="1" x14ac:dyDescent="0.2">
      <c r="A364" s="27" t="s">
        <v>86</v>
      </c>
      <c r="B364" s="29" t="s">
        <v>1915</v>
      </c>
      <c r="C364" s="27" t="s">
        <v>1916</v>
      </c>
      <c r="D364" s="22" t="s">
        <v>241</v>
      </c>
      <c r="E364" s="22" t="s">
        <v>229</v>
      </c>
      <c r="F364" s="27"/>
      <c r="G364" s="27" t="s">
        <v>518</v>
      </c>
      <c r="H364" s="27"/>
      <c r="I364" s="27"/>
      <c r="J364" s="14" t="s">
        <v>91</v>
      </c>
      <c r="K364" s="14" t="s">
        <v>59</v>
      </c>
      <c r="L364" s="14" t="s">
        <v>167</v>
      </c>
      <c r="M364" s="14" t="s">
        <v>132</v>
      </c>
      <c r="N364" s="18" t="s">
        <v>21</v>
      </c>
      <c r="O364" s="14" t="s">
        <v>21</v>
      </c>
      <c r="P364" s="19">
        <v>42751.484027777777</v>
      </c>
      <c r="Q364" s="19">
        <v>42771.638888888891</v>
      </c>
      <c r="R364" s="19">
        <v>42753.370833333334</v>
      </c>
      <c r="S364" s="14" t="s">
        <v>1917</v>
      </c>
      <c r="T364" s="14" t="s">
        <v>518</v>
      </c>
      <c r="U364" s="14" t="s">
        <v>241</v>
      </c>
      <c r="V364" s="28">
        <v>42755</v>
      </c>
      <c r="W364" s="14">
        <v>0</v>
      </c>
      <c r="X364" s="14">
        <v>0</v>
      </c>
      <c r="Y364" s="14"/>
      <c r="Z364" s="14"/>
      <c r="AA364" s="14"/>
      <c r="AB364" s="14"/>
      <c r="AC364" s="14"/>
      <c r="AD364" s="14"/>
      <c r="AE364" s="14"/>
      <c r="AF364" s="14" t="s">
        <v>1918</v>
      </c>
      <c r="AG364" s="14" t="s">
        <v>1919</v>
      </c>
      <c r="AH364" s="14"/>
      <c r="AI364" s="14"/>
      <c r="AJ364" s="14"/>
      <c r="AK364" s="14"/>
      <c r="AL364" s="14"/>
      <c r="AM364" s="14"/>
      <c r="AN364" s="14" t="s">
        <v>229</v>
      </c>
      <c r="AO364" s="14" t="s">
        <v>381</v>
      </c>
      <c r="AP364" s="14" t="s">
        <v>163</v>
      </c>
      <c r="AQ364" s="14"/>
      <c r="AR364" s="22"/>
      <c r="AS364" s="22" t="s">
        <v>241</v>
      </c>
      <c r="AT364" s="22" t="s">
        <v>229</v>
      </c>
      <c r="AU364" s="25" t="str">
        <f>VLOOKUP(O364,[1]Lookup!A:B,2,FALSE)</f>
        <v>Test-SIT</v>
      </c>
    </row>
    <row r="365" spans="1:47" ht="51.75" customHeight="1" x14ac:dyDescent="0.2">
      <c r="A365" s="27" t="s">
        <v>86</v>
      </c>
      <c r="B365" s="29" t="s">
        <v>1920</v>
      </c>
      <c r="C365" s="27" t="s">
        <v>1921</v>
      </c>
      <c r="D365" s="22" t="s">
        <v>89</v>
      </c>
      <c r="E365" s="22" t="s">
        <v>1540</v>
      </c>
      <c r="F365" s="27"/>
      <c r="G365" s="27"/>
      <c r="H365" s="27"/>
      <c r="I365" s="27"/>
      <c r="J365" s="14" t="s">
        <v>91</v>
      </c>
      <c r="K365" s="14" t="s">
        <v>59</v>
      </c>
      <c r="L365" s="14" t="s">
        <v>124</v>
      </c>
      <c r="M365" s="14" t="s">
        <v>132</v>
      </c>
      <c r="N365" s="18" t="s">
        <v>24</v>
      </c>
      <c r="O365" s="14" t="s">
        <v>24</v>
      </c>
      <c r="P365" s="19">
        <v>42751.477083333331</v>
      </c>
      <c r="Q365" s="19">
        <v>42771.523611111108</v>
      </c>
      <c r="R365" s="19">
        <v>42754.563194444447</v>
      </c>
      <c r="S365" s="14" t="s">
        <v>518</v>
      </c>
      <c r="T365" s="14"/>
      <c r="U365" s="14" t="s">
        <v>130</v>
      </c>
      <c r="V365" s="28">
        <v>42751</v>
      </c>
      <c r="W365" s="14">
        <v>0</v>
      </c>
      <c r="X365" s="14">
        <v>1</v>
      </c>
      <c r="Y365" s="14"/>
      <c r="Z365" s="14"/>
      <c r="AA365" s="14"/>
      <c r="AB365" s="14"/>
      <c r="AC365" s="14"/>
      <c r="AD365" s="14"/>
      <c r="AE365" s="14"/>
      <c r="AF365" s="14" t="s">
        <v>1922</v>
      </c>
      <c r="AG365" s="14" t="s">
        <v>1923</v>
      </c>
      <c r="AH365" s="14"/>
      <c r="AI365" s="14"/>
      <c r="AJ365" s="14"/>
      <c r="AK365" s="14"/>
      <c r="AL365" s="14"/>
      <c r="AM365" s="14"/>
      <c r="AN365" s="14" t="s">
        <v>255</v>
      </c>
      <c r="AO365" s="14"/>
      <c r="AP365" s="14" t="s">
        <v>163</v>
      </c>
      <c r="AQ365" s="14" t="s">
        <v>1924</v>
      </c>
      <c r="AR365" s="22"/>
      <c r="AS365" s="22" t="s">
        <v>89</v>
      </c>
      <c r="AT365" s="22" t="s">
        <v>1540</v>
      </c>
      <c r="AU365" s="25" t="str">
        <f>VLOOKUP(O365,[1]Lookup!A:B,2,FALSE)</f>
        <v>Test-SIT</v>
      </c>
    </row>
    <row r="366" spans="1:47" ht="51.75" customHeight="1" x14ac:dyDescent="0.2">
      <c r="A366" s="27" t="s">
        <v>86</v>
      </c>
      <c r="B366" s="29" t="s">
        <v>1925</v>
      </c>
      <c r="C366" s="27" t="s">
        <v>1926</v>
      </c>
      <c r="D366" s="22" t="s">
        <v>89</v>
      </c>
      <c r="E366" s="22" t="s">
        <v>1540</v>
      </c>
      <c r="F366" s="27"/>
      <c r="G366" s="27"/>
      <c r="H366" s="27"/>
      <c r="I366" s="27"/>
      <c r="J366" s="14" t="s">
        <v>91</v>
      </c>
      <c r="K366" s="14" t="s">
        <v>59</v>
      </c>
      <c r="L366" s="14" t="s">
        <v>124</v>
      </c>
      <c r="M366" s="14" t="s">
        <v>132</v>
      </c>
      <c r="N366" s="18" t="s">
        <v>24</v>
      </c>
      <c r="O366" s="14" t="s">
        <v>24</v>
      </c>
      <c r="P366" s="19">
        <v>42751.453472222223</v>
      </c>
      <c r="Q366" s="19">
        <v>42771.523611111108</v>
      </c>
      <c r="R366" s="19">
        <v>42754.5625</v>
      </c>
      <c r="S366" s="14" t="s">
        <v>518</v>
      </c>
      <c r="T366" s="14"/>
      <c r="U366" s="14" t="s">
        <v>130</v>
      </c>
      <c r="V366" s="28">
        <v>42751</v>
      </c>
      <c r="W366" s="14">
        <v>0</v>
      </c>
      <c r="X366" s="14">
        <v>0</v>
      </c>
      <c r="Y366" s="14"/>
      <c r="Z366" s="14"/>
      <c r="AA366" s="14"/>
      <c r="AB366" s="14"/>
      <c r="AC366" s="14"/>
      <c r="AD366" s="14"/>
      <c r="AE366" s="14"/>
      <c r="AF366" s="14" t="s">
        <v>1927</v>
      </c>
      <c r="AG366" s="14" t="s">
        <v>1928</v>
      </c>
      <c r="AH366" s="14"/>
      <c r="AI366" s="14"/>
      <c r="AJ366" s="14"/>
      <c r="AK366" s="14"/>
      <c r="AL366" s="14"/>
      <c r="AM366" s="14"/>
      <c r="AN366" s="14" t="s">
        <v>255</v>
      </c>
      <c r="AO366" s="14"/>
      <c r="AP366" s="14" t="s">
        <v>250</v>
      </c>
      <c r="AQ366" s="14"/>
      <c r="AR366" s="22"/>
      <c r="AS366" s="22" t="s">
        <v>89</v>
      </c>
      <c r="AT366" s="22" t="s">
        <v>1540</v>
      </c>
      <c r="AU366" s="25" t="str">
        <f>VLOOKUP(O366,[1]Lookup!A:B,2,FALSE)</f>
        <v>Test-SIT</v>
      </c>
    </row>
    <row r="367" spans="1:47" ht="51.75" customHeight="1" x14ac:dyDescent="0.2">
      <c r="A367" s="27" t="s">
        <v>86</v>
      </c>
      <c r="B367" s="29" t="s">
        <v>1929</v>
      </c>
      <c r="C367" s="27" t="s">
        <v>1930</v>
      </c>
      <c r="D367" s="22" t="s">
        <v>89</v>
      </c>
      <c r="E367" s="22" t="s">
        <v>1931</v>
      </c>
      <c r="F367" s="27"/>
      <c r="G367" s="27" t="s">
        <v>139</v>
      </c>
      <c r="H367" s="27"/>
      <c r="I367" s="27"/>
      <c r="J367" s="14" t="s">
        <v>91</v>
      </c>
      <c r="K367" s="14" t="s">
        <v>59</v>
      </c>
      <c r="L367" s="14" t="s">
        <v>103</v>
      </c>
      <c r="M367" s="14" t="s">
        <v>132</v>
      </c>
      <c r="N367" s="18" t="s">
        <v>21</v>
      </c>
      <c r="O367" s="14" t="s">
        <v>21</v>
      </c>
      <c r="P367" s="19">
        <v>42750.805555555555</v>
      </c>
      <c r="Q367" s="19">
        <v>42770.792361111111</v>
      </c>
      <c r="R367" s="19">
        <v>42769.450694444444</v>
      </c>
      <c r="S367" s="14" t="s">
        <v>518</v>
      </c>
      <c r="T367" s="14" t="s">
        <v>139</v>
      </c>
      <c r="U367" s="14" t="s">
        <v>89</v>
      </c>
      <c r="V367" s="28">
        <v>42752</v>
      </c>
      <c r="W367" s="14">
        <v>0</v>
      </c>
      <c r="X367" s="14">
        <v>0</v>
      </c>
      <c r="Y367" s="14"/>
      <c r="Z367" s="14"/>
      <c r="AA367" s="14"/>
      <c r="AB367" s="14"/>
      <c r="AC367" s="14"/>
      <c r="AD367" s="14"/>
      <c r="AE367" s="14"/>
      <c r="AF367" s="14" t="s">
        <v>1932</v>
      </c>
      <c r="AG367" s="14" t="s">
        <v>1933</v>
      </c>
      <c r="AH367" s="14"/>
      <c r="AI367" s="14"/>
      <c r="AJ367" s="14"/>
      <c r="AK367" s="14"/>
      <c r="AL367" s="14"/>
      <c r="AM367" s="14"/>
      <c r="AN367" s="14" t="s">
        <v>416</v>
      </c>
      <c r="AO367" s="14" t="s">
        <v>1934</v>
      </c>
      <c r="AP367" s="14"/>
      <c r="AQ367" s="14"/>
      <c r="AR367" s="22"/>
      <c r="AS367" s="22" t="s">
        <v>89</v>
      </c>
      <c r="AT367" s="22" t="s">
        <v>1931</v>
      </c>
      <c r="AU367" s="25" t="str">
        <f>VLOOKUP(O367,[1]Lookup!A:B,2,FALSE)</f>
        <v>Test-SIT</v>
      </c>
    </row>
    <row r="368" spans="1:47" ht="51.75" customHeight="1" x14ac:dyDescent="0.2">
      <c r="A368" s="27" t="s">
        <v>86</v>
      </c>
      <c r="B368" s="29" t="s">
        <v>1935</v>
      </c>
      <c r="C368" s="27" t="s">
        <v>1936</v>
      </c>
      <c r="D368" s="22" t="s">
        <v>89</v>
      </c>
      <c r="E368" s="22" t="s">
        <v>261</v>
      </c>
      <c r="F368" s="27"/>
      <c r="G368" s="27"/>
      <c r="H368" s="27"/>
      <c r="I368" s="27"/>
      <c r="J368" s="14" t="s">
        <v>91</v>
      </c>
      <c r="K368" s="14" t="s">
        <v>59</v>
      </c>
      <c r="L368" s="14" t="s">
        <v>167</v>
      </c>
      <c r="M368" s="14" t="s">
        <v>132</v>
      </c>
      <c r="N368" s="18" t="s">
        <v>21</v>
      </c>
      <c r="O368" s="14" t="s">
        <v>21</v>
      </c>
      <c r="P368" s="19">
        <v>42750.79583333333</v>
      </c>
      <c r="Q368" s="19">
        <v>42771.520833333336</v>
      </c>
      <c r="R368" s="19">
        <v>42759.510416666664</v>
      </c>
      <c r="S368" s="14" t="s">
        <v>518</v>
      </c>
      <c r="T368" s="14"/>
      <c r="U368" s="14" t="s">
        <v>89</v>
      </c>
      <c r="V368" s="28">
        <v>42754</v>
      </c>
      <c r="W368" s="14">
        <v>0</v>
      </c>
      <c r="X368" s="14">
        <v>0</v>
      </c>
      <c r="Y368" s="14"/>
      <c r="Z368" s="14"/>
      <c r="AA368" s="14"/>
      <c r="AB368" s="14"/>
      <c r="AC368" s="14"/>
      <c r="AD368" s="14"/>
      <c r="AE368" s="14"/>
      <c r="AF368" s="14" t="s">
        <v>1937</v>
      </c>
      <c r="AG368" s="14" t="s">
        <v>1938</v>
      </c>
      <c r="AH368" s="14"/>
      <c r="AI368" s="14"/>
      <c r="AJ368" s="14"/>
      <c r="AK368" s="14"/>
      <c r="AL368" s="14"/>
      <c r="AM368" s="14"/>
      <c r="AN368" s="14" t="s">
        <v>235</v>
      </c>
      <c r="AO368" s="14" t="s">
        <v>1939</v>
      </c>
      <c r="AP368" s="14"/>
      <c r="AQ368" s="14"/>
      <c r="AR368" s="22"/>
      <c r="AS368" s="22" t="s">
        <v>89</v>
      </c>
      <c r="AT368" s="22" t="s">
        <v>261</v>
      </c>
      <c r="AU368" s="25" t="str">
        <f>VLOOKUP(O368,[1]Lookup!A:B,2,FALSE)</f>
        <v>Test-SIT</v>
      </c>
    </row>
    <row r="369" spans="1:47" ht="51.75" customHeight="1" x14ac:dyDescent="0.2">
      <c r="A369" s="27" t="s">
        <v>86</v>
      </c>
      <c r="B369" s="29" t="s">
        <v>1940</v>
      </c>
      <c r="C369" s="27" t="s">
        <v>1941</v>
      </c>
      <c r="D369" s="22" t="s">
        <v>96</v>
      </c>
      <c r="E369" s="22" t="s">
        <v>166</v>
      </c>
      <c r="F369" s="27"/>
      <c r="G369" s="27"/>
      <c r="H369" s="27"/>
      <c r="I369" s="27"/>
      <c r="J369" s="14" t="s">
        <v>91</v>
      </c>
      <c r="K369" s="14" t="s">
        <v>59</v>
      </c>
      <c r="L369" s="14" t="s">
        <v>103</v>
      </c>
      <c r="M369" s="14" t="s">
        <v>132</v>
      </c>
      <c r="N369" s="18" t="s">
        <v>21</v>
      </c>
      <c r="O369" s="14" t="s">
        <v>21</v>
      </c>
      <c r="P369" s="19">
        <v>42750.785416666666</v>
      </c>
      <c r="Q369" s="19">
        <v>42771.520138888889</v>
      </c>
      <c r="R369" s="19">
        <v>42759.459027777775</v>
      </c>
      <c r="S369" s="14" t="s">
        <v>518</v>
      </c>
      <c r="T369" s="14"/>
      <c r="U369" s="14" t="s">
        <v>89</v>
      </c>
      <c r="V369" s="14"/>
      <c r="W369" s="14">
        <v>0</v>
      </c>
      <c r="X369" s="14">
        <v>0</v>
      </c>
      <c r="Y369" s="14"/>
      <c r="Z369" s="14"/>
      <c r="AA369" s="14"/>
      <c r="AB369" s="14"/>
      <c r="AC369" s="14"/>
      <c r="AD369" s="14"/>
      <c r="AE369" s="14"/>
      <c r="AF369" s="14" t="s">
        <v>214</v>
      </c>
      <c r="AG369" s="14" t="s">
        <v>1942</v>
      </c>
      <c r="AH369" s="14"/>
      <c r="AI369" s="14"/>
      <c r="AJ369" s="14"/>
      <c r="AK369" s="14"/>
      <c r="AL369" s="14"/>
      <c r="AM369" s="14"/>
      <c r="AN369" s="14" t="s">
        <v>1105</v>
      </c>
      <c r="AO369" s="14"/>
      <c r="AP369" s="14"/>
      <c r="AQ369" s="14"/>
      <c r="AR369" s="22"/>
      <c r="AS369" s="22" t="s">
        <v>96</v>
      </c>
      <c r="AT369" s="22" t="s">
        <v>959</v>
      </c>
      <c r="AU369" s="25" t="str">
        <f>VLOOKUP(O369,[1]Lookup!A:B,2,FALSE)</f>
        <v>Test-SIT</v>
      </c>
    </row>
    <row r="370" spans="1:47" ht="51.75" customHeight="1" x14ac:dyDescent="0.2">
      <c r="A370" s="27" t="s">
        <v>86</v>
      </c>
      <c r="B370" s="29" t="s">
        <v>1943</v>
      </c>
      <c r="C370" s="27" t="s">
        <v>1944</v>
      </c>
      <c r="D370" s="22" t="s">
        <v>89</v>
      </c>
      <c r="E370" s="22" t="s">
        <v>229</v>
      </c>
      <c r="F370" s="27"/>
      <c r="G370" s="27" t="s">
        <v>518</v>
      </c>
      <c r="H370" s="27"/>
      <c r="I370" s="27"/>
      <c r="J370" s="14" t="s">
        <v>91</v>
      </c>
      <c r="K370" s="14" t="s">
        <v>59</v>
      </c>
      <c r="L370" s="14" t="s">
        <v>93</v>
      </c>
      <c r="M370" s="14" t="s">
        <v>201</v>
      </c>
      <c r="N370" s="18" t="s">
        <v>24</v>
      </c>
      <c r="O370" s="14" t="s">
        <v>24</v>
      </c>
      <c r="P370" s="19">
        <v>42749.712500000001</v>
      </c>
      <c r="Q370" s="19">
        <v>42771.638888888891</v>
      </c>
      <c r="R370" s="19">
        <v>42751.445833333331</v>
      </c>
      <c r="S370" s="14" t="s">
        <v>518</v>
      </c>
      <c r="T370" s="14" t="s">
        <v>518</v>
      </c>
      <c r="U370" s="14" t="s">
        <v>89</v>
      </c>
      <c r="V370" s="14"/>
      <c r="W370" s="14">
        <v>0</v>
      </c>
      <c r="X370" s="14">
        <v>0</v>
      </c>
      <c r="Y370" s="14"/>
      <c r="Z370" s="14"/>
      <c r="AA370" s="14"/>
      <c r="AB370" s="14"/>
      <c r="AC370" s="14"/>
      <c r="AD370" s="14"/>
      <c r="AE370" s="14"/>
      <c r="AF370" s="14" t="s">
        <v>1945</v>
      </c>
      <c r="AG370" s="14" t="s">
        <v>1946</v>
      </c>
      <c r="AH370" s="14"/>
      <c r="AI370" s="14"/>
      <c r="AJ370" s="14"/>
      <c r="AK370" s="14"/>
      <c r="AL370" s="14"/>
      <c r="AM370" s="14"/>
      <c r="AN370" s="14" t="s">
        <v>229</v>
      </c>
      <c r="AO370" s="14" t="s">
        <v>1947</v>
      </c>
      <c r="AP370" s="14"/>
      <c r="AQ370" s="14"/>
      <c r="AR370" s="22"/>
      <c r="AS370" s="22" t="s">
        <v>89</v>
      </c>
      <c r="AT370" s="22" t="s">
        <v>229</v>
      </c>
      <c r="AU370" s="25" t="str">
        <f>VLOOKUP(O370,[1]Lookup!A:B,2,FALSE)</f>
        <v>Test-SIT</v>
      </c>
    </row>
    <row r="371" spans="1:47" ht="51.75" customHeight="1" x14ac:dyDescent="0.2">
      <c r="A371" s="27" t="s">
        <v>86</v>
      </c>
      <c r="B371" s="29" t="s">
        <v>1948</v>
      </c>
      <c r="C371" s="27" t="s">
        <v>1949</v>
      </c>
      <c r="D371" s="22" t="s">
        <v>96</v>
      </c>
      <c r="E371" s="22" t="s">
        <v>166</v>
      </c>
      <c r="F371" s="27"/>
      <c r="G371" s="27" t="s">
        <v>518</v>
      </c>
      <c r="H371" s="27"/>
      <c r="I371" s="27"/>
      <c r="J371" s="14" t="s">
        <v>91</v>
      </c>
      <c r="K371" s="14" t="s">
        <v>59</v>
      </c>
      <c r="L371" s="14" t="s">
        <v>124</v>
      </c>
      <c r="M371" s="14" t="s">
        <v>132</v>
      </c>
      <c r="N371" s="18" t="s">
        <v>8</v>
      </c>
      <c r="O371" s="14" t="s">
        <v>24</v>
      </c>
      <c r="P371" s="19">
        <v>42748.793055555558</v>
      </c>
      <c r="Q371" s="19">
        <v>42771.518750000003</v>
      </c>
      <c r="R371" s="19">
        <v>42754.907638888886</v>
      </c>
      <c r="S371" s="14" t="s">
        <v>518</v>
      </c>
      <c r="T371" s="14" t="s">
        <v>518</v>
      </c>
      <c r="U371" s="14" t="s">
        <v>96</v>
      </c>
      <c r="V371" s="28">
        <v>42748</v>
      </c>
      <c r="W371" s="14">
        <v>0</v>
      </c>
      <c r="X371" s="14">
        <v>1</v>
      </c>
      <c r="Y371" s="14"/>
      <c r="Z371" s="14"/>
      <c r="AA371" s="14"/>
      <c r="AB371" s="14"/>
      <c r="AC371" s="14"/>
      <c r="AD371" s="14"/>
      <c r="AE371" s="14"/>
      <c r="AF371" s="14" t="s">
        <v>1950</v>
      </c>
      <c r="AG371" s="14" t="s">
        <v>1951</v>
      </c>
      <c r="AH371" s="14"/>
      <c r="AI371" s="14"/>
      <c r="AJ371" s="14"/>
      <c r="AK371" s="14"/>
      <c r="AL371" s="14"/>
      <c r="AM371" s="14"/>
      <c r="AN371" s="14" t="s">
        <v>235</v>
      </c>
      <c r="AO371" s="14" t="s">
        <v>1952</v>
      </c>
      <c r="AP371" s="14"/>
      <c r="AQ371" s="14"/>
      <c r="AR371" s="22"/>
      <c r="AS371" s="22" t="s">
        <v>96</v>
      </c>
      <c r="AT371" s="22" t="s">
        <v>959</v>
      </c>
      <c r="AU371" s="25" t="str">
        <f>VLOOKUP(O371,[1]Lookup!A:B,2,FALSE)</f>
        <v>Test-SIT</v>
      </c>
    </row>
    <row r="372" spans="1:47" ht="51.75" customHeight="1" x14ac:dyDescent="0.2">
      <c r="A372" s="27" t="s">
        <v>86</v>
      </c>
      <c r="B372" s="29" t="s">
        <v>1953</v>
      </c>
      <c r="C372" s="27" t="s">
        <v>1954</v>
      </c>
      <c r="D372" s="22" t="s">
        <v>1892</v>
      </c>
      <c r="E372" s="22" t="s">
        <v>1955</v>
      </c>
      <c r="F372" s="27"/>
      <c r="G372" s="27" t="s">
        <v>518</v>
      </c>
      <c r="H372" s="27"/>
      <c r="I372" s="27"/>
      <c r="J372" s="14" t="s">
        <v>91</v>
      </c>
      <c r="K372" s="14" t="s">
        <v>59</v>
      </c>
      <c r="L372" s="14" t="s">
        <v>103</v>
      </c>
      <c r="M372" s="14" t="s">
        <v>132</v>
      </c>
      <c r="N372" s="18" t="s">
        <v>21</v>
      </c>
      <c r="O372" s="14" t="s">
        <v>21</v>
      </c>
      <c r="P372" s="19">
        <v>42748.628472222219</v>
      </c>
      <c r="Q372" s="19">
        <v>42771.517361111109</v>
      </c>
      <c r="R372" s="19">
        <v>42751.363888888889</v>
      </c>
      <c r="S372" s="14" t="s">
        <v>518</v>
      </c>
      <c r="T372" s="14" t="s">
        <v>518</v>
      </c>
      <c r="U372" s="14" t="s">
        <v>1894</v>
      </c>
      <c r="V372" s="28">
        <v>42750</v>
      </c>
      <c r="W372" s="14">
        <v>0</v>
      </c>
      <c r="X372" s="14">
        <v>0</v>
      </c>
      <c r="Y372" s="14"/>
      <c r="Z372" s="14"/>
      <c r="AA372" s="14"/>
      <c r="AB372" s="14"/>
      <c r="AC372" s="14"/>
      <c r="AD372" s="14"/>
      <c r="AE372" s="14"/>
      <c r="AF372" s="14" t="s">
        <v>1956</v>
      </c>
      <c r="AG372" s="14" t="s">
        <v>1957</v>
      </c>
      <c r="AH372" s="14"/>
      <c r="AI372" s="14"/>
      <c r="AJ372" s="14"/>
      <c r="AK372" s="14"/>
      <c r="AL372" s="14"/>
      <c r="AM372" s="14"/>
      <c r="AN372" s="14" t="s">
        <v>1958</v>
      </c>
      <c r="AO372" s="14" t="s">
        <v>1959</v>
      </c>
      <c r="AP372" s="14" t="s">
        <v>163</v>
      </c>
      <c r="AQ372" s="14"/>
      <c r="AR372" s="22"/>
      <c r="AS372" s="22" t="s">
        <v>1892</v>
      </c>
      <c r="AT372" s="22" t="s">
        <v>1955</v>
      </c>
      <c r="AU372" s="25" t="str">
        <f>VLOOKUP(O372,[1]Lookup!A:B,2,FALSE)</f>
        <v>Test-SIT</v>
      </c>
    </row>
    <row r="373" spans="1:47" ht="51.75" customHeight="1" x14ac:dyDescent="0.2">
      <c r="A373" s="27" t="s">
        <v>86</v>
      </c>
      <c r="B373" s="29" t="s">
        <v>1960</v>
      </c>
      <c r="C373" s="27" t="s">
        <v>1961</v>
      </c>
      <c r="D373" s="22" t="s">
        <v>96</v>
      </c>
      <c r="E373" s="22" t="s">
        <v>166</v>
      </c>
      <c r="F373" s="27"/>
      <c r="G373" s="27" t="s">
        <v>139</v>
      </c>
      <c r="H373" s="27"/>
      <c r="I373" s="27"/>
      <c r="J373" s="14" t="s">
        <v>91</v>
      </c>
      <c r="K373" s="14" t="s">
        <v>59</v>
      </c>
      <c r="L373" s="14" t="s">
        <v>167</v>
      </c>
      <c r="M373" s="14" t="s">
        <v>132</v>
      </c>
      <c r="N373" s="18" t="s">
        <v>21</v>
      </c>
      <c r="O373" s="14" t="s">
        <v>21</v>
      </c>
      <c r="P373" s="19">
        <v>42747.647916666669</v>
      </c>
      <c r="Q373" s="19">
        <v>42772.523611111108</v>
      </c>
      <c r="R373" s="19">
        <v>42764.71597222222</v>
      </c>
      <c r="S373" s="14" t="s">
        <v>518</v>
      </c>
      <c r="T373" s="14" t="s">
        <v>139</v>
      </c>
      <c r="U373" s="14" t="s">
        <v>96</v>
      </c>
      <c r="V373" s="28">
        <v>42751</v>
      </c>
      <c r="W373" s="14">
        <v>0</v>
      </c>
      <c r="X373" s="14">
        <v>0</v>
      </c>
      <c r="Y373" s="14"/>
      <c r="Z373" s="14"/>
      <c r="AA373" s="14"/>
      <c r="AB373" s="14"/>
      <c r="AC373" s="14"/>
      <c r="AD373" s="14"/>
      <c r="AE373" s="14"/>
      <c r="AF373" s="14" t="s">
        <v>1962</v>
      </c>
      <c r="AG373" s="14" t="s">
        <v>1963</v>
      </c>
      <c r="AH373" s="14"/>
      <c r="AI373" s="14"/>
      <c r="AJ373" s="14"/>
      <c r="AK373" s="14"/>
      <c r="AL373" s="14"/>
      <c r="AM373" s="14"/>
      <c r="AN373" s="14" t="s">
        <v>235</v>
      </c>
      <c r="AO373" s="14" t="s">
        <v>1964</v>
      </c>
      <c r="AP373" s="14"/>
      <c r="AQ373" s="14"/>
      <c r="AR373" s="22"/>
      <c r="AS373" s="22" t="s">
        <v>96</v>
      </c>
      <c r="AT373" s="22" t="s">
        <v>166</v>
      </c>
      <c r="AU373" s="25" t="str">
        <f>VLOOKUP(O373,[1]Lookup!A:B,2,FALSE)</f>
        <v>Test-SIT</v>
      </c>
    </row>
    <row r="374" spans="1:47" ht="51.75" customHeight="1" x14ac:dyDescent="0.2">
      <c r="A374" s="27" t="s">
        <v>86</v>
      </c>
      <c r="B374" s="29" t="s">
        <v>1965</v>
      </c>
      <c r="C374" s="27" t="s">
        <v>1966</v>
      </c>
      <c r="D374" s="22" t="s">
        <v>89</v>
      </c>
      <c r="E374" s="22" t="s">
        <v>261</v>
      </c>
      <c r="F374" s="27"/>
      <c r="G374" s="27"/>
      <c r="H374" s="27"/>
      <c r="I374" s="27"/>
      <c r="J374" s="14" t="s">
        <v>91</v>
      </c>
      <c r="K374" s="14" t="s">
        <v>59</v>
      </c>
      <c r="L374" s="14" t="s">
        <v>167</v>
      </c>
      <c r="M374" s="14" t="s">
        <v>132</v>
      </c>
      <c r="N374" s="18" t="s">
        <v>21</v>
      </c>
      <c r="O374" s="14" t="s">
        <v>21</v>
      </c>
      <c r="P374" s="19">
        <v>42747.643055555556</v>
      </c>
      <c r="Q374" s="19">
        <v>42771.515277777777</v>
      </c>
      <c r="R374" s="19">
        <v>42759.506944444445</v>
      </c>
      <c r="S374" s="14" t="s">
        <v>518</v>
      </c>
      <c r="T374" s="14"/>
      <c r="U374" s="14" t="s">
        <v>89</v>
      </c>
      <c r="V374" s="28">
        <v>42751</v>
      </c>
      <c r="W374" s="14">
        <v>0</v>
      </c>
      <c r="X374" s="14">
        <v>0</v>
      </c>
      <c r="Y374" s="14"/>
      <c r="Z374" s="14"/>
      <c r="AA374" s="14"/>
      <c r="AB374" s="14"/>
      <c r="AC374" s="14"/>
      <c r="AD374" s="14"/>
      <c r="AE374" s="14"/>
      <c r="AF374" s="14" t="s">
        <v>1967</v>
      </c>
      <c r="AG374" s="14" t="s">
        <v>1968</v>
      </c>
      <c r="AH374" s="14"/>
      <c r="AI374" s="14"/>
      <c r="AJ374" s="14"/>
      <c r="AK374" s="14"/>
      <c r="AL374" s="14"/>
      <c r="AM374" s="14"/>
      <c r="AN374" s="14" t="s">
        <v>235</v>
      </c>
      <c r="AO374" s="14" t="s">
        <v>1969</v>
      </c>
      <c r="AP374" s="14"/>
      <c r="AQ374" s="14"/>
      <c r="AR374" s="22"/>
      <c r="AS374" s="22" t="s">
        <v>89</v>
      </c>
      <c r="AT374" s="22" t="s">
        <v>261</v>
      </c>
      <c r="AU374" s="25" t="str">
        <f>VLOOKUP(O374,[1]Lookup!A:B,2,FALSE)</f>
        <v>Test-SIT</v>
      </c>
    </row>
    <row r="375" spans="1:47" ht="51.75" customHeight="1" x14ac:dyDescent="0.2">
      <c r="A375" s="27" t="s">
        <v>86</v>
      </c>
      <c r="B375" s="29" t="s">
        <v>1970</v>
      </c>
      <c r="C375" s="27" t="s">
        <v>1971</v>
      </c>
      <c r="D375" s="22" t="s">
        <v>89</v>
      </c>
      <c r="E375" s="22" t="s">
        <v>507</v>
      </c>
      <c r="F375" s="27"/>
      <c r="G375" s="27" t="s">
        <v>518</v>
      </c>
      <c r="H375" s="27"/>
      <c r="I375" s="27"/>
      <c r="J375" s="14" t="s">
        <v>91</v>
      </c>
      <c r="K375" s="14" t="s">
        <v>59</v>
      </c>
      <c r="L375" s="14" t="s">
        <v>93</v>
      </c>
      <c r="M375" s="14" t="s">
        <v>132</v>
      </c>
      <c r="N375" s="18" t="s">
        <v>21</v>
      </c>
      <c r="O375" s="14" t="s">
        <v>24</v>
      </c>
      <c r="P375" s="19">
        <v>42747.626388888886</v>
      </c>
      <c r="Q375" s="19">
        <v>42771.513194444444</v>
      </c>
      <c r="R375" s="19">
        <v>42758.772222222222</v>
      </c>
      <c r="S375" s="14" t="s">
        <v>518</v>
      </c>
      <c r="T375" s="14" t="s">
        <v>518</v>
      </c>
      <c r="U375" s="14" t="s">
        <v>412</v>
      </c>
      <c r="V375" s="28">
        <v>42748</v>
      </c>
      <c r="W375" s="14">
        <v>0</v>
      </c>
      <c r="X375" s="14">
        <v>0</v>
      </c>
      <c r="Y375" s="14" t="s">
        <v>1972</v>
      </c>
      <c r="Z375" s="14"/>
      <c r="AA375" s="14"/>
      <c r="AB375" s="14"/>
      <c r="AC375" s="14"/>
      <c r="AD375" s="14"/>
      <c r="AE375" s="14"/>
      <c r="AF375" s="14" t="s">
        <v>1967</v>
      </c>
      <c r="AG375" s="14" t="s">
        <v>1973</v>
      </c>
      <c r="AH375" s="14"/>
      <c r="AI375" s="14"/>
      <c r="AJ375" s="14"/>
      <c r="AK375" s="14"/>
      <c r="AL375" s="14"/>
      <c r="AM375" s="14"/>
      <c r="AN375" s="14" t="s">
        <v>1105</v>
      </c>
      <c r="AO375" s="14" t="s">
        <v>1974</v>
      </c>
      <c r="AP375" s="14"/>
      <c r="AQ375" s="14"/>
      <c r="AR375" s="22"/>
      <c r="AS375" s="22" t="s">
        <v>89</v>
      </c>
      <c r="AT375" s="22" t="s">
        <v>513</v>
      </c>
      <c r="AU375" s="25" t="str">
        <f>VLOOKUP(O375,[1]Lookup!A:B,2,FALSE)</f>
        <v>Test-SIT</v>
      </c>
    </row>
    <row r="376" spans="1:47" ht="51.75" customHeight="1" x14ac:dyDescent="0.2">
      <c r="A376" s="27" t="s">
        <v>86</v>
      </c>
      <c r="B376" s="29" t="s">
        <v>1975</v>
      </c>
      <c r="C376" s="27" t="s">
        <v>1976</v>
      </c>
      <c r="D376" s="22" t="s">
        <v>96</v>
      </c>
      <c r="E376" s="22" t="s">
        <v>166</v>
      </c>
      <c r="F376" s="27"/>
      <c r="G376" s="27" t="s">
        <v>518</v>
      </c>
      <c r="H376" s="27"/>
      <c r="I376" s="27"/>
      <c r="J376" s="14" t="s">
        <v>91</v>
      </c>
      <c r="K376" s="14" t="s">
        <v>59</v>
      </c>
      <c r="L376" s="14" t="s">
        <v>93</v>
      </c>
      <c r="M376" s="14" t="s">
        <v>132</v>
      </c>
      <c r="N376" s="18" t="s">
        <v>21</v>
      </c>
      <c r="O376" s="14" t="s">
        <v>24</v>
      </c>
      <c r="P376" s="19">
        <v>42746.809027777781</v>
      </c>
      <c r="Q376" s="19">
        <v>42771.513194444444</v>
      </c>
      <c r="R376" s="19">
        <v>42758.706250000003</v>
      </c>
      <c r="S376" s="14" t="s">
        <v>518</v>
      </c>
      <c r="T376" s="14" t="s">
        <v>518</v>
      </c>
      <c r="U376" s="14" t="s">
        <v>412</v>
      </c>
      <c r="V376" s="28">
        <v>42747</v>
      </c>
      <c r="W376" s="14">
        <v>0</v>
      </c>
      <c r="X376" s="14">
        <v>0</v>
      </c>
      <c r="Y376" s="20" t="s">
        <v>1977</v>
      </c>
      <c r="Z376" s="14"/>
      <c r="AA376" s="14"/>
      <c r="AB376" s="14"/>
      <c r="AC376" s="14"/>
      <c r="AD376" s="14"/>
      <c r="AE376" s="14"/>
      <c r="AF376" s="14" t="s">
        <v>1967</v>
      </c>
      <c r="AG376" s="14" t="s">
        <v>1978</v>
      </c>
      <c r="AH376" s="14"/>
      <c r="AI376" s="14"/>
      <c r="AJ376" s="14"/>
      <c r="AK376" s="14"/>
      <c r="AL376" s="14"/>
      <c r="AM376" s="14"/>
      <c r="AN376" s="14" t="s">
        <v>1105</v>
      </c>
      <c r="AO376" s="14" t="s">
        <v>1979</v>
      </c>
      <c r="AP376" s="14"/>
      <c r="AQ376" s="14"/>
      <c r="AR376" s="22"/>
      <c r="AS376" s="22" t="s">
        <v>96</v>
      </c>
      <c r="AT376" s="22" t="s">
        <v>959</v>
      </c>
      <c r="AU376" s="25" t="str">
        <f>VLOOKUP(O376,[1]Lookup!A:B,2,FALSE)</f>
        <v>Test-SIT</v>
      </c>
    </row>
    <row r="377" spans="1:47" ht="51.75" customHeight="1" x14ac:dyDescent="0.2">
      <c r="A377" s="27" t="s">
        <v>86</v>
      </c>
      <c r="B377" s="29" t="s">
        <v>1980</v>
      </c>
      <c r="C377" s="27" t="s">
        <v>1981</v>
      </c>
      <c r="D377" s="22" t="s">
        <v>241</v>
      </c>
      <c r="E377" s="22" t="s">
        <v>435</v>
      </c>
      <c r="F377" s="27"/>
      <c r="G377" s="27"/>
      <c r="H377" s="27"/>
      <c r="I377" s="27"/>
      <c r="J377" s="14" t="s">
        <v>91</v>
      </c>
      <c r="K377" s="14" t="s">
        <v>59</v>
      </c>
      <c r="L377" s="14" t="s">
        <v>103</v>
      </c>
      <c r="M377" s="14" t="s">
        <v>132</v>
      </c>
      <c r="N377" s="18" t="s">
        <v>21</v>
      </c>
      <c r="O377" s="14" t="s">
        <v>6</v>
      </c>
      <c r="P377" s="19">
        <v>42746.477083333331</v>
      </c>
      <c r="Q377" s="19">
        <v>42796.588888888888</v>
      </c>
      <c r="R377" s="19">
        <v>42759.51458333333</v>
      </c>
      <c r="S377" s="14" t="s">
        <v>1982</v>
      </c>
      <c r="T377" s="14"/>
      <c r="U377" s="14" t="s">
        <v>241</v>
      </c>
      <c r="V377" s="28">
        <v>42761</v>
      </c>
      <c r="W377" s="14">
        <v>0</v>
      </c>
      <c r="X377" s="14">
        <v>0</v>
      </c>
      <c r="Y377" s="14"/>
      <c r="Z377" s="14"/>
      <c r="AA377" s="14"/>
      <c r="AB377" s="14"/>
      <c r="AC377" s="14"/>
      <c r="AD377" s="14"/>
      <c r="AE377" s="14"/>
      <c r="AF377" s="14" t="s">
        <v>1967</v>
      </c>
      <c r="AG377" s="14" t="s">
        <v>1983</v>
      </c>
      <c r="AH377" s="14"/>
      <c r="AI377" s="14"/>
      <c r="AJ377" s="14"/>
      <c r="AK377" s="14"/>
      <c r="AL377" s="14"/>
      <c r="AM377" s="14"/>
      <c r="AN377" s="14" t="s">
        <v>435</v>
      </c>
      <c r="AO377" s="14" t="s">
        <v>1984</v>
      </c>
      <c r="AP377" s="14"/>
      <c r="AQ377" s="14"/>
      <c r="AR377" s="22"/>
      <c r="AS377" s="22" t="s">
        <v>241</v>
      </c>
      <c r="AT377" s="22" t="s">
        <v>435</v>
      </c>
      <c r="AU377" s="25" t="str">
        <f>VLOOKUP(O377,[1]Lookup!A:B,2,FALSE)</f>
        <v>BTS-Dev</v>
      </c>
    </row>
    <row r="378" spans="1:47" ht="51.75" customHeight="1" x14ac:dyDescent="0.2">
      <c r="A378" s="27" t="s">
        <v>86</v>
      </c>
      <c r="B378" s="29" t="s">
        <v>1985</v>
      </c>
      <c r="C378" s="27" t="s">
        <v>1986</v>
      </c>
      <c r="D378" s="22" t="s">
        <v>241</v>
      </c>
      <c r="E378" s="22" t="s">
        <v>435</v>
      </c>
      <c r="F378" s="27"/>
      <c r="G378" s="27" t="s">
        <v>139</v>
      </c>
      <c r="H378" s="27"/>
      <c r="I378" s="27"/>
      <c r="J378" s="14" t="s">
        <v>91</v>
      </c>
      <c r="K378" s="14" t="s">
        <v>59</v>
      </c>
      <c r="L378" s="14" t="s">
        <v>103</v>
      </c>
      <c r="M378" s="14" t="s">
        <v>132</v>
      </c>
      <c r="N378" s="18" t="s">
        <v>21</v>
      </c>
      <c r="O378" s="14" t="s">
        <v>6</v>
      </c>
      <c r="P378" s="19">
        <v>42746.475694444445</v>
      </c>
      <c r="Q378" s="19">
        <v>42796.588194444441</v>
      </c>
      <c r="R378" s="19">
        <v>42770.76666666667</v>
      </c>
      <c r="S378" s="14" t="s">
        <v>1982</v>
      </c>
      <c r="T378" s="14" t="s">
        <v>139</v>
      </c>
      <c r="U378" s="14" t="s">
        <v>241</v>
      </c>
      <c r="V378" s="14"/>
      <c r="W378" s="14">
        <v>0</v>
      </c>
      <c r="X378" s="14">
        <v>0</v>
      </c>
      <c r="Y378" s="14"/>
      <c r="Z378" s="14"/>
      <c r="AA378" s="14"/>
      <c r="AB378" s="14"/>
      <c r="AC378" s="14"/>
      <c r="AD378" s="14"/>
      <c r="AE378" s="14"/>
      <c r="AF378" s="14" t="s">
        <v>1987</v>
      </c>
      <c r="AG378" s="14" t="s">
        <v>1988</v>
      </c>
      <c r="AH378" s="14"/>
      <c r="AI378" s="14"/>
      <c r="AJ378" s="14"/>
      <c r="AK378" s="14"/>
      <c r="AL378" s="14"/>
      <c r="AM378" s="14"/>
      <c r="AN378" s="14" t="s">
        <v>435</v>
      </c>
      <c r="AO378" s="14" t="s">
        <v>1989</v>
      </c>
      <c r="AP378" s="14"/>
      <c r="AQ378" s="14"/>
      <c r="AR378" s="22"/>
      <c r="AS378" s="22" t="s">
        <v>241</v>
      </c>
      <c r="AT378" s="22" t="s">
        <v>435</v>
      </c>
      <c r="AU378" s="25" t="str">
        <f>VLOOKUP(O378,[1]Lookup!A:B,2,FALSE)</f>
        <v>BTS-Dev</v>
      </c>
    </row>
    <row r="379" spans="1:47" ht="51.75" customHeight="1" x14ac:dyDescent="0.2">
      <c r="A379" s="27" t="s">
        <v>86</v>
      </c>
      <c r="B379" s="29" t="s">
        <v>1990</v>
      </c>
      <c r="C379" s="27" t="s">
        <v>1991</v>
      </c>
      <c r="D379" s="22" t="s">
        <v>89</v>
      </c>
      <c r="E379" s="22" t="s">
        <v>507</v>
      </c>
      <c r="F379" s="27"/>
      <c r="G379" s="27" t="s">
        <v>139</v>
      </c>
      <c r="H379" s="27"/>
      <c r="I379" s="27"/>
      <c r="J379" s="14" t="s">
        <v>91</v>
      </c>
      <c r="K379" s="14" t="s">
        <v>59</v>
      </c>
      <c r="L379" s="14" t="s">
        <v>93</v>
      </c>
      <c r="M379" s="14" t="s">
        <v>132</v>
      </c>
      <c r="N379" s="18" t="s">
        <v>22</v>
      </c>
      <c r="O379" s="14" t="s">
        <v>6</v>
      </c>
      <c r="P379" s="19">
        <v>42746.463888888888</v>
      </c>
      <c r="Q379" s="19">
        <v>42771.679861111108</v>
      </c>
      <c r="R379" s="19">
        <v>42771.679861111108</v>
      </c>
      <c r="S379" s="14" t="s">
        <v>1982</v>
      </c>
      <c r="T379" s="14" t="s">
        <v>139</v>
      </c>
      <c r="U379" s="14" t="s">
        <v>412</v>
      </c>
      <c r="V379" s="14"/>
      <c r="W379" s="14">
        <v>0</v>
      </c>
      <c r="X379" s="14">
        <v>0</v>
      </c>
      <c r="Y379" s="14"/>
      <c r="Z379" s="14"/>
      <c r="AA379" s="14"/>
      <c r="AB379" s="14"/>
      <c r="AC379" s="14"/>
      <c r="AD379" s="14"/>
      <c r="AE379" s="14"/>
      <c r="AF379" s="14"/>
      <c r="AG379" s="14" t="s">
        <v>1992</v>
      </c>
      <c r="AH379" s="14"/>
      <c r="AI379" s="14"/>
      <c r="AJ379" s="14"/>
      <c r="AK379" s="14"/>
      <c r="AL379" s="14"/>
      <c r="AM379" s="14"/>
      <c r="AN379" s="14" t="s">
        <v>1993</v>
      </c>
      <c r="AO379" s="14" t="s">
        <v>1994</v>
      </c>
      <c r="AP379" s="14" t="s">
        <v>146</v>
      </c>
      <c r="AQ379" s="14"/>
      <c r="AR379" s="22"/>
      <c r="AS379" s="22" t="s">
        <v>89</v>
      </c>
      <c r="AT379" s="22" t="s">
        <v>513</v>
      </c>
      <c r="AU379" s="25" t="str">
        <f>VLOOKUP(O379,[1]Lookup!A:B,2,FALSE)</f>
        <v>BTS-Dev</v>
      </c>
    </row>
    <row r="380" spans="1:47" ht="51.75" customHeight="1" x14ac:dyDescent="0.2">
      <c r="A380" s="27" t="s">
        <v>86</v>
      </c>
      <c r="B380" s="29" t="s">
        <v>1995</v>
      </c>
      <c r="C380" s="27" t="s">
        <v>1996</v>
      </c>
      <c r="D380" s="22" t="s">
        <v>89</v>
      </c>
      <c r="E380" s="22" t="s">
        <v>193</v>
      </c>
      <c r="F380" s="26" t="s">
        <v>1997</v>
      </c>
      <c r="G380" s="26" t="s">
        <v>466</v>
      </c>
      <c r="H380" s="26"/>
      <c r="I380" s="26" t="s">
        <v>527</v>
      </c>
      <c r="J380" s="14" t="s">
        <v>91</v>
      </c>
      <c r="K380" s="14" t="s">
        <v>110</v>
      </c>
      <c r="L380" s="14" t="s">
        <v>103</v>
      </c>
      <c r="M380" s="17" t="s">
        <v>94</v>
      </c>
      <c r="N380" s="18" t="s">
        <v>28</v>
      </c>
      <c r="O380" s="14" t="s">
        <v>21</v>
      </c>
      <c r="P380" s="19">
        <v>42744.581250000003</v>
      </c>
      <c r="Q380" s="19">
        <v>42809.470833333333</v>
      </c>
      <c r="R380" s="14"/>
      <c r="S380" s="14" t="s">
        <v>518</v>
      </c>
      <c r="T380" s="14" t="s">
        <v>466</v>
      </c>
      <c r="U380" s="14" t="s">
        <v>89</v>
      </c>
      <c r="V380" s="28">
        <v>42801</v>
      </c>
      <c r="W380" s="14">
        <v>0</v>
      </c>
      <c r="X380" s="14">
        <v>0</v>
      </c>
      <c r="Y380" s="20" t="s">
        <v>1998</v>
      </c>
      <c r="Z380" s="14"/>
      <c r="AA380" s="14"/>
      <c r="AB380" s="14"/>
      <c r="AC380" s="14"/>
      <c r="AD380" s="14"/>
      <c r="AE380" s="14"/>
      <c r="AF380" s="14" t="s">
        <v>193</v>
      </c>
      <c r="AG380" s="14" t="s">
        <v>1999</v>
      </c>
      <c r="AH380" s="14"/>
      <c r="AI380" s="14"/>
      <c r="AJ380" s="14"/>
      <c r="AK380" s="14"/>
      <c r="AL380" s="14"/>
      <c r="AM380" s="14"/>
      <c r="AN380" s="14" t="s">
        <v>193</v>
      </c>
      <c r="AO380" s="14"/>
      <c r="AP380" s="14"/>
      <c r="AQ380" s="14" t="s">
        <v>2000</v>
      </c>
      <c r="AR380" s="22"/>
      <c r="AS380" s="22" t="s">
        <v>89</v>
      </c>
      <c r="AT380" s="22" t="s">
        <v>193</v>
      </c>
      <c r="AU380" s="25" t="str">
        <f>VLOOKUP(O380,[1]Lookup!A:B,2,FALSE)</f>
        <v>Test-SIT</v>
      </c>
    </row>
    <row r="381" spans="1:47" ht="51.75" customHeight="1" x14ac:dyDescent="0.2">
      <c r="A381" s="27" t="s">
        <v>86</v>
      </c>
      <c r="B381" s="29" t="s">
        <v>2001</v>
      </c>
      <c r="C381" s="27" t="s">
        <v>2002</v>
      </c>
      <c r="D381" s="22" t="s">
        <v>89</v>
      </c>
      <c r="E381" s="22" t="s">
        <v>214</v>
      </c>
      <c r="F381" s="27"/>
      <c r="G381" s="27" t="s">
        <v>518</v>
      </c>
      <c r="H381" s="27"/>
      <c r="I381" s="27"/>
      <c r="J381" s="14" t="s">
        <v>91</v>
      </c>
      <c r="K381" s="14" t="s">
        <v>59</v>
      </c>
      <c r="L381" s="14" t="s">
        <v>103</v>
      </c>
      <c r="M381" s="14" t="s">
        <v>132</v>
      </c>
      <c r="N381" s="18" t="s">
        <v>21</v>
      </c>
      <c r="O381" s="14" t="s">
        <v>6</v>
      </c>
      <c r="P381" s="19">
        <v>42741.688194444447</v>
      </c>
      <c r="Q381" s="19">
        <v>42771.506249999999</v>
      </c>
      <c r="R381" s="19">
        <v>42759.604861111111</v>
      </c>
      <c r="S381" s="14" t="s">
        <v>1982</v>
      </c>
      <c r="T381" s="14" t="s">
        <v>518</v>
      </c>
      <c r="U381" s="14" t="s">
        <v>96</v>
      </c>
      <c r="V381" s="14"/>
      <c r="W381" s="14">
        <v>0</v>
      </c>
      <c r="X381" s="14">
        <v>0</v>
      </c>
      <c r="Y381" s="14"/>
      <c r="Z381" s="14"/>
      <c r="AA381" s="14"/>
      <c r="AB381" s="14"/>
      <c r="AC381" s="14"/>
      <c r="AD381" s="14"/>
      <c r="AE381" s="14"/>
      <c r="AF381" s="14" t="s">
        <v>1987</v>
      </c>
      <c r="AG381" s="14" t="s">
        <v>2003</v>
      </c>
      <c r="AH381" s="14"/>
      <c r="AI381" s="14"/>
      <c r="AJ381" s="14"/>
      <c r="AK381" s="14"/>
      <c r="AL381" s="14"/>
      <c r="AM381" s="14"/>
      <c r="AN381" s="14" t="s">
        <v>1105</v>
      </c>
      <c r="AO381" s="14" t="s">
        <v>2004</v>
      </c>
      <c r="AP381" s="14" t="s">
        <v>146</v>
      </c>
      <c r="AQ381" s="14"/>
      <c r="AR381" s="22"/>
      <c r="AS381" s="22" t="s">
        <v>89</v>
      </c>
      <c r="AT381" s="22" t="s">
        <v>2005</v>
      </c>
      <c r="AU381" s="25" t="str">
        <f>VLOOKUP(O381,[1]Lookup!A:B,2,FALSE)</f>
        <v>BTS-Dev</v>
      </c>
    </row>
  </sheetData>
  <hyperlinks>
    <hyperlink ref="B70" r:id="rId1" display="http://jiraproj.sg.uobnet.com/browse/PEDAGML-353"/>
    <hyperlink ref="B71" r:id="rId2" display="http://jiraproj.sg.uobnet.com/browse/PEDAGML-352"/>
    <hyperlink ref="B72" r:id="rId3" display="http://jiraproj.sg.uobnet.com/browse/PEDAGML-351"/>
    <hyperlink ref="B73" r:id="rId4" display="http://jiraproj.sg.uobnet.com/browse/PEDAGML-350"/>
    <hyperlink ref="B74" r:id="rId5" display="http://jiraproj.sg.uobnet.com/browse/PEDAGML-349"/>
    <hyperlink ref="B75" r:id="rId6" display="http://jiraproj.sg.uobnet.com/browse/PEDAGML-348"/>
    <hyperlink ref="B76" r:id="rId7" display="http://jiraproj.sg.uobnet.com/browse/PEDAGML-347"/>
    <hyperlink ref="B77" r:id="rId8" display="http://jiraproj.sg.uobnet.com/browse/PEDAGML-346"/>
    <hyperlink ref="B78" r:id="rId9" display="http://jiraproj.sg.uobnet.com/browse/PEDAGML-345"/>
    <hyperlink ref="B79" r:id="rId10" display="http://jiraproj.sg.uobnet.com/browse/PEDAGML-344"/>
    <hyperlink ref="B80" r:id="rId11" display="http://jiraproj.sg.uobnet.com/browse/PEDAGML-343"/>
    <hyperlink ref="B81" r:id="rId12" display="http://jiraproj.sg.uobnet.com/browse/PEDAGML-342"/>
    <hyperlink ref="B82" r:id="rId13" display="http://jiraproj.sg.uobnet.com/browse/PEDAGML-341"/>
    <hyperlink ref="B83" r:id="rId14" display="http://jiraproj.sg.uobnet.com/browse/PEDAGML-340"/>
    <hyperlink ref="B84" r:id="rId15" display="http://jiraproj.sg.uobnet.com/browse/PEDAGML-339"/>
    <hyperlink ref="B85" r:id="rId16" display="http://jiraproj.sg.uobnet.com/browse/PEDAGML-338"/>
    <hyperlink ref="B86" r:id="rId17" display="http://jiraproj.sg.uobnet.com/browse/PEDAGML-337"/>
    <hyperlink ref="B87" r:id="rId18" display="http://jiraproj.sg.uobnet.com/browse/PEDAGML-336"/>
    <hyperlink ref="B88" r:id="rId19" display="http://jiraproj.sg.uobnet.com/browse/PEDAGML-335"/>
    <hyperlink ref="B89" r:id="rId20" display="http://jiraproj.sg.uobnet.com/browse/PEDAGML-334"/>
    <hyperlink ref="B90" r:id="rId21" display="http://jiraproj.sg.uobnet.com/browse/PEDAGML-333"/>
    <hyperlink ref="B91" r:id="rId22" display="http://jiraproj.sg.uobnet.com/browse/PEDAGML-332"/>
    <hyperlink ref="B92" r:id="rId23" display="http://jiraproj.sg.uobnet.com/browse/PEDAGML-331"/>
    <hyperlink ref="B93" r:id="rId24" display="http://jiraproj.sg.uobnet.com/browse/PEDAGML-330"/>
    <hyperlink ref="B94" r:id="rId25" display="http://jiraproj.sg.uobnet.com/browse/PEDAGML-329"/>
    <hyperlink ref="B95" r:id="rId26" display="http://jiraproj.sg.uobnet.com/browse/PEDAGML-328"/>
    <hyperlink ref="B96" r:id="rId27" display="http://jiraproj.sg.uobnet.com/browse/PEDAGML-327"/>
    <hyperlink ref="B97" r:id="rId28" display="http://jiraproj.sg.uobnet.com/browse/PEDAGML-326"/>
    <hyperlink ref="B98" r:id="rId29" display="http://jiraproj.sg.uobnet.com/browse/PEDAGML-325"/>
    <hyperlink ref="B99" r:id="rId30" display="http://jiraproj.sg.uobnet.com/browse/PEDAGML-324"/>
    <hyperlink ref="B100" r:id="rId31" display="http://jiraproj.sg.uobnet.com/browse/PEDAGML-323"/>
    <hyperlink ref="B101" r:id="rId32" display="http://jiraproj.sg.uobnet.com/browse/PEDAGML-322"/>
    <hyperlink ref="B102" r:id="rId33" display="http://jiraproj.sg.uobnet.com/browse/PEDAGML-321"/>
    <hyperlink ref="B103" r:id="rId34" display="http://jiraproj.sg.uobnet.com/browse/PEDAGML-320"/>
    <hyperlink ref="B104" r:id="rId35" display="http://jiraproj.sg.uobnet.com/browse/PEDAGML-319"/>
    <hyperlink ref="B105" r:id="rId36" display="http://jiraproj.sg.uobnet.com/browse/PEDAGML-318"/>
    <hyperlink ref="B106" r:id="rId37" display="http://jiraproj.sg.uobnet.com/browse/PEDAGML-317"/>
    <hyperlink ref="B107" r:id="rId38" display="http://jiraproj.sg.uobnet.com/browse/PEDAGML-316"/>
    <hyperlink ref="B108" r:id="rId39" display="http://jiraproj.sg.uobnet.com/browse/PEDAGML-315"/>
    <hyperlink ref="B109" r:id="rId40" display="http://jiraproj.sg.uobnet.com/browse/PEDAGML-314"/>
    <hyperlink ref="B110" r:id="rId41" display="http://jiraproj.sg.uobnet.com/browse/PEDAGML-313"/>
    <hyperlink ref="B111" r:id="rId42" display="http://jiraproj.sg.uobnet.com/browse/PEDAGML-312"/>
    <hyperlink ref="B112" r:id="rId43" display="http://jiraproj.sg.uobnet.com/browse/PEDAGML-311"/>
    <hyperlink ref="B113" r:id="rId44" display="http://jiraproj.sg.uobnet.com/browse/PEDAGML-310"/>
    <hyperlink ref="B114" r:id="rId45" display="http://jiraproj.sg.uobnet.com/browse/PEDAGML-309"/>
    <hyperlink ref="B115" r:id="rId46" display="http://jiraproj.sg.uobnet.com/browse/PEDAGML-308"/>
    <hyperlink ref="B116" r:id="rId47" display="http://jiraproj.sg.uobnet.com/browse/PEDAGML-307"/>
    <hyperlink ref="B117" r:id="rId48" display="http://jiraproj.sg.uobnet.com/browse/PEDAGML-306"/>
    <hyperlink ref="B118" r:id="rId49" display="http://jiraproj.sg.uobnet.com/browse/PEDAGML-305"/>
    <hyperlink ref="B119" r:id="rId50" display="http://jiraproj.sg.uobnet.com/browse/PEDAGML-304"/>
    <hyperlink ref="B120" r:id="rId51" display="http://jiraproj.sg.uobnet.com/browse/PEDAGML-303"/>
    <hyperlink ref="B121" r:id="rId52" display="http://jiraproj.sg.uobnet.com/browse/PEDAGML-302"/>
    <hyperlink ref="B122" r:id="rId53" display="http://jiraproj.sg.uobnet.com/browse/PEDAGML-301"/>
    <hyperlink ref="B123" r:id="rId54" display="http://jiraproj.sg.uobnet.com/browse/PEDAGML-300"/>
    <hyperlink ref="B124" r:id="rId55" display="http://jiraproj.sg.uobnet.com/browse/PEDAGML-299"/>
    <hyperlink ref="B125" r:id="rId56" display="http://jiraproj.sg.uobnet.com/browse/PEDAGML-298"/>
    <hyperlink ref="B126" r:id="rId57" display="http://jiraproj.sg.uobnet.com/browse/PEDAGML-297"/>
    <hyperlink ref="B127" r:id="rId58" display="http://jiraproj.sg.uobnet.com/browse/PEDAGML-296"/>
    <hyperlink ref="B128" r:id="rId59" display="http://jiraproj.sg.uobnet.com/browse/PEDAGML-295"/>
    <hyperlink ref="B129" r:id="rId60" display="http://jiraproj.sg.uobnet.com/browse/PEDAGML-294"/>
    <hyperlink ref="B130" r:id="rId61" display="http://jiraproj.sg.uobnet.com/browse/PEDAGML-293"/>
    <hyperlink ref="B131" r:id="rId62" display="http://jiraproj.sg.uobnet.com/browse/PEDAGML-292"/>
    <hyperlink ref="B132" r:id="rId63" display="http://jiraproj.sg.uobnet.com/browse/PEDAGML-291"/>
    <hyperlink ref="B133" r:id="rId64" display="http://jiraproj.sg.uobnet.com/browse/PEDAGML-290"/>
    <hyperlink ref="B134" r:id="rId65" display="http://jiraproj.sg.uobnet.com/browse/PEDAGML-289"/>
    <hyperlink ref="B135" r:id="rId66" display="http://jiraproj.sg.uobnet.com/browse/PEDAGML-288"/>
    <hyperlink ref="B136" r:id="rId67" display="http://jiraproj.sg.uobnet.com/browse/PEDAGML-287"/>
    <hyperlink ref="B137" r:id="rId68" display="http://jiraproj.sg.uobnet.com/browse/PEDAGML-286"/>
    <hyperlink ref="B138" r:id="rId69" display="http://jiraproj.sg.uobnet.com/browse/PEDAGML-285"/>
    <hyperlink ref="B139" r:id="rId70" display="http://jiraproj.sg.uobnet.com/browse/PEDAGML-284"/>
    <hyperlink ref="B140" r:id="rId71" display="http://jiraproj.sg.uobnet.com/browse/PEDAGML-283"/>
    <hyperlink ref="B141" r:id="rId72" display="http://jiraproj.sg.uobnet.com/browse/PEDAGML-282"/>
    <hyperlink ref="B142" r:id="rId73" display="http://jiraproj.sg.uobnet.com/browse/PEDAGML-281"/>
    <hyperlink ref="B143" r:id="rId74" display="http://jiraproj.sg.uobnet.com/browse/PEDAGML-280"/>
    <hyperlink ref="B144" r:id="rId75" display="http://jiraproj.sg.uobnet.com/browse/PEDAGML-279"/>
    <hyperlink ref="B145" r:id="rId76" display="http://jiraproj.sg.uobnet.com/browse/PEDAGML-278"/>
    <hyperlink ref="B146" r:id="rId77" display="http://jiraproj.sg.uobnet.com/browse/PEDAGML-277"/>
    <hyperlink ref="B147" r:id="rId78" display="http://jiraproj.sg.uobnet.com/browse/PEDAGML-276"/>
    <hyperlink ref="B148" r:id="rId79" display="http://jiraproj.sg.uobnet.com/browse/PEDAGML-275"/>
    <hyperlink ref="B149" r:id="rId80" display="http://jiraproj.sg.uobnet.com/browse/PEDAGML-274"/>
    <hyperlink ref="B150" r:id="rId81" display="http://jiraproj.sg.uobnet.com/browse/PEDAGML-273"/>
    <hyperlink ref="B151" r:id="rId82" display="http://jiraproj.sg.uobnet.com/browse/PEDAGML-272"/>
    <hyperlink ref="B152" r:id="rId83" display="http://jiraproj.sg.uobnet.com/browse/PEDAGML-271"/>
    <hyperlink ref="B153" r:id="rId84" display="http://jiraproj.sg.uobnet.com/browse/PEDAGML-270"/>
    <hyperlink ref="B154" r:id="rId85" display="http://jiraproj.sg.uobnet.com/browse/PEDAGML-269"/>
    <hyperlink ref="B155" r:id="rId86" display="http://jiraproj.sg.uobnet.com/browse/PEDAGML-268"/>
    <hyperlink ref="B156" r:id="rId87" display="http://jiraproj.sg.uobnet.com/browse/PEDAGML-267"/>
    <hyperlink ref="B157" r:id="rId88" display="http://jiraproj.sg.uobnet.com/browse/PEDAGML-266"/>
    <hyperlink ref="B158" r:id="rId89" display="http://jiraproj.sg.uobnet.com/browse/PEDAGML-265"/>
    <hyperlink ref="B159" r:id="rId90" display="http://jiraproj.sg.uobnet.com/browse/PEDAGML-264"/>
    <hyperlink ref="B160" r:id="rId91" display="http://jiraproj.sg.uobnet.com/browse/PEDAGML-263"/>
    <hyperlink ref="B161" r:id="rId92" display="http://jiraproj.sg.uobnet.com/browse/PEDAGML-262"/>
    <hyperlink ref="B162" r:id="rId93" display="http://jiraproj.sg.uobnet.com/browse/PEDAGML-261"/>
    <hyperlink ref="B163" r:id="rId94" display="http://jiraproj.sg.uobnet.com/browse/PEDAGML-260"/>
    <hyperlink ref="B164" r:id="rId95" display="http://jiraproj.sg.uobnet.com/browse/PEDAGML-259"/>
    <hyperlink ref="B165" r:id="rId96" display="http://jiraproj.sg.uobnet.com/browse/PEDAGML-258"/>
    <hyperlink ref="B166" r:id="rId97" display="http://jiraproj.sg.uobnet.com/browse/PEDAGML-257"/>
    <hyperlink ref="B167" r:id="rId98" display="http://jiraproj.sg.uobnet.com/browse/PEDAGML-256"/>
    <hyperlink ref="B168" r:id="rId99" display="http://jiraproj.sg.uobnet.com/browse/PEDAGML-255"/>
    <hyperlink ref="B169" r:id="rId100" display="http://jiraproj.sg.uobnet.com/browse/PEDAGML-254"/>
    <hyperlink ref="B170" r:id="rId101" display="http://jiraproj.sg.uobnet.com/browse/PEDAGML-253"/>
    <hyperlink ref="B171" r:id="rId102" display="http://jiraproj.sg.uobnet.com/browse/PEDAGML-252"/>
    <hyperlink ref="B172" r:id="rId103" display="http://jiraproj.sg.uobnet.com/browse/PEDAGML-251"/>
    <hyperlink ref="B173" r:id="rId104" display="http://jiraproj.sg.uobnet.com/browse/PEDAGML-250"/>
    <hyperlink ref="B174" r:id="rId105" display="http://jiraproj.sg.uobnet.com/browse/PEDAGML-249"/>
    <hyperlink ref="B175" r:id="rId106" display="http://jiraproj.sg.uobnet.com/browse/PEDAGML-248"/>
    <hyperlink ref="B176" r:id="rId107" display="http://jiraproj.sg.uobnet.com/browse/PEDAGML-247"/>
    <hyperlink ref="B177" r:id="rId108" display="http://jiraproj.sg.uobnet.com/browse/PEDAGML-246"/>
    <hyperlink ref="B178" r:id="rId109" display="http://jiraproj.sg.uobnet.com/browse/PEDAGML-245"/>
    <hyperlink ref="B179" r:id="rId110" display="http://jiraproj.sg.uobnet.com/browse/PEDAGML-244"/>
    <hyperlink ref="B180" r:id="rId111" display="http://jiraproj.sg.uobnet.com/browse/PEDAGML-243"/>
    <hyperlink ref="B181" r:id="rId112" display="http://jiraproj.sg.uobnet.com/browse/PEDAGML-242"/>
    <hyperlink ref="B182" r:id="rId113" display="http://jiraproj.sg.uobnet.com/browse/PEDAGML-241"/>
    <hyperlink ref="B183" r:id="rId114" display="http://jiraproj.sg.uobnet.com/browse/PEDAGML-240"/>
    <hyperlink ref="B184" r:id="rId115" display="http://jiraproj.sg.uobnet.com/browse/PEDAGML-239"/>
    <hyperlink ref="B185" r:id="rId116" display="http://jiraproj.sg.uobnet.com/browse/PEDAGML-238"/>
    <hyperlink ref="B186" r:id="rId117" display="http://jiraproj.sg.uobnet.com/browse/PEDAGML-237"/>
    <hyperlink ref="B188" r:id="rId118" display="http://jiraproj.sg.uobnet.com/browse/PEDAGML-235"/>
    <hyperlink ref="B189" r:id="rId119" display="http://jiraproj.sg.uobnet.com/browse/PEDAGML-234"/>
    <hyperlink ref="B190" r:id="rId120" display="http://jiraproj.sg.uobnet.com/browse/PEDAGML-233"/>
    <hyperlink ref="B191" r:id="rId121" display="http://jiraproj.sg.uobnet.com/browse/PEDAGML-232"/>
    <hyperlink ref="B192" r:id="rId122" display="http://jiraproj.sg.uobnet.com/browse/PEDAGML-231"/>
    <hyperlink ref="B193" r:id="rId123" display="http://jiraproj.sg.uobnet.com/browse/PEDAGML-230"/>
    <hyperlink ref="B194" r:id="rId124" display="http://jiraproj.sg.uobnet.com/browse/PEDAGML-229"/>
    <hyperlink ref="B196" r:id="rId125" display="http://jiraproj.sg.uobnet.com/browse/PEDAGML-227"/>
    <hyperlink ref="B197" r:id="rId126" display="http://jiraproj.sg.uobnet.com/browse/PEDAGML-226"/>
    <hyperlink ref="B198" r:id="rId127" display="http://jiraproj.sg.uobnet.com/browse/PEDAGML-225"/>
    <hyperlink ref="B199" r:id="rId128" display="http://jiraproj.sg.uobnet.com/browse/PEDAGML-224"/>
    <hyperlink ref="B200" r:id="rId129" display="http://jiraproj.sg.uobnet.com/browse/PEDAGML-223"/>
    <hyperlink ref="B201" r:id="rId130" display="http://jiraproj.sg.uobnet.com/browse/PEDAGML-222"/>
    <hyperlink ref="B202" r:id="rId131" display="http://jiraproj.sg.uobnet.com/browse/PEDAGML-221"/>
    <hyperlink ref="B203" r:id="rId132" display="http://jiraproj.sg.uobnet.com/browse/PEDAGML-220"/>
    <hyperlink ref="B204" r:id="rId133" display="http://jiraproj.sg.uobnet.com/browse/PEDAGML-219"/>
    <hyperlink ref="B205" r:id="rId134" display="http://jiraproj.sg.uobnet.com/browse/PEDAGML-218"/>
    <hyperlink ref="B206" r:id="rId135" display="http://jiraproj.sg.uobnet.com/browse/PEDAGML-217"/>
    <hyperlink ref="B207" r:id="rId136" display="http://jiraproj.sg.uobnet.com/browse/PEDAGML-216"/>
    <hyperlink ref="B208" r:id="rId137" display="http://jiraproj.sg.uobnet.com/browse/PEDAGML-215"/>
    <hyperlink ref="B209" r:id="rId138" display="http://jiraproj.sg.uobnet.com/browse/PEDAGML-214"/>
    <hyperlink ref="B210" r:id="rId139" display="http://jiraproj.sg.uobnet.com/browse/PEDAGML-213"/>
    <hyperlink ref="B211" r:id="rId140" display="http://jiraproj.sg.uobnet.com/browse/PEDAGML-212"/>
    <hyperlink ref="B212" r:id="rId141" display="http://jiraproj.sg.uobnet.com/browse/PEDAGML-211"/>
    <hyperlink ref="B213" r:id="rId142" display="http://jiraproj.sg.uobnet.com/browse/PEDAGML-210"/>
    <hyperlink ref="B214" r:id="rId143" display="http://jiraproj.sg.uobnet.com/browse/PEDAGML-209"/>
    <hyperlink ref="B215" r:id="rId144" display="http://jiraproj.sg.uobnet.com/browse/PEDAGML-208"/>
    <hyperlink ref="B216" r:id="rId145" display="http://jiraproj.sg.uobnet.com/browse/PEDAGML-207"/>
    <hyperlink ref="B217" r:id="rId146" display="http://jiraproj.sg.uobnet.com/browse/PEDAGML-206"/>
    <hyperlink ref="B218" r:id="rId147" display="http://jiraproj.sg.uobnet.com/browse/PEDAGML-205"/>
    <hyperlink ref="B219" r:id="rId148" display="http://jiraproj.sg.uobnet.com/browse/PEDAGML-204"/>
    <hyperlink ref="B220" r:id="rId149" display="http://jiraproj.sg.uobnet.com/browse/PEDAGML-203"/>
    <hyperlink ref="B221" r:id="rId150" display="http://jiraproj.sg.uobnet.com/browse/PEDAGML-202"/>
    <hyperlink ref="B222" r:id="rId151" display="http://jiraproj.sg.uobnet.com/browse/PEDAGML-201"/>
    <hyperlink ref="B223" r:id="rId152" display="http://jiraproj.sg.uobnet.com/browse/PEDAGML-200"/>
    <hyperlink ref="B224" r:id="rId153" display="http://jiraproj.sg.uobnet.com/browse/PEDAGML-199"/>
    <hyperlink ref="B225" r:id="rId154" display="http://jiraproj.sg.uobnet.com/browse/PEDAGML-198"/>
    <hyperlink ref="B226" r:id="rId155" display="http://jiraproj.sg.uobnet.com/browse/PEDAGML-197"/>
    <hyperlink ref="B227" r:id="rId156" display="http://jiraproj.sg.uobnet.com/browse/PEDAGML-196"/>
    <hyperlink ref="B228" r:id="rId157" display="http://jiraproj.sg.uobnet.com/browse/PEDAGML-195"/>
    <hyperlink ref="B229" r:id="rId158" display="http://jiraproj.sg.uobnet.com/browse/PEDAGML-194"/>
    <hyperlink ref="B230" r:id="rId159" display="http://jiraproj.sg.uobnet.com/browse/PEDAGML-193"/>
    <hyperlink ref="B231" r:id="rId160" display="http://jiraproj.sg.uobnet.com/browse/PEDAGML-192"/>
    <hyperlink ref="B232" r:id="rId161" display="http://jiraproj.sg.uobnet.com/browse/PEDAGML-191"/>
    <hyperlink ref="B233" r:id="rId162" display="http://jiraproj.sg.uobnet.com/browse/PEDAGML-190"/>
    <hyperlink ref="B234" r:id="rId163" display="http://jiraproj.sg.uobnet.com/browse/PEDAGML-189"/>
    <hyperlink ref="B235" r:id="rId164" display="http://jiraproj.sg.uobnet.com/browse/PEDAGML-188"/>
    <hyperlink ref="B236" r:id="rId165" display="http://jiraproj.sg.uobnet.com/browse/PEDAGML-187"/>
    <hyperlink ref="B237" r:id="rId166" display="http://jiraproj.sg.uobnet.com/browse/PEDAGML-186"/>
    <hyperlink ref="B238" r:id="rId167" display="http://jiraproj.sg.uobnet.com/browse/PEDAGML-185"/>
    <hyperlink ref="B239" r:id="rId168" display="http://jiraproj.sg.uobnet.com/browse/PEDAGML-184"/>
    <hyperlink ref="B240" r:id="rId169" display="http://jiraproj.sg.uobnet.com/browse/PEDAGML-183"/>
    <hyperlink ref="B241" r:id="rId170" display="http://jiraproj.sg.uobnet.com/browse/PEDAGML-182"/>
    <hyperlink ref="B242" r:id="rId171" display="http://jiraproj.sg.uobnet.com/browse/PEDAGML-181"/>
    <hyperlink ref="B243" r:id="rId172" display="http://jiraproj.sg.uobnet.com/browse/PEDAGML-180"/>
    <hyperlink ref="B244" r:id="rId173" display="http://jiraproj.sg.uobnet.com/browse/PEDAGML-179"/>
    <hyperlink ref="B245" r:id="rId174" display="http://jiraproj.sg.uobnet.com/browse/PEDAGML-178"/>
    <hyperlink ref="B246" r:id="rId175" display="http://jiraproj.sg.uobnet.com/browse/PEDAGML-177"/>
    <hyperlink ref="B247" r:id="rId176" display="http://jiraproj.sg.uobnet.com/browse/PEDAGML-176"/>
    <hyperlink ref="B248" r:id="rId177" display="http://jiraproj.sg.uobnet.com/browse/PEDAGML-175"/>
    <hyperlink ref="B249" r:id="rId178" display="http://jiraproj.sg.uobnet.com/browse/PEDAGML-174"/>
    <hyperlink ref="B250" r:id="rId179" display="http://jiraproj.sg.uobnet.com/browse/PEDAGML-173"/>
    <hyperlink ref="B251" r:id="rId180" display="http://jiraproj.sg.uobnet.com/browse/PEDAGML-172"/>
    <hyperlink ref="B252" r:id="rId181" display="http://jiraproj.sg.uobnet.com/browse/PEDAGML-171"/>
    <hyperlink ref="B253" r:id="rId182" display="http://jiraproj.sg.uobnet.com/browse/PEDAGML-170"/>
    <hyperlink ref="B254" r:id="rId183" display="http://jiraproj.sg.uobnet.com/browse/PEDAGML-169"/>
    <hyperlink ref="B255" r:id="rId184" display="http://jiraproj.sg.uobnet.com/browse/PEDAGML-168"/>
    <hyperlink ref="B256" r:id="rId185" display="http://jiraproj.sg.uobnet.com/browse/PEDAGML-167"/>
    <hyperlink ref="B257" r:id="rId186" display="http://jiraproj.sg.uobnet.com/browse/PEDAGML-166"/>
    <hyperlink ref="B258" r:id="rId187" display="http://jiraproj.sg.uobnet.com/browse/PEDAGML-165"/>
    <hyperlink ref="B259" r:id="rId188" display="http://jiraproj.sg.uobnet.com/browse/PEDAGML-164"/>
    <hyperlink ref="B260" r:id="rId189" display="http://jiraproj.sg.uobnet.com/browse/PEDAGML-163"/>
    <hyperlink ref="B261" r:id="rId190" display="http://jiraproj.sg.uobnet.com/browse/PEDAGML-162"/>
    <hyperlink ref="B262" r:id="rId191" display="http://jiraproj.sg.uobnet.com/browse/PEDAGML-161"/>
    <hyperlink ref="B263" r:id="rId192" display="http://jiraproj.sg.uobnet.com/browse/PEDAGML-160"/>
    <hyperlink ref="B264" r:id="rId193" display="http://jiraproj.sg.uobnet.com/browse/PEDAGML-159"/>
    <hyperlink ref="B265" r:id="rId194" display="http://jiraproj.sg.uobnet.com/browse/PEDAGML-158"/>
    <hyperlink ref="B266" r:id="rId195" display="http://jiraproj.sg.uobnet.com/browse/PEDAGML-157"/>
    <hyperlink ref="B267" r:id="rId196" display="http://jiraproj.sg.uobnet.com/browse/PEDAGML-156"/>
    <hyperlink ref="B268" r:id="rId197" display="http://jiraproj.sg.uobnet.com/browse/PEDAGML-155"/>
    <hyperlink ref="B269" r:id="rId198" display="http://jiraproj.sg.uobnet.com/browse/PEDAGML-154"/>
    <hyperlink ref="B270" r:id="rId199" display="http://jiraproj.sg.uobnet.com/browse/PEDAGML-153"/>
    <hyperlink ref="B271" r:id="rId200" display="http://jiraproj.sg.uobnet.com/browse/PEDAGML-152"/>
    <hyperlink ref="B272" r:id="rId201" display="http://jiraproj.sg.uobnet.com/browse/PEDAGML-151"/>
    <hyperlink ref="B273" r:id="rId202" display="http://jiraproj.sg.uobnet.com/browse/PEDAGML-150"/>
    <hyperlink ref="B274" r:id="rId203" display="http://jiraproj.sg.uobnet.com/browse/PEDAGML-149"/>
    <hyperlink ref="B275" r:id="rId204" display="http://jiraproj.sg.uobnet.com/browse/PEDAGML-148"/>
    <hyperlink ref="B276" r:id="rId205" display="http://jiraproj.sg.uobnet.com/browse/PEDAGML-147"/>
    <hyperlink ref="B277" r:id="rId206" display="http://jiraproj.sg.uobnet.com/browse/PEDAGML-146"/>
    <hyperlink ref="B278" r:id="rId207" display="http://jiraproj.sg.uobnet.com/browse/PEDAGML-145"/>
    <hyperlink ref="B279" r:id="rId208" display="http://jiraproj.sg.uobnet.com/browse/PEDAGML-144"/>
    <hyperlink ref="B280" r:id="rId209" display="http://jiraproj.sg.uobnet.com/browse/PEDAGML-143"/>
    <hyperlink ref="B281" r:id="rId210" display="http://jiraproj.sg.uobnet.com/browse/PEDAGML-142"/>
    <hyperlink ref="B282" r:id="rId211" display="http://jiraproj.sg.uobnet.com/browse/PEDAGML-141"/>
    <hyperlink ref="B283" r:id="rId212" display="http://jiraproj.sg.uobnet.com/browse/PEDAGML-140"/>
    <hyperlink ref="B284" r:id="rId213" display="http://jiraproj.sg.uobnet.com/browse/PEDAGML-139"/>
    <hyperlink ref="B285" r:id="rId214" display="http://jiraproj.sg.uobnet.com/browse/PEDAGML-138"/>
    <hyperlink ref="B286" r:id="rId215" display="http://jiraproj.sg.uobnet.com/browse/PEDAGML-137"/>
    <hyperlink ref="B287" r:id="rId216" display="http://jiraproj.sg.uobnet.com/browse/PEDAGML-136"/>
    <hyperlink ref="B288" r:id="rId217" display="http://jiraproj.sg.uobnet.com/browse/PEDAGML-135"/>
    <hyperlink ref="B289" r:id="rId218" display="http://jiraproj.sg.uobnet.com/browse/PEDAGML-134"/>
    <hyperlink ref="B290" r:id="rId219" display="http://jiraproj.sg.uobnet.com/browse/PEDAGML-133"/>
    <hyperlink ref="B291" r:id="rId220" display="http://jiraproj.sg.uobnet.com/browse/PEDAGML-132"/>
    <hyperlink ref="B292" r:id="rId221" display="http://jiraproj.sg.uobnet.com/browse/PEDAGML-131"/>
    <hyperlink ref="B293" r:id="rId222" display="http://jiraproj.sg.uobnet.com/browse/PEDAGML-130"/>
    <hyperlink ref="B294" r:id="rId223" display="http://jiraproj.sg.uobnet.com/browse/PEDAGML-129"/>
    <hyperlink ref="B295" r:id="rId224" display="http://jiraproj.sg.uobnet.com/browse/PEDAGML-128"/>
    <hyperlink ref="B296" r:id="rId225" display="http://jiraproj.sg.uobnet.com/browse/PEDAGML-127"/>
    <hyperlink ref="B297" r:id="rId226" display="http://jiraproj.sg.uobnet.com/browse/PEDAGML-126"/>
    <hyperlink ref="B298" r:id="rId227" display="http://jiraproj.sg.uobnet.com/browse/PEDAGML-125"/>
    <hyperlink ref="B299" r:id="rId228" display="http://jiraproj.sg.uobnet.com/browse/PEDAGML-124"/>
    <hyperlink ref="B300" r:id="rId229" display="http://jiraproj.sg.uobnet.com/browse/PEDAGML-123"/>
    <hyperlink ref="B301" r:id="rId230" display="http://jiraproj.sg.uobnet.com/browse/PEDAGML-122"/>
    <hyperlink ref="B302" r:id="rId231" display="http://jiraproj.sg.uobnet.com/browse/PEDAGML-121"/>
    <hyperlink ref="B303" r:id="rId232" display="http://jiraproj.sg.uobnet.com/browse/PEDAGML-120"/>
    <hyperlink ref="B304" r:id="rId233" display="http://jiraproj.sg.uobnet.com/browse/PEDAGML-119"/>
    <hyperlink ref="B305" r:id="rId234" display="http://jiraproj.sg.uobnet.com/browse/PEDAGML-118"/>
    <hyperlink ref="B306" r:id="rId235" display="http://jiraproj.sg.uobnet.com/browse/PEDAGML-117"/>
    <hyperlink ref="B307" r:id="rId236" display="http://jiraproj.sg.uobnet.com/browse/PEDAGML-116"/>
    <hyperlink ref="B308" r:id="rId237" display="http://jiraproj.sg.uobnet.com/browse/PEDAGML-115"/>
    <hyperlink ref="B309" r:id="rId238" display="http://jiraproj.sg.uobnet.com/browse/PEDAGML-114"/>
    <hyperlink ref="B310" r:id="rId239" display="http://jiraproj.sg.uobnet.com/browse/PEDAGML-113"/>
    <hyperlink ref="B311" r:id="rId240" display="http://jiraproj.sg.uobnet.com/browse/PEDAGML-112"/>
    <hyperlink ref="B312" r:id="rId241" display="http://jiraproj.sg.uobnet.com/browse/PEDAGML-111"/>
    <hyperlink ref="B313" r:id="rId242" display="http://jiraproj.sg.uobnet.com/browse/PEDAGML-110"/>
    <hyperlink ref="B314" r:id="rId243" display="http://jiraproj.sg.uobnet.com/browse/PEDAGML-109"/>
    <hyperlink ref="B315" r:id="rId244" display="http://jiraproj.sg.uobnet.com/browse/PEDAGML-108"/>
    <hyperlink ref="B316" r:id="rId245" display="http://jiraproj.sg.uobnet.com/browse/PEDAGML-107"/>
    <hyperlink ref="B317" r:id="rId246" display="http://jiraproj.sg.uobnet.com/browse/PEDAGML-106"/>
    <hyperlink ref="B318" r:id="rId247" display="http://jiraproj.sg.uobnet.com/browse/PEDAGML-105"/>
    <hyperlink ref="B319" r:id="rId248" display="http://jiraproj.sg.uobnet.com/browse/PEDAGML-104"/>
    <hyperlink ref="B320" r:id="rId249" display="http://jiraproj.sg.uobnet.com/browse/PEDAGML-103"/>
    <hyperlink ref="B321" r:id="rId250" display="http://jiraproj.sg.uobnet.com/browse/PEDAGML-102"/>
    <hyperlink ref="B322" r:id="rId251" display="http://jiraproj.sg.uobnet.com/browse/PEDAGML-101"/>
    <hyperlink ref="B323" r:id="rId252" display="http://jiraproj.sg.uobnet.com/browse/PEDAGML-100"/>
    <hyperlink ref="B324" r:id="rId253" display="http://jiraproj.sg.uobnet.com/browse/PEDAGML-99"/>
    <hyperlink ref="B325" r:id="rId254" display="http://jiraproj.sg.uobnet.com/browse/PEDAGML-98"/>
    <hyperlink ref="B326" r:id="rId255" display="http://jiraproj.sg.uobnet.com/browse/PEDAGML-97"/>
    <hyperlink ref="B327" r:id="rId256" display="http://jiraproj.sg.uobnet.com/browse/PEDAGML-96"/>
    <hyperlink ref="B328" r:id="rId257" display="http://jiraproj.sg.uobnet.com/browse/PEDAGML-95"/>
    <hyperlink ref="B329" r:id="rId258" display="http://jiraproj.sg.uobnet.com/browse/PEDAGML-94"/>
    <hyperlink ref="B330" r:id="rId259" display="http://jiraproj.sg.uobnet.com/browse/PEDAGML-93"/>
    <hyperlink ref="B331" r:id="rId260" display="http://jiraproj.sg.uobnet.com/browse/PEDAGML-92"/>
    <hyperlink ref="B332" r:id="rId261" display="http://jiraproj.sg.uobnet.com/browse/PEDAGML-91"/>
    <hyperlink ref="B333" r:id="rId262" display="http://jiraproj.sg.uobnet.com/browse/PEDAGML-90"/>
    <hyperlink ref="B334" r:id="rId263" display="http://jiraproj.sg.uobnet.com/browse/PEDAGML-89"/>
    <hyperlink ref="B335" r:id="rId264" display="http://jiraproj.sg.uobnet.com/browse/PEDAGML-88"/>
    <hyperlink ref="B336" r:id="rId265" display="http://jiraproj.sg.uobnet.com/browse/PEDAGML-87"/>
    <hyperlink ref="B337" r:id="rId266" display="http://jiraproj.sg.uobnet.com/browse/PEDAGML-86"/>
    <hyperlink ref="B338" r:id="rId267" display="http://jiraproj.sg.uobnet.com/browse/PEDAGML-85"/>
    <hyperlink ref="B339" r:id="rId268" display="http://jiraproj.sg.uobnet.com/browse/PEDAGML-84"/>
    <hyperlink ref="B340" r:id="rId269" display="http://jiraproj.sg.uobnet.com/browse/PEDAGML-83"/>
    <hyperlink ref="B341" r:id="rId270" display="http://jiraproj.sg.uobnet.com/browse/PEDAGML-82"/>
    <hyperlink ref="B342" r:id="rId271" display="http://jiraproj.sg.uobnet.com/browse/PEDAGML-81"/>
    <hyperlink ref="B343" r:id="rId272" display="http://jiraproj.sg.uobnet.com/browse/PEDAGML-80"/>
    <hyperlink ref="B344" r:id="rId273" display="http://jiraproj.sg.uobnet.com/browse/PEDAGML-79"/>
    <hyperlink ref="B345" r:id="rId274" display="http://jiraproj.sg.uobnet.com/browse/PEDAGML-78"/>
    <hyperlink ref="B346" r:id="rId275" display="http://jiraproj.sg.uobnet.com/browse/PEDAGML-77"/>
    <hyperlink ref="B347" r:id="rId276" display="http://jiraproj.sg.uobnet.com/browse/PEDAGML-76"/>
    <hyperlink ref="B348" r:id="rId277" display="http://jiraproj.sg.uobnet.com/browse/PEDAGML-75"/>
    <hyperlink ref="B349" r:id="rId278" display="http://jiraproj.sg.uobnet.com/browse/PEDAGML-74"/>
    <hyperlink ref="B350" r:id="rId279" display="http://jiraproj.sg.uobnet.com/browse/PEDAGML-73"/>
    <hyperlink ref="B351" r:id="rId280" display="http://jiraproj.sg.uobnet.com/browse/PEDAGML-72"/>
    <hyperlink ref="B352" r:id="rId281" display="http://jiraproj.sg.uobnet.com/browse/PEDAGML-71"/>
    <hyperlink ref="B353" r:id="rId282" display="http://jiraproj.sg.uobnet.com/browse/PEDAGML-70"/>
    <hyperlink ref="B354" r:id="rId283" display="http://jiraproj.sg.uobnet.com/browse/PEDAGML-69"/>
    <hyperlink ref="B355" r:id="rId284" display="http://jiraproj.sg.uobnet.com/browse/PEDAGML-68"/>
    <hyperlink ref="B356" r:id="rId285" display="http://jiraproj.sg.uobnet.com/browse/PEDAGML-67"/>
    <hyperlink ref="B357" r:id="rId286" display="http://jiraproj.sg.uobnet.com/browse/PEDAGML-66"/>
    <hyperlink ref="B358" r:id="rId287" display="http://jiraproj.sg.uobnet.com/browse/PEDAGML-65"/>
    <hyperlink ref="B359" r:id="rId288" display="http://jiraproj.sg.uobnet.com/browse/PEDAGML-64"/>
    <hyperlink ref="B360" r:id="rId289" display="http://jiraproj.sg.uobnet.com/browse/PEDAGML-63"/>
    <hyperlink ref="B361" r:id="rId290" display="http://jiraproj.sg.uobnet.com/browse/PEDAGML-62"/>
    <hyperlink ref="B362" r:id="rId291" display="http://jiraproj.sg.uobnet.com/browse/PEDAGML-61"/>
    <hyperlink ref="B363" r:id="rId292" display="http://jiraproj.sg.uobnet.com/browse/PEDAGML-60"/>
    <hyperlink ref="B364" r:id="rId293" display="http://jiraproj.sg.uobnet.com/browse/PEDAGML-59"/>
    <hyperlink ref="B365" r:id="rId294" display="http://jiraproj.sg.uobnet.com/browse/PEDAGML-58"/>
    <hyperlink ref="B366" r:id="rId295" display="http://jiraproj.sg.uobnet.com/browse/PEDAGML-57"/>
    <hyperlink ref="B367" r:id="rId296" display="http://jiraproj.sg.uobnet.com/browse/PEDAGML-56"/>
    <hyperlink ref="B368" r:id="rId297" display="http://jiraproj.sg.uobnet.com/browse/PEDAGML-55"/>
    <hyperlink ref="B369" r:id="rId298" display="http://jiraproj.sg.uobnet.com/browse/PEDAGML-54"/>
    <hyperlink ref="B370" r:id="rId299" display="http://jiraproj.sg.uobnet.com/browse/PEDAGML-53"/>
    <hyperlink ref="B371" r:id="rId300" display="http://jiraproj.sg.uobnet.com/browse/PEDAGML-52"/>
    <hyperlink ref="B372" r:id="rId301" display="http://jiraproj.sg.uobnet.com/browse/PEDAGML-51"/>
    <hyperlink ref="B373" r:id="rId302" display="http://jiraproj.sg.uobnet.com/browse/PEDAGML-49"/>
    <hyperlink ref="B374" r:id="rId303" display="http://jiraproj.sg.uobnet.com/browse/PEDAGML-48"/>
    <hyperlink ref="B375" r:id="rId304" display="http://jiraproj.sg.uobnet.com/browse/PEDAGML-47"/>
    <hyperlink ref="B376" r:id="rId305" display="http://jiraproj.sg.uobnet.com/browse/PEDAGML-46"/>
    <hyperlink ref="B377" r:id="rId306" display="http://jiraproj.sg.uobnet.com/browse/PEDAGML-45"/>
    <hyperlink ref="B378" r:id="rId307" display="http://jiraproj.sg.uobnet.com/browse/PEDAGML-44"/>
    <hyperlink ref="B379" r:id="rId308" display="http://jiraproj.sg.uobnet.com/browse/PEDAGML-43"/>
    <hyperlink ref="B380" r:id="rId309" display="http://jiraproj.sg.uobnet.com/browse/PEDAGML-42"/>
    <hyperlink ref="B381" r:id="rId310" display="http://jiraproj.sg.uobnet.com/browse/PEDAGML-41"/>
    <hyperlink ref="B195" r:id="rId311" display="http://jiraproj.sg.uobnet.com/browse/PEDAGML-228"/>
    <hyperlink ref="B63" r:id="rId312" display="http://jiraproj.sg.uobnet.com/browse/PEDAGML-360"/>
    <hyperlink ref="B64" r:id="rId313" display="http://jiraproj.sg.uobnet.com/browse/PEDAGML-359"/>
    <hyperlink ref="B65" r:id="rId314" display="http://jiraproj.sg.uobnet.com/browse/PEDAGML-358"/>
    <hyperlink ref="B66" r:id="rId315" display="http://jiraproj.sg.uobnet.com/browse/PEDAGML-357"/>
    <hyperlink ref="B67" r:id="rId316" display="http://jiraproj.sg.uobnet.com/browse/PEDAGML-356"/>
    <hyperlink ref="B69" r:id="rId317" display="http://jiraproj.sg.uobnet.com/browse/PEDAGML-354"/>
    <hyperlink ref="B68" r:id="rId318" display="http://jiraproj.sg.uobnet.com/browse/PEDAGML-355"/>
    <hyperlink ref="B49" r:id="rId319" display="http://jiraproj.sg.uobnet.com/browse/PEDAGML-374"/>
    <hyperlink ref="B50" r:id="rId320" display="http://jiraproj.sg.uobnet.com/browse/PEDAGML-373"/>
    <hyperlink ref="B51" r:id="rId321" display="http://jiraproj.sg.uobnet.com/browse/PEDAGML-372"/>
    <hyperlink ref="B52" r:id="rId322" display="http://jiraproj.sg.uobnet.com/browse/PEDAGML-371"/>
    <hyperlink ref="B53" r:id="rId323" display="http://jiraproj.sg.uobnet.com/browse/PEDAGML-370"/>
    <hyperlink ref="B54" r:id="rId324" display="http://jiraproj.sg.uobnet.com/browse/PEDAGML-369"/>
    <hyperlink ref="B55" r:id="rId325" display="http://jiraproj.sg.uobnet.com/browse/PEDAGML-368"/>
    <hyperlink ref="B56" r:id="rId326" display="http://jiraproj.sg.uobnet.com/browse/PEDAGML-367"/>
    <hyperlink ref="B57" r:id="rId327" display="http://jiraproj.sg.uobnet.com/browse/PEDAGML-366"/>
    <hyperlink ref="B58" r:id="rId328" display="http://jiraproj.sg.uobnet.com/browse/PEDAGML-365"/>
    <hyperlink ref="B59" r:id="rId329" display="http://jiraproj.sg.uobnet.com/browse/PEDAGML-364"/>
    <hyperlink ref="B60" r:id="rId330" display="http://jiraproj.sg.uobnet.com/browse/PEDAGML-363"/>
    <hyperlink ref="B61" r:id="rId331" display="http://jiraproj.sg.uobnet.com/browse/PEDAGML-362"/>
    <hyperlink ref="B62" r:id="rId332" display="http://jiraproj.sg.uobnet.com/browse/PEDAGML-361"/>
    <hyperlink ref="B45" r:id="rId333" display="http://jiraproj.sg.uobnet.com/browse/PEDAGML-378"/>
    <hyperlink ref="B46" r:id="rId334" display="http://jiraproj.sg.uobnet.com/browse/PEDAGML-377"/>
    <hyperlink ref="B47" r:id="rId335" display="http://jiraproj.sg.uobnet.com/browse/PEDAGML-376"/>
    <hyperlink ref="B48" r:id="rId336" display="http://jiraproj.sg.uobnet.com/browse/PEDAGML-375"/>
    <hyperlink ref="B44" r:id="rId337" display="http://jiraproj.sg.uobnet.com/browse/PEDAGML-379"/>
    <hyperlink ref="B42" r:id="rId338" display="http://jiraproj.sg.uobnet.com/browse/PEDAGML-381"/>
    <hyperlink ref="B43" r:id="rId339" display="http://jiraproj.sg.uobnet.com/browse/PEDAGML-380"/>
    <hyperlink ref="B30" r:id="rId340" display="http://jiraproj.sg.uobnet.com/browse/PEDAGML-393"/>
    <hyperlink ref="B29" r:id="rId341" display="http://jiraproj.sg.uobnet.com/browse/PEDAGML-396"/>
    <hyperlink ref="B28" r:id="rId342" display="http://jiraproj.sg.uobnet.com/browse/PEDAGML-398"/>
    <hyperlink ref="B27" r:id="rId343" display="http://jiraproj.sg.uobnet.com/browse/PEDAGML-399"/>
    <hyperlink ref="B31" r:id="rId344" display="http://jiraproj.sg.uobnet.com/browse/PEDAGML-392"/>
    <hyperlink ref="B41" r:id="rId345" display="http://jiraproj.sg.uobnet.com/browse/PEDAGML-382"/>
    <hyperlink ref="B40" r:id="rId346" display="http://jiraproj.sg.uobnet.com/browse/PEDAGML-383"/>
    <hyperlink ref="B38" r:id="rId347" display="http://jiraproj.sg.uobnet.com/browse/PEDAGML-385"/>
    <hyperlink ref="B37" r:id="rId348" display="http://jiraproj.sg.uobnet.com/browse/PEDAGML-386"/>
    <hyperlink ref="B36" r:id="rId349" display="http://jiraproj.sg.uobnet.com/browse/PEDAGML-387"/>
    <hyperlink ref="B35" r:id="rId350" display="http://jiraproj.sg.uobnet.com/browse/PEDAGML-388"/>
    <hyperlink ref="B34" r:id="rId351" display="http://jiraproj.sg.uobnet.com/browse/PEDAGML-389"/>
    <hyperlink ref="B33" r:id="rId352" display="http://jiraproj.sg.uobnet.com/browse/PEDAGML-390"/>
    <hyperlink ref="B32" r:id="rId353" display="http://jiraproj.sg.uobnet.com/browse/PEDAGML-391"/>
    <hyperlink ref="B6" r:id="rId354" display="http://jiraproj.sg.uobnet.com/browse/PEDAGML-427"/>
    <hyperlink ref="B7" r:id="rId355" display="http://jiraproj.sg.uobnet.com/browse/PEDAGML-425"/>
    <hyperlink ref="B8" r:id="rId356" display="http://jiraproj.sg.uobnet.com/browse/PEDAGML-424"/>
    <hyperlink ref="B9" r:id="rId357" display="http://jiraproj.sg.uobnet.com/browse/PEDAGML-423"/>
    <hyperlink ref="B10" r:id="rId358" display="http://jiraproj.sg.uobnet.com/browse/PEDAGML-422"/>
    <hyperlink ref="B11" r:id="rId359" display="http://jiraproj.sg.uobnet.com/browse/PEDAGML-421"/>
    <hyperlink ref="B12" r:id="rId360" display="http://jiraproj.sg.uobnet.com/browse/PEDAGML-420"/>
    <hyperlink ref="B13" r:id="rId361" display="http://jiraproj.sg.uobnet.com/browse/PEDAGML-419"/>
    <hyperlink ref="B14" r:id="rId362" display="http://jiraproj.sg.uobnet.com/browse/PEDAGML-418"/>
    <hyperlink ref="B15" r:id="rId363" display="http://jiraproj.sg.uobnet.com/browse/PEDAGML-415"/>
    <hyperlink ref="B16" r:id="rId364" display="http://jiraproj.sg.uobnet.com/browse/PEDAGML-414"/>
    <hyperlink ref="B17" r:id="rId365" display="http://jiraproj.sg.uobnet.com/browse/PEDAGML-412"/>
    <hyperlink ref="B18" r:id="rId366" display="http://jiraproj.sg.uobnet.com/browse/PEDAGML-411"/>
    <hyperlink ref="B19" r:id="rId367" display="http://jiraproj.sg.uobnet.com/browse/PEDAGML-410"/>
    <hyperlink ref="B20" r:id="rId368" display="http://jiraproj.sg.uobnet.com/browse/PEDAGML-409"/>
    <hyperlink ref="B21" r:id="rId369" display="http://jiraproj.sg.uobnet.com/browse/PEDAGML-408"/>
    <hyperlink ref="B22" r:id="rId370" display="http://jiraproj.sg.uobnet.com/browse/PEDAGML-407"/>
    <hyperlink ref="B23" r:id="rId371" display="http://jiraproj.sg.uobnet.com/browse/PEDAGML-406"/>
    <hyperlink ref="B24" r:id="rId372" display="http://jiraproj.sg.uobnet.com/browse/PEDAGML-402"/>
    <hyperlink ref="B25" r:id="rId373" display="http://jiraproj.sg.uobnet.com/browse/PEDAGML-401"/>
    <hyperlink ref="B26" r:id="rId374" display="http://jiraproj.sg.uobnet.com/browse/PEDAGML-400"/>
    <hyperlink ref="B2" r:id="rId375" display="http://jiraproj.sg.uobnet.com/browse/PEDAGML-432"/>
    <hyperlink ref="B3" r:id="rId376" display="http://jiraproj.sg.uobnet.com/browse/PEDAGML-431"/>
    <hyperlink ref="B4" r:id="rId377" display="http://jiraproj.sg.uobnet.com/browse/PEDAGML-430"/>
    <hyperlink ref="B5" r:id="rId378" display="http://jiraproj.sg.uobnet.com/browse/PEDAGML-429"/>
    <hyperlink ref="Y7" r:id="rId379" display="http://jiraproj.sg.uobnet.com/secure/attachment/251406/_thumb_251406.png"/>
    <hyperlink ref="Y12" r:id="rId380" display="http://jiraproj.sg.uobnet.com/secure/attachment/251297/_thumb_251297.png"/>
    <hyperlink ref="Y13" r:id="rId381" display="http://jiraproj.sg.uobnet.com/secure/attachment/252303/_thumb_252303.png"/>
    <hyperlink ref="Y28" r:id="rId382" display="http://jiraproj.sg.uobnet.com/secure/attachment/250319/_thumb_250319.png"/>
    <hyperlink ref="Y30" r:id="rId383" display="http://jiraproj.sg.uobnet.com/secure/attachment/250022/_thumb_250022.png"/>
    <hyperlink ref="Y33" r:id="rId384" display="http://jiraproj.sg.uobnet.com/secure/attachment/249807/_thumb_249807.png"/>
    <hyperlink ref="Y34" r:id="rId385" display="http://jiraproj.sg.uobnet.com/secure/attachment/249793/_thumb_249793.png"/>
    <hyperlink ref="Y41" r:id="rId386" display="http://jiraproj.sg.uobnet.com/secure/attachment/249640/_thumb_249640.png"/>
    <hyperlink ref="Y49" r:id="rId387" display="http://jiraproj.sg.uobnet.com/secure/attachment/248810/_thumb_248810.png"/>
    <hyperlink ref="Y50" r:id="rId388" display="http://jiraproj.sg.uobnet.com/secure/attachment/248676/_thumb_248676.png"/>
    <hyperlink ref="Y52" r:id="rId389" display="http://jiraproj.sg.uobnet.com/secure/attachment/248653/_thumb_248653.png"/>
    <hyperlink ref="Y55" r:id="rId390" display="http://jiraproj.sg.uobnet.com/secure/attachment/248610/_thumb_248610.png"/>
    <hyperlink ref="Y60" r:id="rId391" display="http://jiraproj.sg.uobnet.com/secure/attachment/248228/_thumb_248228.png"/>
    <hyperlink ref="Y80" r:id="rId392" display="http://jiraproj.sg.uobnet.com/secure/attachment/246251/_thumb_246251.png"/>
    <hyperlink ref="Y97" r:id="rId393" display="http://jiraproj.sg.uobnet.com/secure/attachment/245880/_thumb_245880.png"/>
    <hyperlink ref="Y108" r:id="rId394" display="http://jiraproj.sg.uobnet.com/secure/attachment/245134/_thumb_245134.png"/>
    <hyperlink ref="Y109" r:id="rId395" display="http://jiraproj.sg.uobnet.com/secure/attachment/245133/_thumb_245133.png"/>
    <hyperlink ref="Y121" r:id="rId396" display="http://jiraproj.sg.uobnet.com/secure/attachment/244550/_thumb_244550.png"/>
    <hyperlink ref="Y130" r:id="rId397" display="http://jiraproj.sg.uobnet.com/secure/attachment/244206/_thumb_244206.png"/>
    <hyperlink ref="Y131" r:id="rId398" display="http://jiraproj.sg.uobnet.com/secure/attachment/244119/_thumb_244119.png"/>
    <hyperlink ref="Y136" r:id="rId399" display="http://jiraproj.sg.uobnet.com/secure/attachment/243692/_thumb_243692.png"/>
    <hyperlink ref="Y140" r:id="rId400" display="http://jiraproj.sg.uobnet.com/secure/attachment/243628/_thumb_243628.png"/>
    <hyperlink ref="Y145" r:id="rId401" display="http://jiraproj.sg.uobnet.com/secure/attachment/243422/_thumb_243422.png"/>
    <hyperlink ref="Y152" r:id="rId402" display="http://jiraproj.sg.uobnet.com/secure/attachment/243281/_thumb_243281.png"/>
    <hyperlink ref="Y156" r:id="rId403" display="http://jiraproj.sg.uobnet.com/secure/attachment/243122/_thumb_243122.png"/>
    <hyperlink ref="Y158" r:id="rId404" display="http://jiraproj.sg.uobnet.com/secure/attachment/243077/_thumb_243077.png"/>
    <hyperlink ref="Y159" r:id="rId405" display="http://jiraproj.sg.uobnet.com/secure/attachment/243064/_thumb_243064.png"/>
    <hyperlink ref="Y164" r:id="rId406" display="http://jiraproj.sg.uobnet.com/secure/attachment/242995/_thumb_242995.png"/>
    <hyperlink ref="Y165" r:id="rId407" display="http://jiraproj.sg.uobnet.com/secure/attachment/242989/_thumb_242989.png"/>
    <hyperlink ref="Y174" r:id="rId408" display="http://jiraproj.sg.uobnet.com/secure/attachment/242889/_thumb_242889.png"/>
    <hyperlink ref="Y176" r:id="rId409" display="http://jiraproj.sg.uobnet.com/secure/attachment/242855/_thumb_242855.png"/>
    <hyperlink ref="Y179" r:id="rId410" display="http://jiraproj.sg.uobnet.com/secure/attachment/242838/_thumb_242838.png"/>
    <hyperlink ref="Y180" r:id="rId411" display="http://jiraproj.sg.uobnet.com/secure/attachment/242839/_thumb_242839.png"/>
    <hyperlink ref="Y184" r:id="rId412" display="http://jiraproj.sg.uobnet.com/secure/attachment/242743/_thumb_242743.png"/>
    <hyperlink ref="Y185" r:id="rId413" display="http://jiraproj.sg.uobnet.com/secure/attachment/242725/_thumb_242725.png"/>
    <hyperlink ref="Y191" r:id="rId414" display="http://jiraproj.sg.uobnet.com/secure/attachment/242542/_thumb_242542.png"/>
    <hyperlink ref="Y194" r:id="rId415" display="http://jiraproj.sg.uobnet.com/secure/attachment/243135/_thumb_243135.png"/>
    <hyperlink ref="Y201" r:id="rId416" display="http://jiraproj.sg.uobnet.com/secure/attachment/242383/_thumb_242383.png"/>
    <hyperlink ref="Y202" r:id="rId417" display="http://jiraproj.sg.uobnet.com/secure/attachment/242382/_thumb_242382.png"/>
    <hyperlink ref="Y203" r:id="rId418" display="http://jiraproj.sg.uobnet.com/secure/attachment/242380/_thumb_242380.png"/>
    <hyperlink ref="Y204" r:id="rId419" display="http://jiraproj.sg.uobnet.com/secure/attachment/242346/_thumb_242346.png"/>
    <hyperlink ref="Y205" r:id="rId420" display="http://jiraproj.sg.uobnet.com/secure/attachment/242306/_thumb_242306.png"/>
    <hyperlink ref="Y228" r:id="rId421" display="http://jiraproj.sg.uobnet.com/secure/attachment/242005/_thumb_242005.png"/>
    <hyperlink ref="Y229" r:id="rId422" display="http://jiraproj.sg.uobnet.com/secure/attachment/241980/_thumb_241980.png"/>
    <hyperlink ref="Y230" r:id="rId423" display="http://jiraproj.sg.uobnet.com/secure/attachment/241967/_thumb_241967.png"/>
    <hyperlink ref="Y232" r:id="rId424" display="http://jiraproj.sg.uobnet.com/secure/attachment/241844/_thumb_241844.png"/>
    <hyperlink ref="Y236" r:id="rId425" display="http://jiraproj.sg.uobnet.com/secure/attachment/241595/_thumb_241595.png"/>
    <hyperlink ref="Y238" r:id="rId426" display="http://jiraproj.sg.uobnet.com/secure/attachment/241455/_thumb_241455.png"/>
    <hyperlink ref="Y239" r:id="rId427" display="http://jiraproj.sg.uobnet.com/secure/attachment/241400/_thumb_241400.png"/>
    <hyperlink ref="Y240" r:id="rId428" display="http://jiraproj.sg.uobnet.com/secure/attachment/246219/_thumb_246219.png"/>
    <hyperlink ref="Y242" r:id="rId429" display="http://jiraproj.sg.uobnet.com/secure/attachment/241174/_thumb_241174.png"/>
    <hyperlink ref="Y253" r:id="rId430" display="http://jiraproj.sg.uobnet.com/secure/attachment/240944/_thumb_240944.png"/>
    <hyperlink ref="Y254" r:id="rId431" display="http://jiraproj.sg.uobnet.com/secure/attachment/240942/_thumb_240942.png"/>
    <hyperlink ref="Y259" r:id="rId432" display="http://jiraproj.sg.uobnet.com/secure/attachment/240841/_thumb_240841.png"/>
    <hyperlink ref="Y264" r:id="rId433" display="http://jiraproj.sg.uobnet.com/secure/attachment/240775/_thumb_240775.png"/>
    <hyperlink ref="Y266" r:id="rId434" display="http://jiraproj.sg.uobnet.com/secure/attachment/240902/_thumb_240902.png"/>
    <hyperlink ref="Y274" r:id="rId435" display="http://jiraproj.sg.uobnet.com/secure/attachment/243480/_thumb_243480.png"/>
    <hyperlink ref="Y284" r:id="rId436" display="http://jiraproj.sg.uobnet.com/secure/attachment/240328/_thumb_240328.png"/>
    <hyperlink ref="Y315" r:id="rId437" display="http://jiraproj.sg.uobnet.com/secure/attachment/242257/_thumb_242257.png"/>
    <hyperlink ref="Y325" r:id="rId438" display="http://jiraproj.sg.uobnet.com/secure/attachment/239487/_thumb_239487.png"/>
    <hyperlink ref="Y327" r:id="rId439" display="http://jiraproj.sg.uobnet.com/secure/attachment/238157/_thumb_238157.png"/>
    <hyperlink ref="Y329" r:id="rId440" display="http://jiraproj.sg.uobnet.com/secure/attachment/237653/_thumb_237653.png"/>
    <hyperlink ref="Y376" r:id="rId441" display="http://jiraproj.sg.uobnet.com/secure/attachment/238149/_thumb_238149.png"/>
    <hyperlink ref="Y380" r:id="rId442" display="http://jiraproj.sg.uobnet.com/secure/attachment/235052/_thumb_235052.png"/>
    <hyperlink ref="B187" r:id="rId443" display="http://jiraproj.sg.uobnet.com/browse/PEDAGML-23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546"/>
  <sheetViews>
    <sheetView topLeftCell="A265" workbookViewId="0">
      <selection activeCell="E268" sqref="E268"/>
    </sheetView>
  </sheetViews>
  <sheetFormatPr defaultRowHeight="15" x14ac:dyDescent="0.25"/>
  <cols>
    <col min="1" max="1" width="10.42578125" bestFit="1" customWidth="1"/>
    <col min="5" max="5" width="10.42578125" bestFit="1" customWidth="1"/>
    <col min="8" max="8" width="10.42578125" bestFit="1" customWidth="1"/>
  </cols>
  <sheetData>
    <row r="1" spans="1:8" ht="45" x14ac:dyDescent="0.25">
      <c r="A1" s="62" t="s">
        <v>2031</v>
      </c>
      <c r="B1" s="62" t="s">
        <v>2032</v>
      </c>
      <c r="C1" s="62" t="s">
        <v>2026</v>
      </c>
      <c r="D1" s="62" t="s">
        <v>2025</v>
      </c>
    </row>
    <row r="2" spans="1:8" x14ac:dyDescent="0.25">
      <c r="A2" s="84">
        <f>INT(test1[[#This Row],[Created]])</f>
        <v>42741</v>
      </c>
    </row>
    <row r="3" spans="1:8" x14ac:dyDescent="0.25">
      <c r="A3" s="84">
        <f>INT(test1[[#This Row],[Created]])</f>
        <v>42744</v>
      </c>
      <c r="E3" s="84">
        <f>SMALL(INT(A2:A381),1)</f>
        <v>42744</v>
      </c>
      <c r="H3" s="84">
        <f>INT(test1[Created])</f>
        <v>42744</v>
      </c>
    </row>
    <row r="4" spans="1:8" x14ac:dyDescent="0.25">
      <c r="A4" s="84">
        <f>INT(test1[[#This Row],[Created]])</f>
        <v>42746</v>
      </c>
      <c r="E4" s="84">
        <f>LARGE(INT(A2:A381),1)</f>
        <v>42746</v>
      </c>
    </row>
    <row r="5" spans="1:8" x14ac:dyDescent="0.25">
      <c r="A5" s="84">
        <f>INT(test1[[#This Row],[Created]])</f>
        <v>42746</v>
      </c>
    </row>
    <row r="6" spans="1:8" x14ac:dyDescent="0.25">
      <c r="A6" s="84">
        <f>INT(test1[[#This Row],[Created]])</f>
        <v>42746</v>
      </c>
    </row>
    <row r="7" spans="1:8" x14ac:dyDescent="0.25">
      <c r="A7" s="84">
        <f>INT(test1[[#This Row],[Created]])</f>
        <v>42746</v>
      </c>
    </row>
    <row r="8" spans="1:8" x14ac:dyDescent="0.25">
      <c r="A8" s="84">
        <f>INT(test1[[#This Row],[Created]])</f>
        <v>42747</v>
      </c>
    </row>
    <row r="9" spans="1:8" x14ac:dyDescent="0.25">
      <c r="A9" s="84">
        <f>INT(test1[[#This Row],[Created]])</f>
        <v>42747</v>
      </c>
    </row>
    <row r="10" spans="1:8" x14ac:dyDescent="0.25">
      <c r="A10" s="84">
        <f>INT(test1[[#This Row],[Created]])</f>
        <v>42747</v>
      </c>
    </row>
    <row r="11" spans="1:8" x14ac:dyDescent="0.25">
      <c r="A11" s="84">
        <f>INT(test1[[#This Row],[Created]])</f>
        <v>42748</v>
      </c>
    </row>
    <row r="12" spans="1:8" x14ac:dyDescent="0.25">
      <c r="A12" s="84">
        <f>INT(test1[[#This Row],[Created]])</f>
        <v>42748</v>
      </c>
    </row>
    <row r="13" spans="1:8" x14ac:dyDescent="0.25">
      <c r="A13" s="84">
        <f>INT(test1[[#This Row],[Created]])</f>
        <v>42749</v>
      </c>
    </row>
    <row r="14" spans="1:8" x14ac:dyDescent="0.25">
      <c r="A14" s="84">
        <f>INT(test1[[#This Row],[Created]])</f>
        <v>42750</v>
      </c>
    </row>
    <row r="15" spans="1:8" x14ac:dyDescent="0.25">
      <c r="A15" s="84">
        <f>INT(test1[[#This Row],[Created]])</f>
        <v>42750</v>
      </c>
    </row>
    <row r="16" spans="1:8" x14ac:dyDescent="0.25">
      <c r="A16" s="84">
        <f>INT(test1[[#This Row],[Created]])</f>
        <v>42750</v>
      </c>
    </row>
    <row r="17" spans="1:1" x14ac:dyDescent="0.25">
      <c r="A17" s="84">
        <f>INT(test1[[#This Row],[Created]])</f>
        <v>42751</v>
      </c>
    </row>
    <row r="18" spans="1:1" x14ac:dyDescent="0.25">
      <c r="A18" s="84">
        <f>INT(test1[[#This Row],[Created]])</f>
        <v>42751</v>
      </c>
    </row>
    <row r="19" spans="1:1" x14ac:dyDescent="0.25">
      <c r="A19" s="84">
        <f>INT(test1[[#This Row],[Created]])</f>
        <v>42751</v>
      </c>
    </row>
    <row r="20" spans="1:1" x14ac:dyDescent="0.25">
      <c r="A20" s="84">
        <f>INT(test1[[#This Row],[Created]])</f>
        <v>42751</v>
      </c>
    </row>
    <row r="21" spans="1:1" x14ac:dyDescent="0.25">
      <c r="A21" s="84">
        <f>INT(test1[[#This Row],[Created]])</f>
        <v>42751</v>
      </c>
    </row>
    <row r="22" spans="1:1" x14ac:dyDescent="0.25">
      <c r="A22" s="84">
        <f>INT(test1[[#This Row],[Created]])</f>
        <v>42751</v>
      </c>
    </row>
    <row r="23" spans="1:1" x14ac:dyDescent="0.25">
      <c r="A23" s="84">
        <f>INT(test1[[#This Row],[Created]])</f>
        <v>42751</v>
      </c>
    </row>
    <row r="24" spans="1:1" x14ac:dyDescent="0.25">
      <c r="A24" s="84">
        <f>INT(test1[[#This Row],[Created]])</f>
        <v>42751</v>
      </c>
    </row>
    <row r="25" spans="1:1" x14ac:dyDescent="0.25">
      <c r="A25" s="84">
        <f>INT(test1[[#This Row],[Created]])</f>
        <v>42751</v>
      </c>
    </row>
    <row r="26" spans="1:1" x14ac:dyDescent="0.25">
      <c r="A26" s="84">
        <f>INT(test1[[#This Row],[Created]])</f>
        <v>42751</v>
      </c>
    </row>
    <row r="27" spans="1:1" x14ac:dyDescent="0.25">
      <c r="A27" s="84">
        <f>INT(test1[[#This Row],[Created]])</f>
        <v>42751</v>
      </c>
    </row>
    <row r="28" spans="1:1" x14ac:dyDescent="0.25">
      <c r="A28" s="84">
        <f>INT(test1[[#This Row],[Created]])</f>
        <v>42751</v>
      </c>
    </row>
    <row r="29" spans="1:1" x14ac:dyDescent="0.25">
      <c r="A29" s="84">
        <f>INT(test1[[#This Row],[Created]])</f>
        <v>42751</v>
      </c>
    </row>
    <row r="30" spans="1:1" x14ac:dyDescent="0.25">
      <c r="A30" s="84">
        <f>INT(test1[[#This Row],[Created]])</f>
        <v>42751</v>
      </c>
    </row>
    <row r="31" spans="1:1" x14ac:dyDescent="0.25">
      <c r="A31" s="84">
        <f>INT(test1[[#This Row],[Created]])</f>
        <v>42751</v>
      </c>
    </row>
    <row r="32" spans="1:1" x14ac:dyDescent="0.25">
      <c r="A32" s="84">
        <f>INT(test1[[#This Row],[Created]])</f>
        <v>42751</v>
      </c>
    </row>
    <row r="33" spans="1:1" x14ac:dyDescent="0.25">
      <c r="A33" s="84">
        <f>INT(test1[[#This Row],[Created]])</f>
        <v>42751</v>
      </c>
    </row>
    <row r="34" spans="1:1" x14ac:dyDescent="0.25">
      <c r="A34" s="84">
        <f>INT(test1[[#This Row],[Created]])</f>
        <v>42751</v>
      </c>
    </row>
    <row r="35" spans="1:1" x14ac:dyDescent="0.25">
      <c r="A35" s="84">
        <f>INT(test1[[#This Row],[Created]])</f>
        <v>42751</v>
      </c>
    </row>
    <row r="36" spans="1:1" x14ac:dyDescent="0.25">
      <c r="A36" s="84">
        <f>INT(test1[[#This Row],[Created]])</f>
        <v>42751</v>
      </c>
    </row>
    <row r="37" spans="1:1" x14ac:dyDescent="0.25">
      <c r="A37" s="84">
        <f>INT(test1[[#This Row],[Created]])</f>
        <v>42751</v>
      </c>
    </row>
    <row r="38" spans="1:1" x14ac:dyDescent="0.25">
      <c r="A38" s="84">
        <f>INT(test1[[#This Row],[Created]])</f>
        <v>42751</v>
      </c>
    </row>
    <row r="39" spans="1:1" x14ac:dyDescent="0.25">
      <c r="A39" s="84">
        <f>INT(test1[[#This Row],[Created]])</f>
        <v>42752</v>
      </c>
    </row>
    <row r="40" spans="1:1" x14ac:dyDescent="0.25">
      <c r="A40" s="84">
        <f>INT(test1[[#This Row],[Created]])</f>
        <v>42752</v>
      </c>
    </row>
    <row r="41" spans="1:1" x14ac:dyDescent="0.25">
      <c r="A41" s="84">
        <f>INT(test1[[#This Row],[Created]])</f>
        <v>42752</v>
      </c>
    </row>
    <row r="42" spans="1:1" x14ac:dyDescent="0.25">
      <c r="A42" s="84">
        <f>INT(test1[[#This Row],[Created]])</f>
        <v>42752</v>
      </c>
    </row>
    <row r="43" spans="1:1" x14ac:dyDescent="0.25">
      <c r="A43" s="84">
        <f>INT(test1[[#This Row],[Created]])</f>
        <v>42752</v>
      </c>
    </row>
    <row r="44" spans="1:1" x14ac:dyDescent="0.25">
      <c r="A44" s="84">
        <f>INT(test1[[#This Row],[Created]])</f>
        <v>42752</v>
      </c>
    </row>
    <row r="45" spans="1:1" x14ac:dyDescent="0.25">
      <c r="A45" s="84">
        <f>INT(test1[[#This Row],[Created]])</f>
        <v>42753</v>
      </c>
    </row>
    <row r="46" spans="1:1" x14ac:dyDescent="0.25">
      <c r="A46" s="84">
        <f>INT(test1[[#This Row],[Created]])</f>
        <v>42753</v>
      </c>
    </row>
    <row r="47" spans="1:1" x14ac:dyDescent="0.25">
      <c r="A47" s="84">
        <f>INT(test1[[#This Row],[Created]])</f>
        <v>42753</v>
      </c>
    </row>
    <row r="48" spans="1:1" x14ac:dyDescent="0.25">
      <c r="A48" s="84">
        <f>INT(test1[[#This Row],[Created]])</f>
        <v>42753</v>
      </c>
    </row>
    <row r="49" spans="1:1" x14ac:dyDescent="0.25">
      <c r="A49" s="84">
        <f>INT(test1[[#This Row],[Created]])</f>
        <v>42753</v>
      </c>
    </row>
    <row r="50" spans="1:1" x14ac:dyDescent="0.25">
      <c r="A50" s="84">
        <f>INT(test1[[#This Row],[Created]])</f>
        <v>42753</v>
      </c>
    </row>
    <row r="51" spans="1:1" x14ac:dyDescent="0.25">
      <c r="A51" s="84">
        <f>INT(test1[[#This Row],[Created]])</f>
        <v>42753</v>
      </c>
    </row>
    <row r="52" spans="1:1" x14ac:dyDescent="0.25">
      <c r="A52" s="84">
        <f>INT(test1[[#This Row],[Created]])</f>
        <v>42753</v>
      </c>
    </row>
    <row r="53" spans="1:1" x14ac:dyDescent="0.25">
      <c r="A53" s="84">
        <f>INT(test1[[#This Row],[Created]])</f>
        <v>42753</v>
      </c>
    </row>
    <row r="54" spans="1:1" x14ac:dyDescent="0.25">
      <c r="A54" s="84">
        <f>INT(test1[[#This Row],[Created]])</f>
        <v>42753</v>
      </c>
    </row>
    <row r="55" spans="1:1" x14ac:dyDescent="0.25">
      <c r="A55" s="84">
        <f>INT(test1[[#This Row],[Created]])</f>
        <v>42753</v>
      </c>
    </row>
    <row r="56" spans="1:1" x14ac:dyDescent="0.25">
      <c r="A56" s="84">
        <f>INT(test1[[#This Row],[Created]])</f>
        <v>42753</v>
      </c>
    </row>
    <row r="57" spans="1:1" x14ac:dyDescent="0.25">
      <c r="A57" s="84">
        <f>INT(test1[[#This Row],[Created]])</f>
        <v>42754</v>
      </c>
    </row>
    <row r="58" spans="1:1" x14ac:dyDescent="0.25">
      <c r="A58" s="84">
        <f>INT(test1[[#This Row],[Created]])</f>
        <v>42754</v>
      </c>
    </row>
    <row r="59" spans="1:1" x14ac:dyDescent="0.25">
      <c r="A59" s="84">
        <f>INT(test1[[#This Row],[Created]])</f>
        <v>42755</v>
      </c>
    </row>
    <row r="60" spans="1:1" x14ac:dyDescent="0.25">
      <c r="A60" s="84">
        <f>INT(test1[[#This Row],[Created]])</f>
        <v>42757</v>
      </c>
    </row>
    <row r="61" spans="1:1" x14ac:dyDescent="0.25">
      <c r="A61" s="84">
        <f>INT(test1[[#This Row],[Created]])</f>
        <v>42757</v>
      </c>
    </row>
    <row r="62" spans="1:1" x14ac:dyDescent="0.25">
      <c r="A62" s="84">
        <f>INT(test1[[#This Row],[Created]])</f>
        <v>42757</v>
      </c>
    </row>
    <row r="63" spans="1:1" x14ac:dyDescent="0.25">
      <c r="A63" s="84">
        <f>INT(test1[[#This Row],[Created]])</f>
        <v>42757</v>
      </c>
    </row>
    <row r="64" spans="1:1" x14ac:dyDescent="0.25">
      <c r="A64" s="84">
        <f>INT(test1[[#This Row],[Created]])</f>
        <v>42757</v>
      </c>
    </row>
    <row r="65" spans="1:1" x14ac:dyDescent="0.25">
      <c r="A65" s="84">
        <f>INT(test1[[#This Row],[Created]])</f>
        <v>42757</v>
      </c>
    </row>
    <row r="66" spans="1:1" x14ac:dyDescent="0.25">
      <c r="A66" s="84">
        <f>INT(test1[[#This Row],[Created]])</f>
        <v>42757</v>
      </c>
    </row>
    <row r="67" spans="1:1" x14ac:dyDescent="0.25">
      <c r="A67" s="84">
        <f>INT(test1[[#This Row],[Created]])</f>
        <v>42758</v>
      </c>
    </row>
    <row r="68" spans="1:1" x14ac:dyDescent="0.25">
      <c r="A68" s="84">
        <f>INT(test1[[#This Row],[Created]])</f>
        <v>42758</v>
      </c>
    </row>
    <row r="69" spans="1:1" x14ac:dyDescent="0.25">
      <c r="A69" s="84">
        <f>INT(test1[[#This Row],[Created]])</f>
        <v>42758</v>
      </c>
    </row>
    <row r="70" spans="1:1" x14ac:dyDescent="0.25">
      <c r="A70" s="84">
        <f>INT(test1[[#This Row],[Created]])</f>
        <v>42758</v>
      </c>
    </row>
    <row r="71" spans="1:1" x14ac:dyDescent="0.25">
      <c r="A71" s="84">
        <f>INT(test1[[#This Row],[Created]])</f>
        <v>42758</v>
      </c>
    </row>
    <row r="72" spans="1:1" x14ac:dyDescent="0.25">
      <c r="A72" s="84">
        <f>INT(test1[[#This Row],[Created]])</f>
        <v>42758</v>
      </c>
    </row>
    <row r="73" spans="1:1" x14ac:dyDescent="0.25">
      <c r="A73" s="84">
        <f>INT(test1[[#This Row],[Created]])</f>
        <v>42758</v>
      </c>
    </row>
    <row r="74" spans="1:1" x14ac:dyDescent="0.25">
      <c r="A74" s="84">
        <f>INT(test1[[#This Row],[Created]])</f>
        <v>42758</v>
      </c>
    </row>
    <row r="75" spans="1:1" x14ac:dyDescent="0.25">
      <c r="A75" s="84">
        <f>INT(test1[[#This Row],[Created]])</f>
        <v>42758</v>
      </c>
    </row>
    <row r="76" spans="1:1" x14ac:dyDescent="0.25">
      <c r="A76" s="84">
        <f>INT(test1[[#This Row],[Created]])</f>
        <v>42759</v>
      </c>
    </row>
    <row r="77" spans="1:1" x14ac:dyDescent="0.25">
      <c r="A77" s="84">
        <f>INT(test1[[#This Row],[Created]])</f>
        <v>42760</v>
      </c>
    </row>
    <row r="78" spans="1:1" x14ac:dyDescent="0.25">
      <c r="A78" s="84">
        <f>INT(test1[[#This Row],[Created]])</f>
        <v>42761</v>
      </c>
    </row>
    <row r="79" spans="1:1" x14ac:dyDescent="0.25">
      <c r="A79" s="84">
        <f>INT(test1[[#This Row],[Created]])</f>
        <v>42761</v>
      </c>
    </row>
    <row r="80" spans="1:1" x14ac:dyDescent="0.25">
      <c r="A80" s="84">
        <f>INT(test1[[#This Row],[Created]])</f>
        <v>42761</v>
      </c>
    </row>
    <row r="81" spans="1:1" x14ac:dyDescent="0.25">
      <c r="A81" s="84">
        <f>INT(test1[[#This Row],[Created]])</f>
        <v>42761</v>
      </c>
    </row>
    <row r="82" spans="1:1" x14ac:dyDescent="0.25">
      <c r="A82" s="84">
        <f>INT(test1[[#This Row],[Created]])</f>
        <v>42763</v>
      </c>
    </row>
    <row r="83" spans="1:1" x14ac:dyDescent="0.25">
      <c r="A83" s="84">
        <f>INT(test1[[#This Row],[Created]])</f>
        <v>42763</v>
      </c>
    </row>
    <row r="84" spans="1:1" x14ac:dyDescent="0.25">
      <c r="A84" s="84">
        <f>INT(test1[[#This Row],[Created]])</f>
        <v>42764</v>
      </c>
    </row>
    <row r="85" spans="1:1" x14ac:dyDescent="0.25">
      <c r="A85" s="84">
        <f>INT(test1[[#This Row],[Created]])</f>
        <v>42764</v>
      </c>
    </row>
    <row r="86" spans="1:1" x14ac:dyDescent="0.25">
      <c r="A86" s="84">
        <f>INT(test1[[#This Row],[Created]])</f>
        <v>42766</v>
      </c>
    </row>
    <row r="87" spans="1:1" x14ac:dyDescent="0.25">
      <c r="A87" s="84">
        <f>INT(test1[[#This Row],[Created]])</f>
        <v>42766</v>
      </c>
    </row>
    <row r="88" spans="1:1" x14ac:dyDescent="0.25">
      <c r="A88" s="84">
        <f>INT(test1[[#This Row],[Created]])</f>
        <v>42766</v>
      </c>
    </row>
    <row r="89" spans="1:1" x14ac:dyDescent="0.25">
      <c r="A89" s="84">
        <f>INT(test1[[#This Row],[Created]])</f>
        <v>42766</v>
      </c>
    </row>
    <row r="90" spans="1:1" x14ac:dyDescent="0.25">
      <c r="A90" s="84">
        <f>INT(test1[[#This Row],[Created]])</f>
        <v>42766</v>
      </c>
    </row>
    <row r="91" spans="1:1" x14ac:dyDescent="0.25">
      <c r="A91" s="84">
        <f>INT(test1[[#This Row],[Created]])</f>
        <v>42766</v>
      </c>
    </row>
    <row r="92" spans="1:1" x14ac:dyDescent="0.25">
      <c r="A92" s="84">
        <f>INT(test1[[#This Row],[Created]])</f>
        <v>42766</v>
      </c>
    </row>
    <row r="93" spans="1:1" x14ac:dyDescent="0.25">
      <c r="A93" s="84">
        <f>INT(test1[[#This Row],[Created]])</f>
        <v>42766</v>
      </c>
    </row>
    <row r="94" spans="1:1" x14ac:dyDescent="0.25">
      <c r="A94" s="84">
        <f>INT(test1[[#This Row],[Created]])</f>
        <v>42766</v>
      </c>
    </row>
    <row r="95" spans="1:1" x14ac:dyDescent="0.25">
      <c r="A95" s="84">
        <f>INT(test1[[#This Row],[Created]])</f>
        <v>42766</v>
      </c>
    </row>
    <row r="96" spans="1:1" x14ac:dyDescent="0.25">
      <c r="A96" s="84">
        <f>INT(test1[[#This Row],[Created]])</f>
        <v>42767</v>
      </c>
    </row>
    <row r="97" spans="1:1" x14ac:dyDescent="0.25">
      <c r="A97" s="84">
        <f>INT(test1[[#This Row],[Created]])</f>
        <v>42767</v>
      </c>
    </row>
    <row r="98" spans="1:1" x14ac:dyDescent="0.25">
      <c r="A98" s="84">
        <f>INT(test1[[#This Row],[Created]])</f>
        <v>42768</v>
      </c>
    </row>
    <row r="99" spans="1:1" x14ac:dyDescent="0.25">
      <c r="A99" s="84">
        <f>INT(test1[[#This Row],[Created]])</f>
        <v>42769</v>
      </c>
    </row>
    <row r="100" spans="1:1" x14ac:dyDescent="0.25">
      <c r="A100" s="84">
        <f>INT(test1[[#This Row],[Created]])</f>
        <v>42769</v>
      </c>
    </row>
    <row r="101" spans="1:1" x14ac:dyDescent="0.25">
      <c r="A101" s="84">
        <f>INT(test1[[#This Row],[Created]])</f>
        <v>42769</v>
      </c>
    </row>
    <row r="102" spans="1:1" x14ac:dyDescent="0.25">
      <c r="A102" s="84">
        <f>INT(test1[[#This Row],[Created]])</f>
        <v>42769</v>
      </c>
    </row>
    <row r="103" spans="1:1" x14ac:dyDescent="0.25">
      <c r="A103" s="84">
        <f>INT(test1[[#This Row],[Created]])</f>
        <v>42769</v>
      </c>
    </row>
    <row r="104" spans="1:1" x14ac:dyDescent="0.25">
      <c r="A104" s="84">
        <f>INT(test1[[#This Row],[Created]])</f>
        <v>42769</v>
      </c>
    </row>
    <row r="105" spans="1:1" x14ac:dyDescent="0.25">
      <c r="A105" s="84">
        <f>INT(test1[[#This Row],[Created]])</f>
        <v>42769</v>
      </c>
    </row>
    <row r="106" spans="1:1" x14ac:dyDescent="0.25">
      <c r="A106" s="84">
        <f>INT(test1[[#This Row],[Created]])</f>
        <v>42770</v>
      </c>
    </row>
    <row r="107" spans="1:1" x14ac:dyDescent="0.25">
      <c r="A107" s="84">
        <f>INT(test1[[#This Row],[Created]])</f>
        <v>42771</v>
      </c>
    </row>
    <row r="108" spans="1:1" x14ac:dyDescent="0.25">
      <c r="A108" s="84">
        <f>INT(test1[[#This Row],[Created]])</f>
        <v>42771</v>
      </c>
    </row>
    <row r="109" spans="1:1" x14ac:dyDescent="0.25">
      <c r="A109" s="84">
        <f>INT(test1[[#This Row],[Created]])</f>
        <v>42771</v>
      </c>
    </row>
    <row r="110" spans="1:1" x14ac:dyDescent="0.25">
      <c r="A110" s="84">
        <f>INT(test1[[#This Row],[Created]])</f>
        <v>42771</v>
      </c>
    </row>
    <row r="111" spans="1:1" x14ac:dyDescent="0.25">
      <c r="A111" s="84">
        <f>INT(test1[[#This Row],[Created]])</f>
        <v>42771</v>
      </c>
    </row>
    <row r="112" spans="1:1" x14ac:dyDescent="0.25">
      <c r="A112" s="84">
        <f>INT(test1[[#This Row],[Created]])</f>
        <v>42772</v>
      </c>
    </row>
    <row r="113" spans="1:1" x14ac:dyDescent="0.25">
      <c r="A113" s="84">
        <f>INT(test1[[#This Row],[Created]])</f>
        <v>42772</v>
      </c>
    </row>
    <row r="114" spans="1:1" x14ac:dyDescent="0.25">
      <c r="A114" s="84">
        <f>INT(test1[[#This Row],[Created]])</f>
        <v>42772</v>
      </c>
    </row>
    <row r="115" spans="1:1" x14ac:dyDescent="0.25">
      <c r="A115" s="84">
        <f>INT(test1[[#This Row],[Created]])</f>
        <v>42772</v>
      </c>
    </row>
    <row r="116" spans="1:1" x14ac:dyDescent="0.25">
      <c r="A116" s="84">
        <f>INT(test1[[#This Row],[Created]])</f>
        <v>42772</v>
      </c>
    </row>
    <row r="117" spans="1:1" x14ac:dyDescent="0.25">
      <c r="A117" s="84">
        <f>INT(test1[[#This Row],[Created]])</f>
        <v>42772</v>
      </c>
    </row>
    <row r="118" spans="1:1" x14ac:dyDescent="0.25">
      <c r="A118" s="84">
        <f>INT(test1[[#This Row],[Created]])</f>
        <v>42772</v>
      </c>
    </row>
    <row r="119" spans="1:1" x14ac:dyDescent="0.25">
      <c r="A119" s="84">
        <f>INT(test1[[#This Row],[Created]])</f>
        <v>42772</v>
      </c>
    </row>
    <row r="120" spans="1:1" x14ac:dyDescent="0.25">
      <c r="A120" s="84">
        <f>INT(test1[[#This Row],[Created]])</f>
        <v>42772</v>
      </c>
    </row>
    <row r="121" spans="1:1" x14ac:dyDescent="0.25">
      <c r="A121" s="84">
        <f>INT(test1[[#This Row],[Created]])</f>
        <v>42772</v>
      </c>
    </row>
    <row r="122" spans="1:1" x14ac:dyDescent="0.25">
      <c r="A122" s="84">
        <f>INT(test1[[#This Row],[Created]])</f>
        <v>42772</v>
      </c>
    </row>
    <row r="123" spans="1:1" x14ac:dyDescent="0.25">
      <c r="A123" s="84">
        <f>INT(test1[[#This Row],[Created]])</f>
        <v>42772</v>
      </c>
    </row>
    <row r="124" spans="1:1" x14ac:dyDescent="0.25">
      <c r="A124" s="84">
        <f>INT(test1[[#This Row],[Created]])</f>
        <v>42772</v>
      </c>
    </row>
    <row r="125" spans="1:1" x14ac:dyDescent="0.25">
      <c r="A125" s="84">
        <f>INT(test1[[#This Row],[Created]])</f>
        <v>42772</v>
      </c>
    </row>
    <row r="126" spans="1:1" x14ac:dyDescent="0.25">
      <c r="A126" s="84">
        <f>INT(test1[[#This Row],[Created]])</f>
        <v>42772</v>
      </c>
    </row>
    <row r="127" spans="1:1" x14ac:dyDescent="0.25">
      <c r="A127" s="84">
        <f>INT(test1[[#This Row],[Created]])</f>
        <v>42772</v>
      </c>
    </row>
    <row r="128" spans="1:1" x14ac:dyDescent="0.25">
      <c r="A128" s="84">
        <f>INT(test1[[#This Row],[Created]])</f>
        <v>42772</v>
      </c>
    </row>
    <row r="129" spans="1:1" x14ac:dyDescent="0.25">
      <c r="A129" s="84">
        <f>INT(test1[[#This Row],[Created]])</f>
        <v>42772</v>
      </c>
    </row>
    <row r="130" spans="1:1" x14ac:dyDescent="0.25">
      <c r="A130" s="84">
        <f>INT(test1[[#This Row],[Created]])</f>
        <v>42772</v>
      </c>
    </row>
    <row r="131" spans="1:1" x14ac:dyDescent="0.25">
      <c r="A131" s="84">
        <f>INT(test1[[#This Row],[Created]])</f>
        <v>42772</v>
      </c>
    </row>
    <row r="132" spans="1:1" x14ac:dyDescent="0.25">
      <c r="A132" s="84">
        <f>INT(test1[[#This Row],[Created]])</f>
        <v>42772</v>
      </c>
    </row>
    <row r="133" spans="1:1" x14ac:dyDescent="0.25">
      <c r="A133" s="84">
        <f>INT(test1[[#This Row],[Created]])</f>
        <v>42773</v>
      </c>
    </row>
    <row r="134" spans="1:1" x14ac:dyDescent="0.25">
      <c r="A134" s="84">
        <f>INT(test1[[#This Row],[Created]])</f>
        <v>42773</v>
      </c>
    </row>
    <row r="135" spans="1:1" x14ac:dyDescent="0.25">
      <c r="A135" s="84">
        <f>INT(test1[[#This Row],[Created]])</f>
        <v>42773</v>
      </c>
    </row>
    <row r="136" spans="1:1" x14ac:dyDescent="0.25">
      <c r="A136" s="84">
        <f>INT(test1[[#This Row],[Created]])</f>
        <v>42773</v>
      </c>
    </row>
    <row r="137" spans="1:1" x14ac:dyDescent="0.25">
      <c r="A137" s="84">
        <f>INT(test1[[#This Row],[Created]])</f>
        <v>42773</v>
      </c>
    </row>
    <row r="138" spans="1:1" x14ac:dyDescent="0.25">
      <c r="A138" s="84">
        <f>INT(test1[[#This Row],[Created]])</f>
        <v>42773</v>
      </c>
    </row>
    <row r="139" spans="1:1" x14ac:dyDescent="0.25">
      <c r="A139" s="84">
        <f>INT(test1[[#This Row],[Created]])</f>
        <v>42773</v>
      </c>
    </row>
    <row r="140" spans="1:1" x14ac:dyDescent="0.25">
      <c r="A140" s="84">
        <f>INT(test1[[#This Row],[Created]])</f>
        <v>42773</v>
      </c>
    </row>
    <row r="141" spans="1:1" x14ac:dyDescent="0.25">
      <c r="A141" s="84">
        <f>INT(test1[[#This Row],[Created]])</f>
        <v>42773</v>
      </c>
    </row>
    <row r="142" spans="1:1" x14ac:dyDescent="0.25">
      <c r="A142" s="84">
        <f>INT(test1[[#This Row],[Created]])</f>
        <v>42773</v>
      </c>
    </row>
    <row r="143" spans="1:1" x14ac:dyDescent="0.25">
      <c r="A143" s="84">
        <f>INT(test1[[#This Row],[Created]])</f>
        <v>42773</v>
      </c>
    </row>
    <row r="144" spans="1:1" x14ac:dyDescent="0.25">
      <c r="A144" s="84">
        <f>INT(test1[[#This Row],[Created]])</f>
        <v>42774</v>
      </c>
    </row>
    <row r="145" spans="1:1" x14ac:dyDescent="0.25">
      <c r="A145" s="84">
        <f>INT(test1[[#This Row],[Created]])</f>
        <v>42774</v>
      </c>
    </row>
    <row r="146" spans="1:1" x14ac:dyDescent="0.25">
      <c r="A146" s="84">
        <f>INT(test1[[#This Row],[Created]])</f>
        <v>42774</v>
      </c>
    </row>
    <row r="147" spans="1:1" x14ac:dyDescent="0.25">
      <c r="A147" s="84">
        <f>INT(test1[[#This Row],[Created]])</f>
        <v>42774</v>
      </c>
    </row>
    <row r="148" spans="1:1" x14ac:dyDescent="0.25">
      <c r="A148" s="84">
        <f>INT(test1[[#This Row],[Created]])</f>
        <v>42774</v>
      </c>
    </row>
    <row r="149" spans="1:1" x14ac:dyDescent="0.25">
      <c r="A149" s="84">
        <f>INT(test1[[#This Row],[Created]])</f>
        <v>42774</v>
      </c>
    </row>
    <row r="150" spans="1:1" x14ac:dyDescent="0.25">
      <c r="A150" s="84">
        <f>INT(test1[[#This Row],[Created]])</f>
        <v>42774</v>
      </c>
    </row>
    <row r="151" spans="1:1" x14ac:dyDescent="0.25">
      <c r="A151" s="84">
        <f>INT(test1[[#This Row],[Created]])</f>
        <v>42775</v>
      </c>
    </row>
    <row r="152" spans="1:1" x14ac:dyDescent="0.25">
      <c r="A152" s="84">
        <f>INT(test1[[#This Row],[Created]])</f>
        <v>42775</v>
      </c>
    </row>
    <row r="153" spans="1:1" x14ac:dyDescent="0.25">
      <c r="A153" s="84">
        <f>INT(test1[[#This Row],[Created]])</f>
        <v>42775</v>
      </c>
    </row>
    <row r="154" spans="1:1" x14ac:dyDescent="0.25">
      <c r="A154" s="84">
        <f>INT(test1[[#This Row],[Created]])</f>
        <v>42775</v>
      </c>
    </row>
    <row r="155" spans="1:1" x14ac:dyDescent="0.25">
      <c r="A155" s="84">
        <f>INT(test1[[#This Row],[Created]])</f>
        <v>42775</v>
      </c>
    </row>
    <row r="156" spans="1:1" x14ac:dyDescent="0.25">
      <c r="A156" s="84">
        <f>INT(test1[[#This Row],[Created]])</f>
        <v>42775</v>
      </c>
    </row>
    <row r="157" spans="1:1" x14ac:dyDescent="0.25">
      <c r="A157" s="84">
        <f>INT(test1[[#This Row],[Created]])</f>
        <v>42775</v>
      </c>
    </row>
    <row r="158" spans="1:1" x14ac:dyDescent="0.25">
      <c r="A158" s="84">
        <f>INT(test1[[#This Row],[Created]])</f>
        <v>42775</v>
      </c>
    </row>
    <row r="159" spans="1:1" x14ac:dyDescent="0.25">
      <c r="A159" s="84">
        <f>INT(test1[[#This Row],[Created]])</f>
        <v>42775</v>
      </c>
    </row>
    <row r="160" spans="1:1" x14ac:dyDescent="0.25">
      <c r="A160" s="84">
        <f>INT(test1[[#This Row],[Created]])</f>
        <v>42775</v>
      </c>
    </row>
    <row r="161" spans="1:1" x14ac:dyDescent="0.25">
      <c r="A161" s="84">
        <f>INT(test1[[#This Row],[Created]])</f>
        <v>42775</v>
      </c>
    </row>
    <row r="162" spans="1:1" x14ac:dyDescent="0.25">
      <c r="A162" s="84">
        <f>INT(test1[[#This Row],[Created]])</f>
        <v>42775</v>
      </c>
    </row>
    <row r="163" spans="1:1" x14ac:dyDescent="0.25">
      <c r="A163" s="84">
        <f>INT(test1[[#This Row],[Created]])</f>
        <v>42775</v>
      </c>
    </row>
    <row r="164" spans="1:1" x14ac:dyDescent="0.25">
      <c r="A164" s="84">
        <f>INT(test1[[#This Row],[Created]])</f>
        <v>42775</v>
      </c>
    </row>
    <row r="165" spans="1:1" x14ac:dyDescent="0.25">
      <c r="A165" s="84">
        <f>INT(test1[[#This Row],[Created]])</f>
        <v>42775</v>
      </c>
    </row>
    <row r="166" spans="1:1" x14ac:dyDescent="0.25">
      <c r="A166" s="84">
        <f>INT(test1[[#This Row],[Created]])</f>
        <v>42775</v>
      </c>
    </row>
    <row r="167" spans="1:1" x14ac:dyDescent="0.25">
      <c r="A167" s="84">
        <f>INT(test1[[#This Row],[Created]])</f>
        <v>42775</v>
      </c>
    </row>
    <row r="168" spans="1:1" x14ac:dyDescent="0.25">
      <c r="A168" s="84">
        <f>INT(test1[[#This Row],[Created]])</f>
        <v>42775</v>
      </c>
    </row>
    <row r="169" spans="1:1" x14ac:dyDescent="0.25">
      <c r="A169" s="84">
        <f>INT(test1[[#This Row],[Created]])</f>
        <v>42775</v>
      </c>
    </row>
    <row r="170" spans="1:1" x14ac:dyDescent="0.25">
      <c r="A170" s="84">
        <f>INT(test1[[#This Row],[Created]])</f>
        <v>42775</v>
      </c>
    </row>
    <row r="171" spans="1:1" x14ac:dyDescent="0.25">
      <c r="A171" s="84">
        <f>INT(test1[[#This Row],[Created]])</f>
        <v>42776</v>
      </c>
    </row>
    <row r="172" spans="1:1" x14ac:dyDescent="0.25">
      <c r="A172" s="84">
        <f>INT(test1[[#This Row],[Created]])</f>
        <v>42776</v>
      </c>
    </row>
    <row r="173" spans="1:1" x14ac:dyDescent="0.25">
      <c r="A173" s="84">
        <f>INT(test1[[#This Row],[Created]])</f>
        <v>42776</v>
      </c>
    </row>
    <row r="174" spans="1:1" x14ac:dyDescent="0.25">
      <c r="A174" s="84">
        <f>INT(test1[[#This Row],[Created]])</f>
        <v>42776</v>
      </c>
    </row>
    <row r="175" spans="1:1" x14ac:dyDescent="0.25">
      <c r="A175" s="84">
        <f>INT(test1[[#This Row],[Created]])</f>
        <v>42776</v>
      </c>
    </row>
    <row r="176" spans="1:1" x14ac:dyDescent="0.25">
      <c r="A176" s="84">
        <f>INT(test1[[#This Row],[Created]])</f>
        <v>42776</v>
      </c>
    </row>
    <row r="177" spans="1:1" x14ac:dyDescent="0.25">
      <c r="A177" s="84">
        <f>INT(test1[[#This Row],[Created]])</f>
        <v>42776</v>
      </c>
    </row>
    <row r="178" spans="1:1" x14ac:dyDescent="0.25">
      <c r="A178" s="84">
        <f>INT(test1[[#This Row],[Created]])</f>
        <v>42776</v>
      </c>
    </row>
    <row r="179" spans="1:1" x14ac:dyDescent="0.25">
      <c r="A179" s="84">
        <f>INT(test1[[#This Row],[Created]])</f>
        <v>42776</v>
      </c>
    </row>
    <row r="180" spans="1:1" x14ac:dyDescent="0.25">
      <c r="A180" s="84">
        <f>INT(test1[[#This Row],[Created]])</f>
        <v>42776</v>
      </c>
    </row>
    <row r="181" spans="1:1" x14ac:dyDescent="0.25">
      <c r="A181" s="84">
        <f>INT(test1[[#This Row],[Created]])</f>
        <v>42776</v>
      </c>
    </row>
    <row r="182" spans="1:1" x14ac:dyDescent="0.25">
      <c r="A182" s="84">
        <f>INT(test1[[#This Row],[Created]])</f>
        <v>42776</v>
      </c>
    </row>
    <row r="183" spans="1:1" x14ac:dyDescent="0.25">
      <c r="A183" s="84">
        <f>INT(test1[[#This Row],[Created]])</f>
        <v>42776</v>
      </c>
    </row>
    <row r="184" spans="1:1" x14ac:dyDescent="0.25">
      <c r="A184" s="84">
        <f>INT(test1[[#This Row],[Created]])</f>
        <v>42776</v>
      </c>
    </row>
    <row r="185" spans="1:1" x14ac:dyDescent="0.25">
      <c r="A185" s="84">
        <f>INT(test1[[#This Row],[Created]])</f>
        <v>42776</v>
      </c>
    </row>
    <row r="186" spans="1:1" x14ac:dyDescent="0.25">
      <c r="A186" s="84">
        <f>INT(test1[[#This Row],[Created]])</f>
        <v>42777</v>
      </c>
    </row>
    <row r="187" spans="1:1" x14ac:dyDescent="0.25">
      <c r="A187" s="84">
        <f>INT(test1[[#This Row],[Created]])</f>
        <v>42777</v>
      </c>
    </row>
    <row r="188" spans="1:1" x14ac:dyDescent="0.25">
      <c r="A188" s="84">
        <f>INT(test1[[#This Row],[Created]])</f>
        <v>42777</v>
      </c>
    </row>
    <row r="189" spans="1:1" x14ac:dyDescent="0.25">
      <c r="A189" s="84">
        <f>INT(test1[[#This Row],[Created]])</f>
        <v>42778</v>
      </c>
    </row>
    <row r="190" spans="1:1" x14ac:dyDescent="0.25">
      <c r="A190" s="84">
        <f>INT(test1[[#This Row],[Created]])</f>
        <v>42778</v>
      </c>
    </row>
    <row r="191" spans="1:1" x14ac:dyDescent="0.25">
      <c r="A191" s="84">
        <f>INT(test1[[#This Row],[Created]])</f>
        <v>42778</v>
      </c>
    </row>
    <row r="192" spans="1:1" x14ac:dyDescent="0.25">
      <c r="A192" s="84">
        <f>INT(test1[[#This Row],[Created]])</f>
        <v>42779</v>
      </c>
    </row>
    <row r="193" spans="1:1" x14ac:dyDescent="0.25">
      <c r="A193" s="84">
        <f>INT(test1[[#This Row],[Created]])</f>
        <v>42779</v>
      </c>
    </row>
    <row r="194" spans="1:1" x14ac:dyDescent="0.25">
      <c r="A194" s="84">
        <f>INT(test1[[#This Row],[Created]])</f>
        <v>42779</v>
      </c>
    </row>
    <row r="195" spans="1:1" x14ac:dyDescent="0.25">
      <c r="A195" s="84">
        <f>INT(test1[[#This Row],[Created]])</f>
        <v>42779</v>
      </c>
    </row>
    <row r="196" spans="1:1" x14ac:dyDescent="0.25">
      <c r="A196" s="84">
        <f>INT(test1[[#This Row],[Created]])</f>
        <v>42779</v>
      </c>
    </row>
    <row r="197" spans="1:1" x14ac:dyDescent="0.25">
      <c r="A197" s="84">
        <f>INT(test1[[#This Row],[Created]])</f>
        <v>42779</v>
      </c>
    </row>
    <row r="198" spans="1:1" x14ac:dyDescent="0.25">
      <c r="A198" s="84">
        <f>INT(test1[[#This Row],[Created]])</f>
        <v>42779</v>
      </c>
    </row>
    <row r="199" spans="1:1" x14ac:dyDescent="0.25">
      <c r="A199" s="84">
        <f>INT(test1[[#This Row],[Created]])</f>
        <v>42779</v>
      </c>
    </row>
    <row r="200" spans="1:1" x14ac:dyDescent="0.25">
      <c r="A200" s="84">
        <f>INT(test1[[#This Row],[Created]])</f>
        <v>42779</v>
      </c>
    </row>
    <row r="201" spans="1:1" x14ac:dyDescent="0.25">
      <c r="A201" s="84">
        <f>INT(test1[[#This Row],[Created]])</f>
        <v>42779</v>
      </c>
    </row>
    <row r="202" spans="1:1" x14ac:dyDescent="0.25">
      <c r="A202" s="84">
        <f>INT(test1[[#This Row],[Created]])</f>
        <v>42779</v>
      </c>
    </row>
    <row r="203" spans="1:1" x14ac:dyDescent="0.25">
      <c r="A203" s="84">
        <f>INT(test1[[#This Row],[Created]])</f>
        <v>42779</v>
      </c>
    </row>
    <row r="204" spans="1:1" x14ac:dyDescent="0.25">
      <c r="A204" s="84">
        <f>INT(test1[[#This Row],[Created]])</f>
        <v>42779</v>
      </c>
    </row>
    <row r="205" spans="1:1" x14ac:dyDescent="0.25">
      <c r="A205" s="84">
        <f>INT(test1[[#This Row],[Created]])</f>
        <v>42779</v>
      </c>
    </row>
    <row r="206" spans="1:1" x14ac:dyDescent="0.25">
      <c r="A206" s="84">
        <f>INT(test1[[#This Row],[Created]])</f>
        <v>42779</v>
      </c>
    </row>
    <row r="207" spans="1:1" x14ac:dyDescent="0.25">
      <c r="A207" s="84">
        <f>INT(test1[[#This Row],[Created]])</f>
        <v>42779</v>
      </c>
    </row>
    <row r="208" spans="1:1" x14ac:dyDescent="0.25">
      <c r="A208" s="84">
        <f>INT(test1[[#This Row],[Created]])</f>
        <v>42780</v>
      </c>
    </row>
    <row r="209" spans="1:1" x14ac:dyDescent="0.25">
      <c r="A209" s="84">
        <f>INT(test1[[#This Row],[Created]])</f>
        <v>42780</v>
      </c>
    </row>
    <row r="210" spans="1:1" x14ac:dyDescent="0.25">
      <c r="A210" s="84">
        <f>INT(test1[[#This Row],[Created]])</f>
        <v>42780</v>
      </c>
    </row>
    <row r="211" spans="1:1" x14ac:dyDescent="0.25">
      <c r="A211" s="84">
        <f>INT(test1[[#This Row],[Created]])</f>
        <v>42780</v>
      </c>
    </row>
    <row r="212" spans="1:1" x14ac:dyDescent="0.25">
      <c r="A212" s="84">
        <f>INT(test1[[#This Row],[Created]])</f>
        <v>42780</v>
      </c>
    </row>
    <row r="213" spans="1:1" x14ac:dyDescent="0.25">
      <c r="A213" s="84">
        <f>INT(test1[[#This Row],[Created]])</f>
        <v>42780</v>
      </c>
    </row>
    <row r="214" spans="1:1" x14ac:dyDescent="0.25">
      <c r="A214" s="84">
        <f>INT(test1[[#This Row],[Created]])</f>
        <v>42780</v>
      </c>
    </row>
    <row r="215" spans="1:1" x14ac:dyDescent="0.25">
      <c r="A215" s="84">
        <f>INT(test1[[#This Row],[Created]])</f>
        <v>42780</v>
      </c>
    </row>
    <row r="216" spans="1:1" x14ac:dyDescent="0.25">
      <c r="A216" s="84">
        <f>INT(test1[[#This Row],[Created]])</f>
        <v>42780</v>
      </c>
    </row>
    <row r="217" spans="1:1" x14ac:dyDescent="0.25">
      <c r="A217" s="84">
        <f>INT(test1[[#This Row],[Created]])</f>
        <v>42780</v>
      </c>
    </row>
    <row r="218" spans="1:1" x14ac:dyDescent="0.25">
      <c r="A218" s="84">
        <f>INT(test1[[#This Row],[Created]])</f>
        <v>42780</v>
      </c>
    </row>
    <row r="219" spans="1:1" x14ac:dyDescent="0.25">
      <c r="A219" s="84">
        <f>INT(test1[[#This Row],[Created]])</f>
        <v>42780</v>
      </c>
    </row>
    <row r="220" spans="1:1" x14ac:dyDescent="0.25">
      <c r="A220" s="84">
        <f>INT(test1[[#This Row],[Created]])</f>
        <v>42780</v>
      </c>
    </row>
    <row r="221" spans="1:1" x14ac:dyDescent="0.25">
      <c r="A221" s="84">
        <f>INT(test1[[#This Row],[Created]])</f>
        <v>42780</v>
      </c>
    </row>
    <row r="222" spans="1:1" x14ac:dyDescent="0.25">
      <c r="A222" s="84">
        <f>INT(test1[[#This Row],[Created]])</f>
        <v>42780</v>
      </c>
    </row>
    <row r="223" spans="1:1" x14ac:dyDescent="0.25">
      <c r="A223" s="84">
        <f>INT(test1[[#This Row],[Created]])</f>
        <v>42780</v>
      </c>
    </row>
    <row r="224" spans="1:1" x14ac:dyDescent="0.25">
      <c r="A224" s="84">
        <f>INT(test1[[#This Row],[Created]])</f>
        <v>42780</v>
      </c>
    </row>
    <row r="225" spans="1:1" x14ac:dyDescent="0.25">
      <c r="A225" s="84">
        <f>INT(test1[[#This Row],[Created]])</f>
        <v>42780</v>
      </c>
    </row>
    <row r="226" spans="1:1" x14ac:dyDescent="0.25">
      <c r="A226" s="84">
        <f>INT(test1[[#This Row],[Created]])</f>
        <v>42780</v>
      </c>
    </row>
    <row r="227" spans="1:1" x14ac:dyDescent="0.25">
      <c r="A227" s="84">
        <f>INT(test1[[#This Row],[Created]])</f>
        <v>42780</v>
      </c>
    </row>
    <row r="228" spans="1:1" x14ac:dyDescent="0.25">
      <c r="A228" s="84">
        <f>INT(test1[[#This Row],[Created]])</f>
        <v>42780</v>
      </c>
    </row>
    <row r="229" spans="1:1" x14ac:dyDescent="0.25">
      <c r="A229" s="84">
        <f>INT(test1[[#This Row],[Created]])</f>
        <v>42780</v>
      </c>
    </row>
    <row r="230" spans="1:1" x14ac:dyDescent="0.25">
      <c r="A230" s="84">
        <f>INT(test1[[#This Row],[Created]])</f>
        <v>42781</v>
      </c>
    </row>
    <row r="231" spans="1:1" x14ac:dyDescent="0.25">
      <c r="A231" s="84">
        <f>INT(test1[[#This Row],[Created]])</f>
        <v>42781</v>
      </c>
    </row>
    <row r="232" spans="1:1" x14ac:dyDescent="0.25">
      <c r="A232" s="84">
        <f>INT(test1[[#This Row],[Created]])</f>
        <v>42781</v>
      </c>
    </row>
    <row r="233" spans="1:1" x14ac:dyDescent="0.25">
      <c r="A233" s="84">
        <f>INT(test1[[#This Row],[Created]])</f>
        <v>42781</v>
      </c>
    </row>
    <row r="234" spans="1:1" x14ac:dyDescent="0.25">
      <c r="A234" s="84">
        <f>INT(test1[[#This Row],[Created]])</f>
        <v>42781</v>
      </c>
    </row>
    <row r="235" spans="1:1" x14ac:dyDescent="0.25">
      <c r="A235" s="84">
        <f>INT(test1[[#This Row],[Created]])</f>
        <v>42781</v>
      </c>
    </row>
    <row r="236" spans="1:1" x14ac:dyDescent="0.25">
      <c r="A236" s="84">
        <f>INT(test1[[#This Row],[Created]])</f>
        <v>42781</v>
      </c>
    </row>
    <row r="237" spans="1:1" x14ac:dyDescent="0.25">
      <c r="A237" s="84">
        <f>INT(test1[[#This Row],[Created]])</f>
        <v>42781</v>
      </c>
    </row>
    <row r="238" spans="1:1" x14ac:dyDescent="0.25">
      <c r="A238" s="84">
        <f>INT(test1[[#This Row],[Created]])</f>
        <v>42781</v>
      </c>
    </row>
    <row r="239" spans="1:1" x14ac:dyDescent="0.25">
      <c r="A239" s="84">
        <f>INT(test1[[#This Row],[Created]])</f>
        <v>42781</v>
      </c>
    </row>
    <row r="240" spans="1:1" x14ac:dyDescent="0.25">
      <c r="A240" s="84">
        <f>INT(test1[[#This Row],[Created]])</f>
        <v>42781</v>
      </c>
    </row>
    <row r="241" spans="1:1" x14ac:dyDescent="0.25">
      <c r="A241" s="84">
        <f>INT(test1[[#This Row],[Created]])</f>
        <v>42782</v>
      </c>
    </row>
    <row r="242" spans="1:1" x14ac:dyDescent="0.25">
      <c r="A242" s="84">
        <f>INT(test1[[#This Row],[Created]])</f>
        <v>42782</v>
      </c>
    </row>
    <row r="243" spans="1:1" x14ac:dyDescent="0.25">
      <c r="A243" s="84">
        <f>INT(test1[[#This Row],[Created]])</f>
        <v>42782</v>
      </c>
    </row>
    <row r="244" spans="1:1" x14ac:dyDescent="0.25">
      <c r="A244" s="84">
        <f>INT(test1[[#This Row],[Created]])</f>
        <v>42782</v>
      </c>
    </row>
    <row r="245" spans="1:1" x14ac:dyDescent="0.25">
      <c r="A245" s="84">
        <f>INT(test1[[#This Row],[Created]])</f>
        <v>42782</v>
      </c>
    </row>
    <row r="246" spans="1:1" x14ac:dyDescent="0.25">
      <c r="A246" s="84">
        <f>INT(test1[[#This Row],[Created]])</f>
        <v>42782</v>
      </c>
    </row>
    <row r="247" spans="1:1" x14ac:dyDescent="0.25">
      <c r="A247" s="84">
        <f>INT(test1[[#This Row],[Created]])</f>
        <v>42782</v>
      </c>
    </row>
    <row r="248" spans="1:1" x14ac:dyDescent="0.25">
      <c r="A248" s="84">
        <f>INT(test1[[#This Row],[Created]])</f>
        <v>42782</v>
      </c>
    </row>
    <row r="249" spans="1:1" x14ac:dyDescent="0.25">
      <c r="A249" s="84">
        <f>INT(test1[[#This Row],[Created]])</f>
        <v>42782</v>
      </c>
    </row>
    <row r="250" spans="1:1" x14ac:dyDescent="0.25">
      <c r="A250" s="84">
        <f>INT(test1[[#This Row],[Created]])</f>
        <v>42783</v>
      </c>
    </row>
    <row r="251" spans="1:1" x14ac:dyDescent="0.25">
      <c r="A251" s="84">
        <f>INT(test1[[#This Row],[Created]])</f>
        <v>42783</v>
      </c>
    </row>
    <row r="252" spans="1:1" x14ac:dyDescent="0.25">
      <c r="A252" s="84">
        <f>INT(test1[[#This Row],[Created]])</f>
        <v>42783</v>
      </c>
    </row>
    <row r="253" spans="1:1" x14ac:dyDescent="0.25">
      <c r="A253" s="84">
        <f>INT(test1[[#This Row],[Created]])</f>
        <v>42783</v>
      </c>
    </row>
    <row r="254" spans="1:1" x14ac:dyDescent="0.25">
      <c r="A254" s="84">
        <f>INT(test1[[#This Row],[Created]])</f>
        <v>42783</v>
      </c>
    </row>
    <row r="255" spans="1:1" x14ac:dyDescent="0.25">
      <c r="A255" s="84">
        <f>INT(test1[[#This Row],[Created]])</f>
        <v>42783</v>
      </c>
    </row>
    <row r="256" spans="1:1" x14ac:dyDescent="0.25">
      <c r="A256" s="84">
        <f>INT(test1[[#This Row],[Created]])</f>
        <v>42783</v>
      </c>
    </row>
    <row r="257" spans="1:1" x14ac:dyDescent="0.25">
      <c r="A257" s="84">
        <f>INT(test1[[#This Row],[Created]])</f>
        <v>42783</v>
      </c>
    </row>
    <row r="258" spans="1:1" x14ac:dyDescent="0.25">
      <c r="A258" s="84">
        <f>INT(test1[[#This Row],[Created]])</f>
        <v>42786</v>
      </c>
    </row>
    <row r="259" spans="1:1" x14ac:dyDescent="0.25">
      <c r="A259" s="84">
        <f>INT(test1[[#This Row],[Created]])</f>
        <v>42786</v>
      </c>
    </row>
    <row r="260" spans="1:1" x14ac:dyDescent="0.25">
      <c r="A260" s="84">
        <f>INT(test1[[#This Row],[Created]])</f>
        <v>42786</v>
      </c>
    </row>
    <row r="261" spans="1:1" x14ac:dyDescent="0.25">
      <c r="A261" s="84">
        <f>INT(test1[[#This Row],[Created]])</f>
        <v>42786</v>
      </c>
    </row>
    <row r="262" spans="1:1" x14ac:dyDescent="0.25">
      <c r="A262" s="84">
        <f>INT(test1[[#This Row],[Created]])</f>
        <v>42786</v>
      </c>
    </row>
    <row r="263" spans="1:1" x14ac:dyDescent="0.25">
      <c r="A263" s="84">
        <f>INT(test1[[#This Row],[Created]])</f>
        <v>42786</v>
      </c>
    </row>
    <row r="264" spans="1:1" x14ac:dyDescent="0.25">
      <c r="A264" s="84">
        <f>INT(test1[[#This Row],[Created]])</f>
        <v>42786</v>
      </c>
    </row>
    <row r="265" spans="1:1" x14ac:dyDescent="0.25">
      <c r="A265" s="84">
        <f>INT(test1[[#This Row],[Created]])</f>
        <v>42786</v>
      </c>
    </row>
    <row r="266" spans="1:1" x14ac:dyDescent="0.25">
      <c r="A266" s="84">
        <f>INT(test1[[#This Row],[Created]])</f>
        <v>42786</v>
      </c>
    </row>
    <row r="267" spans="1:1" x14ac:dyDescent="0.25">
      <c r="A267" s="84">
        <f>INT(test1[[#This Row],[Created]])</f>
        <v>42786</v>
      </c>
    </row>
    <row r="268" spans="1:1" x14ac:dyDescent="0.25">
      <c r="A268" s="84">
        <f>INT(test1[[#This Row],[Created]])</f>
        <v>42786</v>
      </c>
    </row>
    <row r="269" spans="1:1" x14ac:dyDescent="0.25">
      <c r="A269" s="84">
        <f>INT(test1[[#This Row],[Created]])</f>
        <v>42786</v>
      </c>
    </row>
    <row r="270" spans="1:1" x14ac:dyDescent="0.25">
      <c r="A270" s="84">
        <f>INT(test1[[#This Row],[Created]])</f>
        <v>42786</v>
      </c>
    </row>
    <row r="271" spans="1:1" x14ac:dyDescent="0.25">
      <c r="A271" s="84">
        <f>INT(test1[[#This Row],[Created]])</f>
        <v>42787</v>
      </c>
    </row>
    <row r="272" spans="1:1" x14ac:dyDescent="0.25">
      <c r="A272" s="84">
        <f>INT(test1[[#This Row],[Created]])</f>
        <v>42787</v>
      </c>
    </row>
    <row r="273" spans="1:1" x14ac:dyDescent="0.25">
      <c r="A273" s="84">
        <f>INT(test1[[#This Row],[Created]])</f>
        <v>42787</v>
      </c>
    </row>
    <row r="274" spans="1:1" x14ac:dyDescent="0.25">
      <c r="A274" s="84">
        <f>INT(test1[[#This Row],[Created]])</f>
        <v>42787</v>
      </c>
    </row>
    <row r="275" spans="1:1" x14ac:dyDescent="0.25">
      <c r="A275" s="84">
        <f>INT(test1[[#This Row],[Created]])</f>
        <v>42787</v>
      </c>
    </row>
    <row r="276" spans="1:1" x14ac:dyDescent="0.25">
      <c r="A276" s="84">
        <f>INT(test1[[#This Row],[Created]])</f>
        <v>42787</v>
      </c>
    </row>
    <row r="277" spans="1:1" x14ac:dyDescent="0.25">
      <c r="A277" s="84">
        <f>INT(test1[[#This Row],[Created]])</f>
        <v>42787</v>
      </c>
    </row>
    <row r="278" spans="1:1" x14ac:dyDescent="0.25">
      <c r="A278" s="84">
        <f>INT(test1[[#This Row],[Created]])</f>
        <v>42787</v>
      </c>
    </row>
    <row r="279" spans="1:1" x14ac:dyDescent="0.25">
      <c r="A279" s="84">
        <f>INT(test1[[#This Row],[Created]])</f>
        <v>42787</v>
      </c>
    </row>
    <row r="280" spans="1:1" x14ac:dyDescent="0.25">
      <c r="A280" s="84">
        <f>INT(test1[[#This Row],[Created]])</f>
        <v>42787</v>
      </c>
    </row>
    <row r="281" spans="1:1" x14ac:dyDescent="0.25">
      <c r="A281" s="84">
        <f>INT(test1[[#This Row],[Created]])</f>
        <v>42787</v>
      </c>
    </row>
    <row r="282" spans="1:1" x14ac:dyDescent="0.25">
      <c r="A282" s="84">
        <f>INT(test1[[#This Row],[Created]])</f>
        <v>42788</v>
      </c>
    </row>
    <row r="283" spans="1:1" x14ac:dyDescent="0.25">
      <c r="A283" s="84">
        <f>INT(test1[[#This Row],[Created]])</f>
        <v>42788</v>
      </c>
    </row>
    <row r="284" spans="1:1" x14ac:dyDescent="0.25">
      <c r="A284" s="84">
        <f>INT(test1[[#This Row],[Created]])</f>
        <v>42788</v>
      </c>
    </row>
    <row r="285" spans="1:1" x14ac:dyDescent="0.25">
      <c r="A285" s="84">
        <f>INT(test1[[#This Row],[Created]])</f>
        <v>42788</v>
      </c>
    </row>
    <row r="286" spans="1:1" x14ac:dyDescent="0.25">
      <c r="A286" s="84">
        <f>INT(test1[[#This Row],[Created]])</f>
        <v>42788</v>
      </c>
    </row>
    <row r="287" spans="1:1" x14ac:dyDescent="0.25">
      <c r="A287" s="84">
        <f>INT(test1[[#This Row],[Created]])</f>
        <v>42788</v>
      </c>
    </row>
    <row r="288" spans="1:1" x14ac:dyDescent="0.25">
      <c r="A288" s="84">
        <f>INT(test1[[#This Row],[Created]])</f>
        <v>42788</v>
      </c>
    </row>
    <row r="289" spans="1:1" x14ac:dyDescent="0.25">
      <c r="A289" s="84">
        <f>INT(test1[[#This Row],[Created]])</f>
        <v>42788</v>
      </c>
    </row>
    <row r="290" spans="1:1" x14ac:dyDescent="0.25">
      <c r="A290" s="84">
        <f>INT(test1[[#This Row],[Created]])</f>
        <v>42788</v>
      </c>
    </row>
    <row r="291" spans="1:1" x14ac:dyDescent="0.25">
      <c r="A291" s="84">
        <f>INT(test1[[#This Row],[Created]])</f>
        <v>42788</v>
      </c>
    </row>
    <row r="292" spans="1:1" x14ac:dyDescent="0.25">
      <c r="A292" s="84">
        <f>INT(test1[[#This Row],[Created]])</f>
        <v>42789</v>
      </c>
    </row>
    <row r="293" spans="1:1" x14ac:dyDescent="0.25">
      <c r="A293" s="84">
        <f>INT(test1[[#This Row],[Created]])</f>
        <v>42789</v>
      </c>
    </row>
    <row r="294" spans="1:1" x14ac:dyDescent="0.25">
      <c r="A294" s="84">
        <f>INT(test1[[#This Row],[Created]])</f>
        <v>42789</v>
      </c>
    </row>
    <row r="295" spans="1:1" x14ac:dyDescent="0.25">
      <c r="A295" s="84">
        <f>INT(test1[[#This Row],[Created]])</f>
        <v>42789</v>
      </c>
    </row>
    <row r="296" spans="1:1" x14ac:dyDescent="0.25">
      <c r="A296" s="84">
        <f>INT(test1[[#This Row],[Created]])</f>
        <v>42789</v>
      </c>
    </row>
    <row r="297" spans="1:1" x14ac:dyDescent="0.25">
      <c r="A297" s="84">
        <f>INT(test1[[#This Row],[Created]])</f>
        <v>42789</v>
      </c>
    </row>
    <row r="298" spans="1:1" x14ac:dyDescent="0.25">
      <c r="A298" s="84">
        <f>INT(test1[[#This Row],[Created]])</f>
        <v>42789</v>
      </c>
    </row>
    <row r="299" spans="1:1" x14ac:dyDescent="0.25">
      <c r="A299" s="84">
        <f>INT(test1[[#This Row],[Created]])</f>
        <v>42790</v>
      </c>
    </row>
    <row r="300" spans="1:1" x14ac:dyDescent="0.25">
      <c r="A300" s="84">
        <f>INT(test1[[#This Row],[Created]])</f>
        <v>42790</v>
      </c>
    </row>
    <row r="301" spans="1:1" x14ac:dyDescent="0.25">
      <c r="A301" s="84">
        <f>INT(test1[[#This Row],[Created]])</f>
        <v>42790</v>
      </c>
    </row>
    <row r="302" spans="1:1" x14ac:dyDescent="0.25">
      <c r="A302" s="84">
        <f>INT(test1[[#This Row],[Created]])</f>
        <v>42790</v>
      </c>
    </row>
    <row r="303" spans="1:1" x14ac:dyDescent="0.25">
      <c r="A303" s="84">
        <f>INT(test1[[#This Row],[Created]])</f>
        <v>42790</v>
      </c>
    </row>
    <row r="304" spans="1:1" x14ac:dyDescent="0.25">
      <c r="A304" s="84">
        <f>INT(test1[[#This Row],[Created]])</f>
        <v>42790</v>
      </c>
    </row>
    <row r="305" spans="1:1" x14ac:dyDescent="0.25">
      <c r="A305" s="84">
        <f>INT(test1[[#This Row],[Created]])</f>
        <v>42790</v>
      </c>
    </row>
    <row r="306" spans="1:1" x14ac:dyDescent="0.25">
      <c r="A306" s="84">
        <f>INT(test1[[#This Row],[Created]])</f>
        <v>42791</v>
      </c>
    </row>
    <row r="307" spans="1:1" x14ac:dyDescent="0.25">
      <c r="A307" s="84">
        <f>INT(test1[[#This Row],[Created]])</f>
        <v>42793</v>
      </c>
    </row>
    <row r="308" spans="1:1" x14ac:dyDescent="0.25">
      <c r="A308" s="84">
        <f>INT(test1[[#This Row],[Created]])</f>
        <v>42794</v>
      </c>
    </row>
    <row r="309" spans="1:1" x14ac:dyDescent="0.25">
      <c r="A309" s="84">
        <f>INT(test1[[#This Row],[Created]])</f>
        <v>42794</v>
      </c>
    </row>
    <row r="310" spans="1:1" x14ac:dyDescent="0.25">
      <c r="A310" s="84">
        <f>INT(test1[[#This Row],[Created]])</f>
        <v>42794</v>
      </c>
    </row>
    <row r="311" spans="1:1" x14ac:dyDescent="0.25">
      <c r="A311" s="84">
        <f>INT(test1[[#This Row],[Created]])</f>
        <v>42794</v>
      </c>
    </row>
    <row r="312" spans="1:1" x14ac:dyDescent="0.25">
      <c r="A312" s="84">
        <f>INT(test1[[#This Row],[Created]])</f>
        <v>42795</v>
      </c>
    </row>
    <row r="313" spans="1:1" x14ac:dyDescent="0.25">
      <c r="A313" s="84">
        <f>INT(test1[[#This Row],[Created]])</f>
        <v>42795</v>
      </c>
    </row>
    <row r="314" spans="1:1" x14ac:dyDescent="0.25">
      <c r="A314" s="84">
        <f>INT(test1[[#This Row],[Created]])</f>
        <v>42795</v>
      </c>
    </row>
    <row r="315" spans="1:1" x14ac:dyDescent="0.25">
      <c r="A315" s="84">
        <f>INT(test1[[#This Row],[Created]])</f>
        <v>42796</v>
      </c>
    </row>
    <row r="316" spans="1:1" x14ac:dyDescent="0.25">
      <c r="A316" s="84">
        <f>INT(test1[[#This Row],[Created]])</f>
        <v>42796</v>
      </c>
    </row>
    <row r="317" spans="1:1" x14ac:dyDescent="0.25">
      <c r="A317" s="84">
        <f>INT(test1[[#This Row],[Created]])</f>
        <v>42796</v>
      </c>
    </row>
    <row r="318" spans="1:1" x14ac:dyDescent="0.25">
      <c r="A318" s="84">
        <f>INT(test1[[#This Row],[Created]])</f>
        <v>42796</v>
      </c>
    </row>
    <row r="319" spans="1:1" x14ac:dyDescent="0.25">
      <c r="A319" s="84">
        <f>INT(test1[[#This Row],[Created]])</f>
        <v>42796</v>
      </c>
    </row>
    <row r="320" spans="1:1" x14ac:dyDescent="0.25">
      <c r="A320" s="84">
        <f>INT(test1[[#This Row],[Created]])</f>
        <v>42796</v>
      </c>
    </row>
    <row r="321" spans="1:1" x14ac:dyDescent="0.25">
      <c r="A321" s="84">
        <f>INT(test1[[#This Row],[Created]])</f>
        <v>42796</v>
      </c>
    </row>
    <row r="322" spans="1:1" x14ac:dyDescent="0.25">
      <c r="A322" s="84">
        <f>INT(test1[[#This Row],[Created]])</f>
        <v>42797</v>
      </c>
    </row>
    <row r="323" spans="1:1" x14ac:dyDescent="0.25">
      <c r="A323" s="84">
        <f>INT(test1[[#This Row],[Created]])</f>
        <v>42797</v>
      </c>
    </row>
    <row r="324" spans="1:1" x14ac:dyDescent="0.25">
      <c r="A324" s="84">
        <f>INT(test1[[#This Row],[Created]])</f>
        <v>42797</v>
      </c>
    </row>
    <row r="325" spans="1:1" x14ac:dyDescent="0.25">
      <c r="A325" s="84">
        <f>INT(test1[[#This Row],[Created]])</f>
        <v>42797</v>
      </c>
    </row>
    <row r="326" spans="1:1" x14ac:dyDescent="0.25">
      <c r="A326" s="84">
        <f>INT(test1[[#This Row],[Created]])</f>
        <v>42800</v>
      </c>
    </row>
    <row r="327" spans="1:1" x14ac:dyDescent="0.25">
      <c r="A327" s="84">
        <f>INT(test1[[#This Row],[Created]])</f>
        <v>42800</v>
      </c>
    </row>
    <row r="328" spans="1:1" x14ac:dyDescent="0.25">
      <c r="A328" s="84">
        <f>INT(test1[[#This Row],[Created]])</f>
        <v>42800</v>
      </c>
    </row>
    <row r="329" spans="1:1" x14ac:dyDescent="0.25">
      <c r="A329" s="84">
        <f>INT(test1[[#This Row],[Created]])</f>
        <v>42800</v>
      </c>
    </row>
    <row r="330" spans="1:1" x14ac:dyDescent="0.25">
      <c r="A330" s="84">
        <f>INT(test1[[#This Row],[Created]])</f>
        <v>42800</v>
      </c>
    </row>
    <row r="331" spans="1:1" x14ac:dyDescent="0.25">
      <c r="A331" s="84">
        <f>INT(test1[[#This Row],[Created]])</f>
        <v>42800</v>
      </c>
    </row>
    <row r="332" spans="1:1" x14ac:dyDescent="0.25">
      <c r="A332" s="84">
        <f>INT(test1[[#This Row],[Created]])</f>
        <v>42800</v>
      </c>
    </row>
    <row r="333" spans="1:1" x14ac:dyDescent="0.25">
      <c r="A333" s="84">
        <f>INT(test1[[#This Row],[Created]])</f>
        <v>42800</v>
      </c>
    </row>
    <row r="334" spans="1:1" x14ac:dyDescent="0.25">
      <c r="A334" s="84">
        <f>INT(test1[[#This Row],[Created]])</f>
        <v>42800</v>
      </c>
    </row>
    <row r="335" spans="1:1" x14ac:dyDescent="0.25">
      <c r="A335" s="84">
        <f>INT(test1[[#This Row],[Created]])</f>
        <v>42801</v>
      </c>
    </row>
    <row r="336" spans="1:1" x14ac:dyDescent="0.25">
      <c r="A336" s="84">
        <f>INT(test1[[#This Row],[Created]])</f>
        <v>42802</v>
      </c>
    </row>
    <row r="337" spans="1:1" x14ac:dyDescent="0.25">
      <c r="A337" s="84">
        <f>INT(test1[[#This Row],[Created]])</f>
        <v>42802</v>
      </c>
    </row>
    <row r="338" spans="1:1" x14ac:dyDescent="0.25">
      <c r="A338" s="84">
        <f>INT(test1[[#This Row],[Created]])</f>
        <v>42802</v>
      </c>
    </row>
    <row r="339" spans="1:1" x14ac:dyDescent="0.25">
      <c r="A339" s="84">
        <f>INT(test1[[#This Row],[Created]])</f>
        <v>42802</v>
      </c>
    </row>
    <row r="340" spans="1:1" x14ac:dyDescent="0.25">
      <c r="A340" s="84">
        <f>INT(test1[[#This Row],[Created]])</f>
        <v>42802</v>
      </c>
    </row>
    <row r="341" spans="1:1" x14ac:dyDescent="0.25">
      <c r="A341" s="84">
        <f>INT(test1[[#This Row],[Created]])</f>
        <v>42802</v>
      </c>
    </row>
    <row r="342" spans="1:1" x14ac:dyDescent="0.25">
      <c r="A342" s="84">
        <f>INT(test1[[#This Row],[Created]])</f>
        <v>42802</v>
      </c>
    </row>
    <row r="343" spans="1:1" x14ac:dyDescent="0.25">
      <c r="A343" s="84">
        <f>INT(test1[[#This Row],[Created]])</f>
        <v>42803</v>
      </c>
    </row>
    <row r="344" spans="1:1" x14ac:dyDescent="0.25">
      <c r="A344" s="84">
        <f>INT(test1[[#This Row],[Created]])</f>
        <v>42803</v>
      </c>
    </row>
    <row r="345" spans="1:1" x14ac:dyDescent="0.25">
      <c r="A345" s="84">
        <f>INT(test1[[#This Row],[Created]])</f>
        <v>42803</v>
      </c>
    </row>
    <row r="346" spans="1:1" x14ac:dyDescent="0.25">
      <c r="A346" s="84">
        <f>INT(test1[[#This Row],[Created]])</f>
        <v>42803</v>
      </c>
    </row>
    <row r="347" spans="1:1" x14ac:dyDescent="0.25">
      <c r="A347" s="84">
        <f>INT(test1[[#This Row],[Created]])</f>
        <v>42803</v>
      </c>
    </row>
    <row r="348" spans="1:1" x14ac:dyDescent="0.25">
      <c r="A348" s="84">
        <f>INT(test1[[#This Row],[Created]])</f>
        <v>42803</v>
      </c>
    </row>
    <row r="349" spans="1:1" x14ac:dyDescent="0.25">
      <c r="A349" s="84">
        <f>INT(test1[[#This Row],[Created]])</f>
        <v>42803</v>
      </c>
    </row>
    <row r="350" spans="1:1" x14ac:dyDescent="0.25">
      <c r="A350" s="84">
        <f>INT(test1[[#This Row],[Created]])</f>
        <v>42803</v>
      </c>
    </row>
    <row r="351" spans="1:1" x14ac:dyDescent="0.25">
      <c r="A351" s="84">
        <f>INT(test1[[#This Row],[Created]])</f>
        <v>42803</v>
      </c>
    </row>
    <row r="352" spans="1:1" x14ac:dyDescent="0.25">
      <c r="A352" s="84">
        <f>INT(test1[[#This Row],[Created]])</f>
        <v>42803</v>
      </c>
    </row>
    <row r="353" spans="1:1" x14ac:dyDescent="0.25">
      <c r="A353" s="84">
        <f>INT(test1[[#This Row],[Created]])</f>
        <v>42803</v>
      </c>
    </row>
    <row r="354" spans="1:1" x14ac:dyDescent="0.25">
      <c r="A354" s="84">
        <f>INT(test1[[#This Row],[Created]])</f>
        <v>42804</v>
      </c>
    </row>
    <row r="355" spans="1:1" x14ac:dyDescent="0.25">
      <c r="A355" s="84">
        <f>INT(test1[[#This Row],[Created]])</f>
        <v>42804</v>
      </c>
    </row>
    <row r="356" spans="1:1" x14ac:dyDescent="0.25">
      <c r="A356" s="84">
        <f>INT(test1[[#This Row],[Created]])</f>
        <v>42804</v>
      </c>
    </row>
    <row r="357" spans="1:1" x14ac:dyDescent="0.25">
      <c r="A357" s="84">
        <f>INT(test1[[#This Row],[Created]])</f>
        <v>42804</v>
      </c>
    </row>
    <row r="358" spans="1:1" x14ac:dyDescent="0.25">
      <c r="A358" s="84">
        <f>INT(test1[[#This Row],[Created]])</f>
        <v>42807</v>
      </c>
    </row>
    <row r="359" spans="1:1" x14ac:dyDescent="0.25">
      <c r="A359" s="84">
        <f>INT(test1[[#This Row],[Created]])</f>
        <v>42807</v>
      </c>
    </row>
    <row r="360" spans="1:1" x14ac:dyDescent="0.25">
      <c r="A360" s="84">
        <f>INT(test1[[#This Row],[Created]])</f>
        <v>42807</v>
      </c>
    </row>
    <row r="361" spans="1:1" x14ac:dyDescent="0.25">
      <c r="A361" s="84">
        <f>INT(test1[[#This Row],[Created]])</f>
        <v>42807</v>
      </c>
    </row>
    <row r="362" spans="1:1" x14ac:dyDescent="0.25">
      <c r="A362" s="84">
        <f>INT(test1[[#This Row],[Created]])</f>
        <v>42807</v>
      </c>
    </row>
    <row r="363" spans="1:1" x14ac:dyDescent="0.25">
      <c r="A363" s="84">
        <f>INT(test1[[#This Row],[Created]])</f>
        <v>42807</v>
      </c>
    </row>
    <row r="364" spans="1:1" x14ac:dyDescent="0.25">
      <c r="A364" s="84">
        <f>INT(test1[[#This Row],[Created]])</f>
        <v>42807</v>
      </c>
    </row>
    <row r="365" spans="1:1" x14ac:dyDescent="0.25">
      <c r="A365" s="84">
        <f>INT(test1[[#This Row],[Created]])</f>
        <v>42807</v>
      </c>
    </row>
    <row r="366" spans="1:1" x14ac:dyDescent="0.25">
      <c r="A366" s="84">
        <f>INT(test1[[#This Row],[Created]])</f>
        <v>42807</v>
      </c>
    </row>
    <row r="367" spans="1:1" x14ac:dyDescent="0.25">
      <c r="A367" s="84">
        <f>INT(test1[[#This Row],[Created]])</f>
        <v>42807</v>
      </c>
    </row>
    <row r="368" spans="1:1" x14ac:dyDescent="0.25">
      <c r="A368" s="84">
        <f>INT(test1[[#This Row],[Created]])</f>
        <v>42807</v>
      </c>
    </row>
    <row r="369" spans="1:1" x14ac:dyDescent="0.25">
      <c r="A369" s="84">
        <f>INT(test1[[#This Row],[Created]])</f>
        <v>42808</v>
      </c>
    </row>
    <row r="370" spans="1:1" x14ac:dyDescent="0.25">
      <c r="A370" s="84">
        <f>INT(test1[[#This Row],[Created]])</f>
        <v>42808</v>
      </c>
    </row>
    <row r="371" spans="1:1" x14ac:dyDescent="0.25">
      <c r="A371" s="84">
        <f>INT(test1[[#This Row],[Created]])</f>
        <v>42808</v>
      </c>
    </row>
    <row r="372" spans="1:1" x14ac:dyDescent="0.25">
      <c r="A372" s="84">
        <f>INT(test1[[#This Row],[Created]])</f>
        <v>42808</v>
      </c>
    </row>
    <row r="373" spans="1:1" x14ac:dyDescent="0.25">
      <c r="A373" s="84">
        <f>INT(test1[[#This Row],[Created]])</f>
        <v>42808</v>
      </c>
    </row>
    <row r="374" spans="1:1" x14ac:dyDescent="0.25">
      <c r="A374" s="84">
        <f>INT(test1[[#This Row],[Created]])</f>
        <v>42808</v>
      </c>
    </row>
    <row r="375" spans="1:1" x14ac:dyDescent="0.25">
      <c r="A375" s="84">
        <f>INT(test1[[#This Row],[Created]])</f>
        <v>42808</v>
      </c>
    </row>
    <row r="376" spans="1:1" x14ac:dyDescent="0.25">
      <c r="A376" s="84">
        <f>INT(test1[[#This Row],[Created]])</f>
        <v>42808</v>
      </c>
    </row>
    <row r="377" spans="1:1" x14ac:dyDescent="0.25">
      <c r="A377" s="84">
        <f>INT(test1[[#This Row],[Created]])</f>
        <v>42809</v>
      </c>
    </row>
    <row r="378" spans="1:1" x14ac:dyDescent="0.25">
      <c r="A378" s="84">
        <f>INT(test1[[#This Row],[Created]])</f>
        <v>42810</v>
      </c>
    </row>
    <row r="379" spans="1:1" x14ac:dyDescent="0.25">
      <c r="A379" s="84">
        <f>INT(test1[[#This Row],[Created]])</f>
        <v>42811</v>
      </c>
    </row>
    <row r="380" spans="1:1" x14ac:dyDescent="0.25">
      <c r="A380" s="84">
        <f>INT(test1[[#This Row],[Created]])</f>
        <v>42811</v>
      </c>
    </row>
    <row r="381" spans="1:1" x14ac:dyDescent="0.25">
      <c r="A381" s="84">
        <f>INT(test1[[#This Row],[Created]])</f>
        <v>42813</v>
      </c>
    </row>
    <row r="382" spans="1:1" x14ac:dyDescent="0.25">
      <c r="A382" s="84"/>
    </row>
    <row r="383" spans="1:1" x14ac:dyDescent="0.25">
      <c r="A383" s="84"/>
    </row>
    <row r="384" spans="1:1" x14ac:dyDescent="0.25">
      <c r="A384" s="84"/>
    </row>
    <row r="385" spans="1:1" x14ac:dyDescent="0.25">
      <c r="A385" s="84"/>
    </row>
    <row r="386" spans="1:1" x14ac:dyDescent="0.25">
      <c r="A386" s="84"/>
    </row>
    <row r="387" spans="1:1" x14ac:dyDescent="0.25">
      <c r="A387" s="84"/>
    </row>
    <row r="388" spans="1:1" x14ac:dyDescent="0.25">
      <c r="A388" s="84"/>
    </row>
    <row r="389" spans="1:1" x14ac:dyDescent="0.25">
      <c r="A389" s="84"/>
    </row>
    <row r="390" spans="1:1" x14ac:dyDescent="0.25">
      <c r="A390" s="84"/>
    </row>
    <row r="391" spans="1:1" x14ac:dyDescent="0.25">
      <c r="A391" s="84"/>
    </row>
    <row r="392" spans="1:1" x14ac:dyDescent="0.25">
      <c r="A392" s="84"/>
    </row>
    <row r="393" spans="1:1" x14ac:dyDescent="0.25">
      <c r="A393" s="84"/>
    </row>
    <row r="394" spans="1:1" x14ac:dyDescent="0.25">
      <c r="A394" s="84"/>
    </row>
    <row r="395" spans="1:1" x14ac:dyDescent="0.25">
      <c r="A395" s="84"/>
    </row>
    <row r="396" spans="1:1" x14ac:dyDescent="0.25">
      <c r="A396" s="84"/>
    </row>
    <row r="397" spans="1:1" x14ac:dyDescent="0.25">
      <c r="A397" s="84"/>
    </row>
    <row r="398" spans="1:1" x14ac:dyDescent="0.25">
      <c r="A398" s="84"/>
    </row>
    <row r="399" spans="1:1" x14ac:dyDescent="0.25">
      <c r="A399" s="84"/>
    </row>
    <row r="400" spans="1:1" x14ac:dyDescent="0.25">
      <c r="A400" s="84"/>
    </row>
    <row r="401" spans="1:1" x14ac:dyDescent="0.25">
      <c r="A401" s="84"/>
    </row>
    <row r="402" spans="1:1" x14ac:dyDescent="0.25">
      <c r="A402" s="84"/>
    </row>
    <row r="403" spans="1:1" x14ac:dyDescent="0.25">
      <c r="A403" s="84"/>
    </row>
    <row r="404" spans="1:1" x14ac:dyDescent="0.25">
      <c r="A404" s="84"/>
    </row>
    <row r="405" spans="1:1" x14ac:dyDescent="0.25">
      <c r="A405" s="84"/>
    </row>
    <row r="406" spans="1:1" x14ac:dyDescent="0.25">
      <c r="A406" s="84"/>
    </row>
    <row r="407" spans="1:1" x14ac:dyDescent="0.25">
      <c r="A407" s="84"/>
    </row>
    <row r="408" spans="1:1" x14ac:dyDescent="0.25">
      <c r="A408" s="84"/>
    </row>
    <row r="409" spans="1:1" x14ac:dyDescent="0.25">
      <c r="A409" s="84"/>
    </row>
    <row r="410" spans="1:1" x14ac:dyDescent="0.25">
      <c r="A410" s="84"/>
    </row>
    <row r="411" spans="1:1" x14ac:dyDescent="0.25">
      <c r="A411" s="84"/>
    </row>
    <row r="412" spans="1:1" x14ac:dyDescent="0.25">
      <c r="A412" s="84"/>
    </row>
    <row r="413" spans="1:1" x14ac:dyDescent="0.25">
      <c r="A413" s="84"/>
    </row>
    <row r="414" spans="1:1" x14ac:dyDescent="0.25">
      <c r="A414" s="84"/>
    </row>
    <row r="415" spans="1:1" x14ac:dyDescent="0.25">
      <c r="A415" s="84"/>
    </row>
    <row r="416" spans="1:1" x14ac:dyDescent="0.25">
      <c r="A416" s="84"/>
    </row>
    <row r="417" spans="1:1" x14ac:dyDescent="0.25">
      <c r="A417" s="84"/>
    </row>
    <row r="418" spans="1:1" x14ac:dyDescent="0.25">
      <c r="A418" s="84"/>
    </row>
    <row r="419" spans="1:1" x14ac:dyDescent="0.25">
      <c r="A419" s="84"/>
    </row>
    <row r="420" spans="1:1" x14ac:dyDescent="0.25">
      <c r="A420" s="84"/>
    </row>
    <row r="421" spans="1:1" x14ac:dyDescent="0.25">
      <c r="A421" s="84"/>
    </row>
    <row r="422" spans="1:1" x14ac:dyDescent="0.25">
      <c r="A422" s="84"/>
    </row>
    <row r="423" spans="1:1" x14ac:dyDescent="0.25">
      <c r="A423" s="84"/>
    </row>
    <row r="424" spans="1:1" x14ac:dyDescent="0.25">
      <c r="A424" s="84"/>
    </row>
    <row r="425" spans="1:1" x14ac:dyDescent="0.25">
      <c r="A425" s="84"/>
    </row>
    <row r="426" spans="1:1" x14ac:dyDescent="0.25">
      <c r="A426" s="84"/>
    </row>
    <row r="427" spans="1:1" x14ac:dyDescent="0.25">
      <c r="A427" s="84"/>
    </row>
    <row r="428" spans="1:1" x14ac:dyDescent="0.25">
      <c r="A428" s="84"/>
    </row>
    <row r="429" spans="1:1" x14ac:dyDescent="0.25">
      <c r="A429" s="84"/>
    </row>
    <row r="430" spans="1:1" x14ac:dyDescent="0.25">
      <c r="A430" s="84"/>
    </row>
    <row r="431" spans="1:1" x14ac:dyDescent="0.25">
      <c r="A431" s="84"/>
    </row>
    <row r="432" spans="1:1" x14ac:dyDescent="0.25">
      <c r="A432" s="84"/>
    </row>
    <row r="433" spans="1:1" x14ac:dyDescent="0.25">
      <c r="A433" s="84"/>
    </row>
    <row r="434" spans="1:1" x14ac:dyDescent="0.25">
      <c r="A434" s="84"/>
    </row>
    <row r="435" spans="1:1" x14ac:dyDescent="0.25">
      <c r="A435" s="84"/>
    </row>
    <row r="436" spans="1:1" x14ac:dyDescent="0.25">
      <c r="A436" s="84"/>
    </row>
    <row r="437" spans="1:1" x14ac:dyDescent="0.25">
      <c r="A437" s="84"/>
    </row>
    <row r="438" spans="1:1" x14ac:dyDescent="0.25">
      <c r="A438" s="84"/>
    </row>
    <row r="439" spans="1:1" x14ac:dyDescent="0.25">
      <c r="A439" s="84"/>
    </row>
    <row r="440" spans="1:1" x14ac:dyDescent="0.25">
      <c r="A440" s="84"/>
    </row>
    <row r="441" spans="1:1" x14ac:dyDescent="0.25">
      <c r="A441" s="84"/>
    </row>
    <row r="442" spans="1:1" x14ac:dyDescent="0.25">
      <c r="A442" s="84"/>
    </row>
    <row r="443" spans="1:1" x14ac:dyDescent="0.25">
      <c r="A443" s="84"/>
    </row>
    <row r="444" spans="1:1" x14ac:dyDescent="0.25">
      <c r="A444" s="84"/>
    </row>
    <row r="445" spans="1:1" x14ac:dyDescent="0.25">
      <c r="A445" s="84"/>
    </row>
    <row r="446" spans="1:1" x14ac:dyDescent="0.25">
      <c r="A446" s="84"/>
    </row>
    <row r="447" spans="1:1" x14ac:dyDescent="0.25">
      <c r="A447" s="84"/>
    </row>
    <row r="448" spans="1:1" x14ac:dyDescent="0.25">
      <c r="A448" s="84"/>
    </row>
    <row r="449" spans="1:1" x14ac:dyDescent="0.25">
      <c r="A449" s="84"/>
    </row>
    <row r="450" spans="1:1" x14ac:dyDescent="0.25">
      <c r="A450" s="84"/>
    </row>
    <row r="451" spans="1:1" x14ac:dyDescent="0.25">
      <c r="A451" s="84"/>
    </row>
    <row r="452" spans="1:1" x14ac:dyDescent="0.25">
      <c r="A452" s="84"/>
    </row>
    <row r="453" spans="1:1" x14ac:dyDescent="0.25">
      <c r="A453" s="84"/>
    </row>
    <row r="454" spans="1:1" x14ac:dyDescent="0.25">
      <c r="A454" s="84"/>
    </row>
    <row r="455" spans="1:1" x14ac:dyDescent="0.25">
      <c r="A455" s="84"/>
    </row>
    <row r="456" spans="1:1" x14ac:dyDescent="0.25">
      <c r="A456" s="84"/>
    </row>
    <row r="457" spans="1:1" x14ac:dyDescent="0.25">
      <c r="A457" s="84"/>
    </row>
    <row r="458" spans="1:1" x14ac:dyDescent="0.25">
      <c r="A458" s="84"/>
    </row>
    <row r="459" spans="1:1" x14ac:dyDescent="0.25">
      <c r="A459" s="84"/>
    </row>
    <row r="460" spans="1:1" x14ac:dyDescent="0.25">
      <c r="A460" s="84"/>
    </row>
    <row r="461" spans="1:1" x14ac:dyDescent="0.25">
      <c r="A461" s="84"/>
    </row>
    <row r="462" spans="1:1" x14ac:dyDescent="0.25">
      <c r="A462" s="84"/>
    </row>
    <row r="463" spans="1:1" x14ac:dyDescent="0.25">
      <c r="A463" s="84"/>
    </row>
    <row r="464" spans="1:1" x14ac:dyDescent="0.25">
      <c r="A464" s="84"/>
    </row>
    <row r="465" spans="1:1" x14ac:dyDescent="0.25">
      <c r="A465" s="84"/>
    </row>
    <row r="466" spans="1:1" x14ac:dyDescent="0.25">
      <c r="A466" s="84"/>
    </row>
    <row r="467" spans="1:1" x14ac:dyDescent="0.25">
      <c r="A467" s="84"/>
    </row>
    <row r="468" spans="1:1" x14ac:dyDescent="0.25">
      <c r="A468" s="84"/>
    </row>
    <row r="469" spans="1:1" x14ac:dyDescent="0.25">
      <c r="A469" s="84"/>
    </row>
    <row r="470" spans="1:1" x14ac:dyDescent="0.25">
      <c r="A470" s="84"/>
    </row>
    <row r="471" spans="1:1" x14ac:dyDescent="0.25">
      <c r="A471" s="84"/>
    </row>
    <row r="472" spans="1:1" x14ac:dyDescent="0.25">
      <c r="A472" s="84"/>
    </row>
    <row r="473" spans="1:1" x14ac:dyDescent="0.25">
      <c r="A473" s="84"/>
    </row>
    <row r="474" spans="1:1" x14ac:dyDescent="0.25">
      <c r="A474" s="84"/>
    </row>
    <row r="475" spans="1:1" x14ac:dyDescent="0.25">
      <c r="A475" s="84"/>
    </row>
    <row r="476" spans="1:1" x14ac:dyDescent="0.25">
      <c r="A476" s="84"/>
    </row>
    <row r="477" spans="1:1" x14ac:dyDescent="0.25">
      <c r="A477" s="84"/>
    </row>
    <row r="478" spans="1:1" x14ac:dyDescent="0.25">
      <c r="A478" s="84"/>
    </row>
    <row r="479" spans="1:1" x14ac:dyDescent="0.25">
      <c r="A479" s="84"/>
    </row>
    <row r="480" spans="1:1" x14ac:dyDescent="0.25">
      <c r="A480" s="84"/>
    </row>
    <row r="481" spans="1:1" x14ac:dyDescent="0.25">
      <c r="A481" s="84"/>
    </row>
    <row r="482" spans="1:1" x14ac:dyDescent="0.25">
      <c r="A482" s="84"/>
    </row>
    <row r="483" spans="1:1" x14ac:dyDescent="0.25">
      <c r="A483" s="84"/>
    </row>
    <row r="484" spans="1:1" x14ac:dyDescent="0.25">
      <c r="A484" s="84"/>
    </row>
    <row r="485" spans="1:1" x14ac:dyDescent="0.25">
      <c r="A485" s="84"/>
    </row>
    <row r="486" spans="1:1" x14ac:dyDescent="0.25">
      <c r="A486" s="84"/>
    </row>
    <row r="487" spans="1:1" x14ac:dyDescent="0.25">
      <c r="A487" s="84"/>
    </row>
    <row r="488" spans="1:1" x14ac:dyDescent="0.25">
      <c r="A488" s="84"/>
    </row>
    <row r="489" spans="1:1" x14ac:dyDescent="0.25">
      <c r="A489" s="84"/>
    </row>
    <row r="490" spans="1:1" x14ac:dyDescent="0.25">
      <c r="A490" s="84"/>
    </row>
    <row r="491" spans="1:1" x14ac:dyDescent="0.25">
      <c r="A491" s="84"/>
    </row>
    <row r="492" spans="1:1" x14ac:dyDescent="0.25">
      <c r="A492" s="84"/>
    </row>
    <row r="493" spans="1:1" x14ac:dyDescent="0.25">
      <c r="A493" s="84"/>
    </row>
    <row r="494" spans="1:1" x14ac:dyDescent="0.25">
      <c r="A494" s="84"/>
    </row>
    <row r="495" spans="1:1" x14ac:dyDescent="0.25">
      <c r="A495" s="84"/>
    </row>
    <row r="496" spans="1:1" x14ac:dyDescent="0.25">
      <c r="A496" s="84"/>
    </row>
    <row r="497" spans="1:1" x14ac:dyDescent="0.25">
      <c r="A497" s="84"/>
    </row>
    <row r="498" spans="1:1" x14ac:dyDescent="0.25">
      <c r="A498" s="84"/>
    </row>
    <row r="499" spans="1:1" x14ac:dyDescent="0.25">
      <c r="A499" s="84"/>
    </row>
    <row r="500" spans="1:1" x14ac:dyDescent="0.25">
      <c r="A500" s="84"/>
    </row>
    <row r="501" spans="1:1" x14ac:dyDescent="0.25">
      <c r="A501" s="84"/>
    </row>
    <row r="502" spans="1:1" x14ac:dyDescent="0.25">
      <c r="A502" s="84"/>
    </row>
    <row r="503" spans="1:1" x14ac:dyDescent="0.25">
      <c r="A503" s="84"/>
    </row>
    <row r="504" spans="1:1" x14ac:dyDescent="0.25">
      <c r="A504" s="84"/>
    </row>
    <row r="505" spans="1:1" x14ac:dyDescent="0.25">
      <c r="A505" s="84"/>
    </row>
    <row r="506" spans="1:1" x14ac:dyDescent="0.25">
      <c r="A506" s="84"/>
    </row>
    <row r="507" spans="1:1" x14ac:dyDescent="0.25">
      <c r="A507" s="84"/>
    </row>
    <row r="508" spans="1:1" x14ac:dyDescent="0.25">
      <c r="A508" s="84"/>
    </row>
    <row r="509" spans="1:1" x14ac:dyDescent="0.25">
      <c r="A509" s="84"/>
    </row>
    <row r="510" spans="1:1" x14ac:dyDescent="0.25">
      <c r="A510" s="84"/>
    </row>
    <row r="511" spans="1:1" x14ac:dyDescent="0.25">
      <c r="A511" s="84"/>
    </row>
    <row r="512" spans="1:1" x14ac:dyDescent="0.25">
      <c r="A512" s="84"/>
    </row>
    <row r="513" spans="1:1" x14ac:dyDescent="0.25">
      <c r="A513" s="84"/>
    </row>
    <row r="514" spans="1:1" x14ac:dyDescent="0.25">
      <c r="A514" s="84"/>
    </row>
    <row r="515" spans="1:1" x14ac:dyDescent="0.25">
      <c r="A515" s="84"/>
    </row>
    <row r="516" spans="1:1" x14ac:dyDescent="0.25">
      <c r="A516" s="84"/>
    </row>
    <row r="517" spans="1:1" x14ac:dyDescent="0.25">
      <c r="A517" s="84"/>
    </row>
    <row r="518" spans="1:1" x14ac:dyDescent="0.25">
      <c r="A518" s="84"/>
    </row>
    <row r="519" spans="1:1" x14ac:dyDescent="0.25">
      <c r="A519" s="84"/>
    </row>
    <row r="520" spans="1:1" x14ac:dyDescent="0.25">
      <c r="A520" s="84"/>
    </row>
    <row r="521" spans="1:1" x14ac:dyDescent="0.25">
      <c r="A521" s="84"/>
    </row>
    <row r="522" spans="1:1" x14ac:dyDescent="0.25">
      <c r="A522" s="84"/>
    </row>
    <row r="523" spans="1:1" x14ac:dyDescent="0.25">
      <c r="A523" s="84"/>
    </row>
    <row r="524" spans="1:1" x14ac:dyDescent="0.25">
      <c r="A524" s="84"/>
    </row>
    <row r="525" spans="1:1" x14ac:dyDescent="0.25">
      <c r="A525" s="84"/>
    </row>
    <row r="526" spans="1:1" x14ac:dyDescent="0.25">
      <c r="A526" s="84"/>
    </row>
    <row r="527" spans="1:1" x14ac:dyDescent="0.25">
      <c r="A527" s="84"/>
    </row>
    <row r="528" spans="1:1" x14ac:dyDescent="0.25">
      <c r="A528" s="84"/>
    </row>
    <row r="529" spans="1:1" x14ac:dyDescent="0.25">
      <c r="A529" s="84"/>
    </row>
    <row r="530" spans="1:1" x14ac:dyDescent="0.25">
      <c r="A530" s="84"/>
    </row>
    <row r="531" spans="1:1" x14ac:dyDescent="0.25">
      <c r="A531" s="84"/>
    </row>
    <row r="532" spans="1:1" x14ac:dyDescent="0.25">
      <c r="A532" s="84"/>
    </row>
    <row r="533" spans="1:1" x14ac:dyDescent="0.25">
      <c r="A533" s="84"/>
    </row>
    <row r="534" spans="1:1" x14ac:dyDescent="0.25">
      <c r="A534" s="84"/>
    </row>
    <row r="535" spans="1:1" x14ac:dyDescent="0.25">
      <c r="A535" s="84"/>
    </row>
    <row r="536" spans="1:1" x14ac:dyDescent="0.25">
      <c r="A536" s="84"/>
    </row>
    <row r="537" spans="1:1" x14ac:dyDescent="0.25">
      <c r="A537" s="84"/>
    </row>
    <row r="538" spans="1:1" x14ac:dyDescent="0.25">
      <c r="A538" s="84"/>
    </row>
    <row r="539" spans="1:1" x14ac:dyDescent="0.25">
      <c r="A539" s="84"/>
    </row>
    <row r="540" spans="1:1" x14ac:dyDescent="0.25">
      <c r="A540" s="84"/>
    </row>
    <row r="541" spans="1:1" x14ac:dyDescent="0.25">
      <c r="A541" s="84"/>
    </row>
    <row r="542" spans="1:1" x14ac:dyDescent="0.25">
      <c r="A542" s="84"/>
    </row>
    <row r="543" spans="1:1" x14ac:dyDescent="0.25">
      <c r="A543" s="84"/>
    </row>
    <row r="544" spans="1:1" x14ac:dyDescent="0.25">
      <c r="A544" s="84"/>
    </row>
    <row r="545" spans="1:1" x14ac:dyDescent="0.25">
      <c r="A545" s="84"/>
    </row>
    <row r="546" spans="1:1" x14ac:dyDescent="0.25">
      <c r="A546" s="8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Lookup</vt:lpstr>
      <vt:lpstr>Sheet4</vt:lpstr>
      <vt:lpstr>Sheet5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MANOJ</dc:creator>
  <cp:lastModifiedBy>MANOJ</cp:lastModifiedBy>
  <dcterms:created xsi:type="dcterms:W3CDTF">2017-04-02T11:35:42Z</dcterms:created>
  <dcterms:modified xsi:type="dcterms:W3CDTF">2017-04-02T20:10:35Z</dcterms:modified>
</cp:coreProperties>
</file>